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024dbe708594b3d" /></Relationships>
</file>

<file path=xl/workbook.xml><?xml version="1.0" encoding="utf-8"?>
<x:workbook xmlns:x="http://schemas.openxmlformats.org/spreadsheetml/2006/main">
  <x:sheets>
    <x:sheet xmlns:r="http://schemas.openxmlformats.org/officeDocument/2006/relationships" name="Guide" sheetId="1" r:id="R65d4299aac0b43f6"/>
    <x:sheet xmlns:r="http://schemas.openxmlformats.org/officeDocument/2006/relationships" name="Sessions" sheetId="2" r:id="Ra8d76eaf3edc4081"/>
    <x:sheet xmlns:r="http://schemas.openxmlformats.org/officeDocument/2006/relationships" name="Target Products" sheetId="3" r:id="R9737959efd11459f"/>
    <x:sheet xmlns:r="http://schemas.openxmlformats.org/officeDocument/2006/relationships" name="Intent Cards" sheetId="4" r:id="R6127b855d59b44a6"/>
    <x:sheet xmlns:r="http://schemas.openxmlformats.org/officeDocument/2006/relationships" name="Conversation Branches" sheetId="5" r:id="R7ac76d7a9348411d"/>
    <x:sheet xmlns:r="http://schemas.openxmlformats.org/officeDocument/2006/relationships" name="Profile Tags" sheetId="6" r:id="R9d06ad47d19e4f6d"/>
    <x:sheet xmlns:r="http://schemas.openxmlformats.org/officeDocument/2006/relationships" name="Embedding Corpus" sheetId="7" r:id="R829273c9b2e74a79"/>
    <x:sheet xmlns:r="http://schemas.openxmlformats.org/officeDocument/2006/relationships" name="Scenario Playbook" sheetId="8" r:id="R8fb68c245850474a"/>
    <x:sheet xmlns:r="http://schemas.openxmlformats.org/officeDocument/2006/relationships" name="Lists &amp; Metrics" sheetId="9" r:id="Rbe38f37f5d41472b"/>
    <x:sheet xmlns:r="http://schemas.openxmlformats.org/officeDocument/2006/relationships" name="EDA Dashboard" sheetId="10" r:id="R81abff712c0d4162"/>
  </x:sheets>
</x:workbook>
</file>

<file path=xl/comments1.xml><?xml version="1.0" encoding="utf-8"?>
<x:comments xmlns:x="http://schemas.openxmlformats.org/spreadsheetml/2006/main">
  <x:authors>
    <x:author>tc={5907F7F0-D3F7-4EF0-A515-D3A612161757}</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Sources: data/public_set.jsonl, data/catalog.jsonl, evaluator/local_evaluator.py, docs/competition_specification.md, docs/evaluation_config.json, docs/baseline_results.json.</x:t>
        </x:r>
      </x:text>
    </x:comment>
  </x:commentList>
</x:comments>
</file>

<file path=xl/comments2.xml><?xml version="1.0" encoding="utf-8"?>
<x:comments xmlns:x="http://schemas.openxmlformats.org/spreadsheetml/2006/main">
  <x:authors>
    <x:author>tc={9333BD5C-ECE0-4155-BD17-0972690C69F0}</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Derived by importing the shipped public evaluator functions materialize_hidden_fields, coarse_category, and initial_message. Development analysis only.</x:t>
        </x:r>
      </x:text>
    </x:comment>
  </x:commentList>
</x:comments>
</file>

<file path=xl/comments3.xml><?xml version="1.0" encoding="utf-8"?>
<x:comments xmlns:x="http://schemas.openxmlformats.org/spreadsheetml/2006/main">
  <x:authors>
    <x:author>tc={D49B9AEC-40ED-469E-B7E4-A2D99819D174}</x:author>
  </x:authors>
  <x:commentList>
    <x:comment ref="C4" authorId="0">
      <x:text>
        <x:r>
          <x:t>[Threaded comment]
Your version of Excel allows you to read this threaded comment; however, any edits to it will get removed if the file is opened in a newer version of Excel. Learn more: https://go.microsoft.com/fwlink/?linkid=870924
Comment:
    Product-side document. Do not append user profile or session intent to the indexed catalog representation; those belong on the query side.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0"/>
    <x:numFmt numFmtId="202" formatCode="#,##0"/>
    <x:numFmt numFmtId="203" formatCode="0%"/>
  </x:numFmts>
  <x:fonts count="15">
    <x:font>
      <x:sz val="11"/>
      <x:name val="Carlito"/>
    </x:font>
    <x:font>
      <x:b/>
      <x:sz val="20"/>
      <x:color rgb="FFFFFFFF"/>
      <x:name val="Carlito"/>
    </x:font>
    <x:font>
      <x:i/>
      <x:sz val="10"/>
      <x:color rgb="FF64748B"/>
      <x:name val="Carlito"/>
    </x:font>
    <x:font>
      <x:b/>
      <x:sz val="13"/>
      <x:color rgb="FFFFFFFF"/>
      <x:name val="Carlito"/>
    </x:font>
    <x:font>
      <x:b/>
      <x:sz val="12"/>
      <x:color rgb="FF008C8C"/>
      <x:name val="Carlito"/>
    </x:font>
    <x:font>
      <x:b/>
      <x:sz val="11"/>
      <x:color rgb="FF17212B"/>
      <x:name val="Carlito"/>
    </x:font>
    <x:font>
      <x:b/>
      <x:sz val="13"/>
      <x:color rgb="FF132A3A"/>
      <x:name val="Carlito"/>
    </x:font>
    <x:font>
      <x:b/>
      <x:sz val="10"/>
      <x:color rgb="FFFFFFFF"/>
      <x:name val="Carlito"/>
    </x:font>
    <x:font>
      <x:b/>
      <x:sz val="11"/>
      <x:color rgb="FF132A3A"/>
      <x:name val="Carlito"/>
    </x:font>
    <x:font>
      <x:i/>
      <x:sz val="11"/>
      <x:color rgb="FF132A3A"/>
      <x:name val="Carlito"/>
    </x:font>
    <x:font>
      <x:b/>
      <x:sz val="11"/>
      <x:color rgb="FF008C8C"/>
      <x:name val="Carlito"/>
    </x:font>
    <x:font>
      <x:b/>
      <x:sz val="11"/>
      <x:color rgb="FFFFFFFF"/>
      <x:name val="Carlito"/>
    </x:font>
    <x:font>
      <x:b/>
      <x:sz val="22"/>
      <x:color rgb="FF132A3A"/>
      <x:name val="Carlito"/>
    </x:font>
    <x:font>
      <x:sz val="11"/>
      <x:color rgb="FF17212B"/>
      <x:name val="Carlito"/>
    </x:font>
    <x:font>
      <x:b/>
      <x:sz val="11"/>
      <x:color rgb="FFD9534F"/>
      <x:name val="Carlito"/>
    </x:font>
  </x:fonts>
  <x:fills count="12">
    <x:fill>
      <x:patternFill patternType="none"/>
    </x:fill>
    <x:fill>
      <x:patternFill patternType="gray125"/>
    </x:fill>
    <x:fill>
      <x:patternFill patternType="solid">
        <x:fgColor rgb="FF132A3A"/>
      </x:patternFill>
    </x:fill>
    <x:fill>
      <x:patternFill patternType="solid">
        <x:fgColor rgb="FFF5F8FA"/>
      </x:patternFill>
    </x:fill>
    <x:fill>
      <x:patternFill patternType="solid">
        <x:fgColor rgb="FF008C8C"/>
      </x:patternFill>
    </x:fill>
    <x:fill>
      <x:patternFill patternType="solid">
        <x:fgColor rgb="FFDDF4F1"/>
      </x:patternFill>
    </x:fill>
    <x:fill>
      <x:patternFill patternType="solid">
        <x:fgColor rgb="FFF29E4C"/>
      </x:patternFill>
    </x:fill>
    <x:fill>
      <x:patternFill patternType="solid">
        <x:fgColor rgb="FF1E4057"/>
      </x:patternFill>
    </x:fill>
    <x:fill>
      <x:patternFill patternType="solid">
        <x:fgColor rgb="FFE8F1FF"/>
      </x:patternFill>
    </x:fill>
    <x:fill>
      <x:patternFill patternType="solid">
        <x:fgColor rgb="FF3B82F6"/>
      </x:patternFill>
    </x:fill>
    <x:fill>
      <x:patternFill patternType="solid">
        <x:fgColor rgb="FF2E8B57"/>
      </x:patternFill>
    </x:fill>
    <x:fill>
      <x:patternFill patternType="solid">
        <x:fgColor rgb="FFFDE8E7"/>
      </x:patternFill>
    </x:fill>
  </x:fills>
  <x:borders count="58">
    <x:border/>
    <x:border>
      <x:right style="thin">
        <x:color rgb="FFD7E0E7"/>
      </x:right>
      <x:bottom style="thin">
        <x:color rgb="FFD7E0E7"/>
      </x:bottom>
    </x:border>
    <x:border>
      <x:left style="thin">
        <x:color rgb="FFD7E0E7"/>
      </x:left>
      <x:right style="thin">
        <x:color rgb="FFD7E0E7"/>
      </x:right>
      <x:bottom style="thin">
        <x:color rgb="FFD7E0E7"/>
      </x:bottom>
    </x:border>
    <x:border>
      <x:left style="thin">
        <x:color rgb="FFD7E0E7"/>
      </x:left>
      <x:bottom style="thin">
        <x:color rgb="FFD7E0E7"/>
      </x:bottom>
    </x:border>
    <x:border>
      <x:right style="thin">
        <x:color rgb="FFD7E0E7"/>
      </x:right>
      <x:top style="thin">
        <x:color rgb="FFD7E0E7"/>
      </x:top>
      <x:bottom style="thin">
        <x:color rgb="FFD7E0E7"/>
      </x:bottom>
    </x:border>
    <x:border>
      <x:left style="thin">
        <x:color rgb="FFD7E0E7"/>
      </x:left>
      <x:right style="thin">
        <x:color rgb="FFD7E0E7"/>
      </x:right>
      <x:top style="thin">
        <x:color rgb="FFD7E0E7"/>
      </x:top>
      <x:bottom style="thin">
        <x:color rgb="FFD7E0E7"/>
      </x:bottom>
    </x:border>
    <x:border>
      <x:left style="thin">
        <x:color rgb="FFD7E0E7"/>
      </x:left>
      <x:top style="thin">
        <x:color rgb="FFD7E0E7"/>
      </x:top>
      <x:bottom style="thin">
        <x:color rgb="FFD7E0E7"/>
      </x:bottom>
    </x:border>
    <x:border>
      <x:right style="thin">
        <x:color rgb="FFD7E0E7"/>
      </x:right>
      <x:top style="thin">
        <x:color rgb="FFD7E0E7"/>
      </x:top>
    </x:border>
    <x:border>
      <x:left style="thin">
        <x:color rgb="FFD7E0E7"/>
      </x:left>
      <x:right style="thin">
        <x:color rgb="FFD7E0E7"/>
      </x:right>
      <x:top style="thin">
        <x:color rgb="FFD7E0E7"/>
      </x:top>
    </x:border>
    <x:border>
      <x:left style="thin">
        <x:color rgb="FFD7E0E7"/>
      </x:left>
      <x:top style="thin">
        <x:color rgb="FFD7E0E7"/>
      </x:top>
    </x:border>
    <x:border>
      <x:left style="thin">
        <x:color rgb="FF132A3A"/>
      </x:left>
      <x:top style="thin">
        <x:color rgb="FF132A3A"/>
      </x:top>
      <x:bottom style="thin">
        <x:color rgb="FF132A3A"/>
      </x:bottom>
    </x:border>
    <x:border>
      <x:top style="thin">
        <x:color rgb="FF132A3A"/>
      </x:top>
      <x:bottom style="thin">
        <x:color rgb="FF132A3A"/>
      </x:bottom>
    </x:border>
    <x:border>
      <x:right style="thin">
        <x:color rgb="FF132A3A"/>
      </x:right>
      <x:top style="thin">
        <x:color rgb="FF132A3A"/>
      </x:top>
      <x:bottom style="thin">
        <x:color rgb="FF132A3A"/>
      </x:bottom>
    </x:border>
    <x:border>
      <x:left style="thin">
        <x:color rgb="FF3B82F6"/>
      </x:left>
      <x:top style="thin">
        <x:color rgb="FF3B82F6"/>
      </x:top>
      <x:bottom style="thin">
        <x:color rgb="FF3B82F6"/>
      </x:bottom>
    </x:border>
    <x:border>
      <x:top style="thin">
        <x:color rgb="FF3B82F6"/>
      </x:top>
      <x:bottom style="thin">
        <x:color rgb="FF3B82F6"/>
      </x:bottom>
    </x:border>
    <x:border>
      <x:right style="thin">
        <x:color rgb="FF3B82F6"/>
      </x:right>
      <x:top style="thin">
        <x:color rgb="FF3B82F6"/>
      </x:top>
      <x:bottom style="thin">
        <x:color rgb="FF3B82F6"/>
      </x:bottom>
    </x:border>
    <x:border>
      <x:left style="thin">
        <x:color rgb="FF3B82F6"/>
      </x:left>
      <x:right style="thin">
        <x:color rgb="FF3B82F6"/>
      </x:right>
      <x:top style="thin">
        <x:color rgb="FF3B82F6"/>
      </x:top>
      <x:bottom style="thin">
        <x:color rgb="FF3B82F6"/>
      </x:bottom>
    </x:border>
    <x:border>
      <x:left style="thin">
        <x:color rgb="FF132A3A"/>
      </x:left>
      <x:right style="thin">
        <x:color rgb="FF132A3A"/>
      </x:right>
      <x:top style="thin">
        <x:color rgb="FF132A3A"/>
      </x:top>
    </x:border>
    <x:border>
      <x:left style="thin">
        <x:color rgb="FF132A3A"/>
      </x:left>
      <x:right style="thin">
        <x:color rgb="FF132A3A"/>
      </x:right>
    </x:border>
    <x:border>
      <x:left style="thin">
        <x:color rgb="FF132A3A"/>
      </x:left>
      <x:right style="thin">
        <x:color rgb="FF132A3A"/>
      </x:right>
      <x:bottom style="thin">
        <x:color rgb="FF132A3A"/>
      </x:bottom>
    </x:border>
    <x:border>
      <x:left style="thin">
        <x:color rgb="FF008C8C"/>
      </x:left>
      <x:top style="thin">
        <x:color rgb="FF008C8C"/>
      </x:top>
    </x:border>
    <x:border>
      <x:top style="thin">
        <x:color rgb="FF008C8C"/>
      </x:top>
    </x:border>
    <x:border>
      <x:right style="thin">
        <x:color rgb="FF008C8C"/>
      </x:right>
      <x:top style="thin">
        <x:color rgb="FF008C8C"/>
      </x:top>
    </x:border>
    <x:border>
      <x:left style="thin">
        <x:color rgb="FF008C8C"/>
      </x:left>
    </x:border>
    <x:border>
      <x:right style="thin">
        <x:color rgb="FF008C8C"/>
      </x:right>
    </x:border>
    <x:border>
      <x:left style="thin">
        <x:color rgb="FF008C8C"/>
      </x:left>
      <x:bottom style="thin">
        <x:color rgb="FF008C8C"/>
      </x:bottom>
    </x:border>
    <x:border>
      <x:bottom style="thin">
        <x:color rgb="FF008C8C"/>
      </x:bottom>
    </x:border>
    <x:border>
      <x:right style="thin">
        <x:color rgb="FF008C8C"/>
      </x:right>
      <x:bottom style="thin">
        <x:color rgb="FF008C8C"/>
      </x:bottom>
    </x:border>
    <x:border>
      <x:left style="thin">
        <x:color rgb="FF3B82F6"/>
      </x:left>
      <x:top style="thin">
        <x:color rgb="FF3B82F6"/>
      </x:top>
    </x:border>
    <x:border>
      <x:top style="thin">
        <x:color rgb="FF3B82F6"/>
      </x:top>
    </x:border>
    <x:border>
      <x:right style="thin">
        <x:color rgb="FF3B82F6"/>
      </x:right>
      <x:top style="thin">
        <x:color rgb="FF3B82F6"/>
      </x:top>
    </x:border>
    <x:border>
      <x:left style="thin">
        <x:color rgb="FF3B82F6"/>
      </x:left>
    </x:border>
    <x:border>
      <x:right style="thin">
        <x:color rgb="FF3B82F6"/>
      </x:right>
    </x:border>
    <x:border>
      <x:left style="thin">
        <x:color rgb="FF3B82F6"/>
      </x:left>
      <x:bottom style="thin">
        <x:color rgb="FF3B82F6"/>
      </x:bottom>
    </x:border>
    <x:border>
      <x:bottom style="thin">
        <x:color rgb="FF3B82F6"/>
      </x:bottom>
    </x:border>
    <x:border>
      <x:right style="thin">
        <x:color rgb="FF3B82F6"/>
      </x:right>
      <x:bottom style="thin">
        <x:color rgb="FF3B82F6"/>
      </x:bottom>
    </x:border>
    <x:border>
      <x:left style="thin">
        <x:color rgb="FF2E8B57"/>
      </x:left>
      <x:top style="thin">
        <x:color rgb="FF2E8B57"/>
      </x:top>
    </x:border>
    <x:border>
      <x:top style="thin">
        <x:color rgb="FF2E8B57"/>
      </x:top>
    </x:border>
    <x:border>
      <x:right style="thin">
        <x:color rgb="FF2E8B57"/>
      </x:right>
      <x:top style="thin">
        <x:color rgb="FF2E8B57"/>
      </x:top>
    </x:border>
    <x:border>
      <x:left style="thin">
        <x:color rgb="FF2E8B57"/>
      </x:left>
    </x:border>
    <x:border>
      <x:right style="thin">
        <x:color rgb="FF2E8B57"/>
      </x:right>
    </x:border>
    <x:border>
      <x:left style="thin">
        <x:color rgb="FF2E8B57"/>
      </x:left>
      <x:bottom style="thin">
        <x:color rgb="FF2E8B57"/>
      </x:bottom>
    </x:border>
    <x:border>
      <x:bottom style="thin">
        <x:color rgb="FF2E8B57"/>
      </x:bottom>
    </x:border>
    <x:border>
      <x:right style="thin">
        <x:color rgb="FF2E8B57"/>
      </x:right>
      <x:bottom style="thin">
        <x:color rgb="FF2E8B57"/>
      </x:bottom>
    </x:border>
    <x:border>
      <x:left style="thin">
        <x:color rgb="FFF29E4C"/>
      </x:left>
      <x:top style="thin">
        <x:color rgb="FFF29E4C"/>
      </x:top>
    </x:border>
    <x:border>
      <x:right style="thin">
        <x:color rgb="FFF29E4C"/>
      </x:right>
      <x:top style="thin">
        <x:color rgb="FFF29E4C"/>
      </x:top>
    </x:border>
    <x:border>
      <x:left style="thin">
        <x:color rgb="FFF29E4C"/>
      </x:left>
    </x:border>
    <x:border>
      <x:right style="thin">
        <x:color rgb="FFF29E4C"/>
      </x:right>
    </x:border>
    <x:border>
      <x:left style="thin">
        <x:color rgb="FFF29E4C"/>
      </x:left>
      <x:bottom style="thin">
        <x:color rgb="FFF29E4C"/>
      </x:bottom>
    </x:border>
    <x:border>
      <x:right style="thin">
        <x:color rgb="FFF29E4C"/>
      </x:right>
      <x:bottom style="thin">
        <x:color rgb="FFF29E4C"/>
      </x:bottom>
    </x:border>
    <x:border>
      <x:left style="thin">
        <x:color rgb="FFD9534F"/>
      </x:left>
      <x:top style="thin">
        <x:color rgb="FFD9534F"/>
      </x:top>
    </x:border>
    <x:border>
      <x:top style="thin">
        <x:color rgb="FFD9534F"/>
      </x:top>
    </x:border>
    <x:border>
      <x:right style="thin">
        <x:color rgb="FFD9534F"/>
      </x:right>
      <x:top style="thin">
        <x:color rgb="FFD9534F"/>
      </x:top>
    </x:border>
    <x:border>
      <x:left style="thin">
        <x:color rgb="FFD9534F"/>
      </x:left>
    </x:border>
    <x:border>
      <x:right style="thin">
        <x:color rgb="FFD9534F"/>
      </x:right>
    </x:border>
    <x:border>
      <x:left style="thin">
        <x:color rgb="FFD9534F"/>
      </x:left>
      <x:bottom style="thin">
        <x:color rgb="FFD9534F"/>
      </x:bottom>
    </x:border>
    <x:border>
      <x:bottom style="thin">
        <x:color rgb="FFD9534F"/>
      </x:bottom>
    </x:border>
    <x:border>
      <x:right style="thin">
        <x:color rgb="FFD9534F"/>
      </x:right>
      <x:bottom style="thin">
        <x:color rgb="FFD9534F"/>
      </x:bottom>
    </x:border>
  </x:borders>
  <x:cellStyleXfs count="1">
    <x:xf numFmtId="0" fontId="0" fillId="0" borderId="0"/>
  </x:cellStyleXfs>
  <x:cellXfs count="3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5" fillId="0" borderId="0" xfId="0" applyNumberFormat="1" applyFont="1" applyFill="1" applyBorder="1"/>
    <x:xf numFmtId="0" fontId="4" fillId="5" borderId="0" xfId="0" applyNumberFormat="1" applyFont="1" applyFill="1" applyBorder="1" applyAlignment="1">
      <x:alignment horizontal="center" wrapText="1"/>
    </x:xf>
    <x:xf numFmtId="0" fontId="5"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5"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4" fillId="5" borderId="4" xfId="0" applyNumberFormat="1" applyFont="1" applyFill="1" applyBorder="1" applyAlignment="1">
      <x:alignment horizontal="center" wrapText="1"/>
    </x:xf>
    <x:xf numFmtId="0" fontId="5" fillId="0" borderId="5"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7" xfId="0" applyNumberFormat="1" applyFont="1" applyFill="1" applyBorder="1" applyAlignment="1">
      <x:alignment horizontal="center" wrapText="1"/>
    </x:xf>
    <x:xf numFmtId="0" fontId="5" fillId="0" borderId="8"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6" borderId="0" xfId="0" applyNumberFormat="1" applyFont="1" applyFill="1" applyBorder="1"/>
    <x:xf numFmtId="0" fontId="6"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10" xfId="0" applyNumberFormat="1" applyFont="1" applyFill="1" applyBorder="1"/>
    <x:xf numFmtId="0" fontId="7" fillId="7" borderId="11" xfId="0" applyNumberFormat="1" applyFont="1" applyFill="1" applyBorder="1"/>
    <x:xf numFmtId="0" fontId="7" fillId="7" borderId="12" xfId="0" applyNumberFormat="1" applyFont="1" applyFill="1" applyBorder="1"/>
    <x:xf numFmtId="0" fontId="7" fillId="7" borderId="10" xfId="0" applyNumberFormat="1" applyFont="1" applyFill="1" applyBorder="1" applyAlignment="1">
      <x:alignment wrapText="1"/>
    </x:xf>
    <x:xf numFmtId="0" fontId="7" fillId="7" borderId="11" xfId="0" applyNumberFormat="1" applyFont="1" applyFill="1" applyBorder="1" applyAlignment="1">
      <x:alignment wrapText="1"/>
    </x:xf>
    <x:xf numFmtId="0" fontId="7" fillId="7" borderId="12" xfId="0" applyNumberFormat="1" applyFont="1" applyFill="1" applyBorder="1" applyAlignment="1">
      <x:alignment wrapText="1"/>
    </x:xf>
    <x:xf numFmtId="0" fontId="7" fillId="7" borderId="10" xfId="0" applyNumberFormat="1" applyFont="1" applyFill="1" applyBorder="1" applyAlignment="1">
      <x:alignment vertical="center" wrapText="1"/>
    </x:xf>
    <x:xf numFmtId="0" fontId="7" fillId="7" borderId="11" xfId="0" applyNumberFormat="1" applyFont="1" applyFill="1" applyBorder="1" applyAlignment="1">
      <x:alignment vertical="center" wrapText="1"/>
    </x:xf>
    <x:xf numFmtId="0" fontId="7" fillId="7" borderId="12" xfId="0" applyNumberFormat="1" applyFont="1" applyFill="1" applyBorder="1" applyAlignment="1">
      <x:alignment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0" fillId="8" borderId="0" xfId="0" applyNumberFormat="1" applyFont="1" applyFill="1" applyBorder="1"/>
    <x:xf numFmtId="0" fontId="9" fillId="8" borderId="0" xfId="0" applyNumberFormat="1" applyFont="1" applyFill="1" applyBorder="1"/>
    <x:xf numFmtId="0" fontId="9" fillId="8" borderId="13" xfId="0" applyNumberFormat="1" applyFont="1" applyFill="1" applyBorder="1"/>
    <x:xf numFmtId="0" fontId="9" fillId="8" borderId="14" xfId="0" applyNumberFormat="1" applyFont="1" applyFill="1" applyBorder="1"/>
    <x:xf numFmtId="0" fontId="9" fillId="8" borderId="15" xfId="0" applyNumberFormat="1" applyFont="1" applyFill="1" applyBorder="1"/>
    <x:xf numFmtId="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15"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5" borderId="5" xfId="0" applyNumberFormat="1" applyFont="1" applyFill="1" applyBorder="1" applyAlignment="1">
      <x:alignment vertical="top" wrapText="1"/>
    </x:xf>
    <x:xf numFmtId="0" fontId="10" fillId="5" borderId="5" xfId="0" applyNumberFormat="1" applyFont="1" applyFill="1" applyBorder="1" applyAlignment="1">
      <x:alignment vertical="top" wrapText="1"/>
    </x:xf>
    <x:xf numFmtId="0" fontId="8" fillId="8" borderId="0" xfId="0" applyNumberFormat="1" applyFont="1" applyFill="1" applyBorder="1"/>
    <x:xf numFmtId="0" fontId="8" fillId="8" borderId="16" xfId="0" applyNumberFormat="1" applyFont="1" applyFill="1" applyBorder="1"/>
    <x:xf numFmtId="0" fontId="8" fillId="8" borderId="16" xfId="0" applyNumberFormat="1" applyFont="1" applyFill="1" applyBorder="1" applyAlignment="1">
      <x:alignment wrapText="1"/>
    </x:xf>
    <x:xf numFmtId="0" fontId="8" fillId="8" borderId="16" xfId="0" applyNumberFormat="1" applyFont="1" applyFill="1" applyBorder="1" applyAlignment="1">
      <x:alignment horizontal="center" wrapText="1"/>
    </x:xf>
    <x:xf numFmtId="0" fontId="8" fillId="8" borderId="16" xfId="0" applyNumberFormat="1" applyFont="1" applyFill="1" applyBorder="1" applyAlignment="1">
      <x:alignment horizontal="center" vertical="center" wrapText="1"/>
    </x:xf>
    <x:xf numFmtId="0" fontId="7" fillId="7" borderId="17" xfId="0" applyNumberFormat="1" applyFont="1" applyFill="1" applyBorder="1"/>
    <x:xf numFmtId="0" fontId="7" fillId="7" borderId="18" xfId="0" applyNumberFormat="1" applyFont="1" applyFill="1" applyBorder="1"/>
    <x:xf numFmtId="0" fontId="7" fillId="7" borderId="19" xfId="0" applyNumberFormat="1" applyFont="1" applyFill="1" applyBorder="1"/>
    <x:xf numFmtId="0" fontId="7" fillId="7" borderId="17" xfId="0" applyNumberFormat="1" applyFont="1" applyFill="1" applyBorder="1" applyAlignment="1">
      <x:alignment wrapText="1"/>
    </x:xf>
    <x:xf numFmtId="0" fontId="7" fillId="7" borderId="18" xfId="0" applyNumberFormat="1" applyFont="1" applyFill="1" applyBorder="1" applyAlignment="1">
      <x:alignment wrapText="1"/>
    </x:xf>
    <x:xf numFmtId="0" fontId="7" fillId="7" borderId="19" xfId="0" applyNumberFormat="1" applyFont="1" applyFill="1" applyBorder="1" applyAlignment="1">
      <x:alignment wrapText="1"/>
    </x:xf>
    <x:xf numFmtId="0" fontId="7" fillId="7" borderId="17" xfId="0" applyNumberFormat="1" applyFont="1" applyFill="1" applyBorder="1" applyAlignment="1">
      <x:alignment vertical="center" wrapText="1"/>
    </x:xf>
    <x:xf numFmtId="0" fontId="7" fillId="7" borderId="18" xfId="0" applyNumberFormat="1" applyFont="1" applyFill="1" applyBorder="1" applyAlignment="1">
      <x:alignment vertical="center" wrapText="1"/>
    </x:xf>
    <x:xf numFmtId="0" fontId="7" fillId="7" borderId="19" xfId="0" applyNumberFormat="1" applyFont="1" applyFill="1" applyBorder="1" applyAlignment="1">
      <x:alignment vertical="center" wrapText="1"/>
    </x:xf>
    <x:xf numFmtId="0" fontId="11" fillId="4" borderId="0" xfId="0" applyNumberFormat="1" applyFont="1" applyFill="1" applyBorder="1"/>
    <x:xf numFmtId="0" fontId="11" fillId="4" borderId="0" xfId="0" applyNumberFormat="1" applyFont="1" applyFill="1" applyBorder="1" applyAlignment="1">
      <x:alignment horizontal="center"/>
    </x:xf>
    <x:xf numFmtId="0" fontId="12" fillId="3" borderId="0" xfId="0" applyNumberFormat="1" applyFont="1" applyFill="1" applyBorder="1"/>
    <x:xf numFmtId="0" fontId="12" fillId="3" borderId="20" xfId="0" applyNumberFormat="1" applyFont="1" applyFill="1" applyBorder="1"/>
    <x:xf numFmtId="0" fontId="12" fillId="3" borderId="21" xfId="0" applyNumberFormat="1" applyFont="1" applyFill="1" applyBorder="1"/>
    <x:xf numFmtId="0" fontId="12" fillId="3" borderId="22" xfId="0" applyNumberFormat="1" applyFont="1" applyFill="1" applyBorder="1"/>
    <x:xf numFmtId="0" fontId="12" fillId="3" borderId="23" xfId="0" applyNumberFormat="1" applyFont="1" applyFill="1" applyBorder="1"/>
    <x:xf numFmtId="0" fontId="12" fillId="3" borderId="24" xfId="0" applyNumberFormat="1" applyFont="1" applyFill="1" applyBorder="1"/>
    <x:xf numFmtId="0" fontId="12" fillId="3" borderId="25" xfId="0" applyNumberFormat="1" applyFont="1" applyFill="1" applyBorder="1"/>
    <x:xf numFmtId="0" fontId="12" fillId="3" borderId="26" xfId="0" applyNumberFormat="1" applyFont="1" applyFill="1" applyBorder="1"/>
    <x:xf numFmtId="0" fontId="12" fillId="3" borderId="27" xfId="0" applyNumberFormat="1" applyFont="1" applyFill="1" applyBorder="1"/>
    <x:xf numFmtId="202" fontId="12" fillId="3" borderId="20" xfId="0" applyNumberFormat="1" applyFont="1" applyFill="1" applyBorder="1"/>
    <x:xf numFmtId="202" fontId="12" fillId="3" borderId="21" xfId="0" applyNumberFormat="1" applyFont="1" applyFill="1" applyBorder="1"/>
    <x:xf numFmtId="202" fontId="12" fillId="3" borderId="22" xfId="0" applyNumberFormat="1" applyFont="1" applyFill="1" applyBorder="1"/>
    <x:xf numFmtId="202" fontId="12" fillId="3" borderId="23" xfId="0" applyNumberFormat="1" applyFont="1" applyFill="1" applyBorder="1"/>
    <x:xf numFmtId="202" fontId="12" fillId="3" borderId="0" xfId="0" applyNumberFormat="1" applyFont="1" applyFill="1" applyBorder="1"/>
    <x:xf numFmtId="202" fontId="12" fillId="3" borderId="24" xfId="0" applyNumberFormat="1" applyFont="1" applyFill="1" applyBorder="1"/>
    <x:xf numFmtId="202" fontId="12" fillId="3" borderId="25" xfId="0" applyNumberFormat="1" applyFont="1" applyFill="1" applyBorder="1"/>
    <x:xf numFmtId="202" fontId="12" fillId="3" borderId="26" xfId="0" applyNumberFormat="1" applyFont="1" applyFill="1" applyBorder="1"/>
    <x:xf numFmtId="202" fontId="12" fillId="3" borderId="27" xfId="0" applyNumberFormat="1" applyFont="1" applyFill="1" applyBorder="1"/>
    <x:xf numFmtId="202" fontId="12" fillId="3" borderId="20" xfId="0" applyNumberFormat="1" applyFont="1" applyFill="1" applyBorder="1" applyAlignment="1">
      <x:alignment horizontal="center"/>
    </x:xf>
    <x:xf numFmtId="202" fontId="12" fillId="3" borderId="21" xfId="0" applyNumberFormat="1" applyFont="1" applyFill="1" applyBorder="1" applyAlignment="1">
      <x:alignment horizontal="center"/>
    </x:xf>
    <x:xf numFmtId="202" fontId="12" fillId="3" borderId="22" xfId="0" applyNumberFormat="1" applyFont="1" applyFill="1" applyBorder="1" applyAlignment="1">
      <x:alignment horizontal="center"/>
    </x:xf>
    <x:xf numFmtId="202" fontId="12" fillId="3" borderId="23" xfId="0" applyNumberFormat="1" applyFont="1" applyFill="1" applyBorder="1" applyAlignment="1">
      <x:alignment horizontal="center"/>
    </x:xf>
    <x:xf numFmtId="202" fontId="12" fillId="3" borderId="0" xfId="0" applyNumberFormat="1" applyFont="1" applyFill="1" applyBorder="1" applyAlignment="1">
      <x:alignment horizontal="center"/>
    </x:xf>
    <x:xf numFmtId="202" fontId="12" fillId="3" borderId="24" xfId="0" applyNumberFormat="1" applyFont="1" applyFill="1" applyBorder="1" applyAlignment="1">
      <x:alignment horizontal="center"/>
    </x:xf>
    <x:xf numFmtId="202" fontId="12" fillId="3" borderId="25" xfId="0" applyNumberFormat="1" applyFont="1" applyFill="1" applyBorder="1" applyAlignment="1">
      <x:alignment horizontal="center"/>
    </x:xf>
    <x:xf numFmtId="202" fontId="12" fillId="3" borderId="26" xfId="0" applyNumberFormat="1" applyFont="1" applyFill="1" applyBorder="1" applyAlignment="1">
      <x:alignment horizontal="center"/>
    </x:xf>
    <x:xf numFmtId="202" fontId="12" fillId="3" borderId="27" xfId="0" applyNumberFormat="1" applyFont="1" applyFill="1" applyBorder="1" applyAlignment="1">
      <x:alignment horizontal="center"/>
    </x:xf>
    <x:xf numFmtId="202" fontId="12" fillId="3" borderId="20" xfId="0" applyNumberFormat="1" applyFont="1" applyFill="1" applyBorder="1" applyAlignment="1">
      <x:alignment horizontal="center" vertical="center"/>
    </x:xf>
    <x:xf numFmtId="202" fontId="12" fillId="3" borderId="21" xfId="0" applyNumberFormat="1" applyFont="1" applyFill="1" applyBorder="1" applyAlignment="1">
      <x:alignment horizontal="center" vertical="center"/>
    </x:xf>
    <x:xf numFmtId="202" fontId="12" fillId="3" borderId="22" xfId="0" applyNumberFormat="1" applyFont="1" applyFill="1" applyBorder="1" applyAlignment="1">
      <x:alignment horizontal="center" vertical="center"/>
    </x:xf>
    <x:xf numFmtId="202" fontId="12" fillId="3" borderId="23" xfId="0" applyNumberFormat="1" applyFont="1" applyFill="1" applyBorder="1" applyAlignment="1">
      <x:alignment horizontal="center" vertical="center"/>
    </x:xf>
    <x:xf numFmtId="202" fontId="12" fillId="3" borderId="0" xfId="0" applyNumberFormat="1" applyFont="1" applyFill="1" applyBorder="1" applyAlignment="1">
      <x:alignment horizontal="center" vertical="center"/>
    </x:xf>
    <x:xf numFmtId="202" fontId="12" fillId="3" borderId="24" xfId="0" applyNumberFormat="1" applyFont="1" applyFill="1" applyBorder="1" applyAlignment="1">
      <x:alignment horizontal="center" vertical="center"/>
    </x:xf>
    <x:xf numFmtId="202" fontId="12" fillId="3" borderId="25" xfId="0" applyNumberFormat="1" applyFont="1" applyFill="1" applyBorder="1" applyAlignment="1">
      <x:alignment horizontal="center" vertical="center"/>
    </x:xf>
    <x:xf numFmtId="202" fontId="12" fillId="3" borderId="26" xfId="0" applyNumberFormat="1" applyFont="1" applyFill="1" applyBorder="1" applyAlignment="1">
      <x:alignment horizontal="center" vertical="center"/>
    </x:xf>
    <x:xf numFmtId="202" fontId="12" fillId="3" borderId="27" xfId="0" applyNumberFormat="1" applyFont="1" applyFill="1" applyBorder="1" applyAlignment="1">
      <x:alignment horizontal="center" vertical="center"/>
    </x:xf>
    <x:xf numFmtId="0" fontId="0"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horizontal="center"/>
    </x:xf>
    <x:xf numFmtId="0" fontId="12" fillId="3" borderId="28" xfId="0" applyNumberFormat="1" applyFont="1" applyFill="1" applyBorder="1"/>
    <x:xf numFmtId="0" fontId="12" fillId="3" borderId="29" xfId="0" applyNumberFormat="1" applyFont="1" applyFill="1" applyBorder="1"/>
    <x:xf numFmtId="0" fontId="12" fillId="3" borderId="30" xfId="0" applyNumberFormat="1" applyFont="1" applyFill="1" applyBorder="1"/>
    <x:xf numFmtId="0" fontId="12" fillId="3" borderId="31" xfId="0" applyNumberFormat="1" applyFont="1" applyFill="1" applyBorder="1"/>
    <x:xf numFmtId="0" fontId="12" fillId="3" borderId="32" xfId="0" applyNumberFormat="1" applyFont="1" applyFill="1" applyBorder="1"/>
    <x:xf numFmtId="0" fontId="12" fillId="3" borderId="33" xfId="0" applyNumberFormat="1" applyFont="1" applyFill="1" applyBorder="1"/>
    <x:xf numFmtId="0" fontId="12" fillId="3" borderId="34" xfId="0" applyNumberFormat="1" applyFont="1" applyFill="1" applyBorder="1"/>
    <x:xf numFmtId="0" fontId="12" fillId="3" borderId="35" xfId="0" applyNumberFormat="1" applyFont="1" applyFill="1" applyBorder="1"/>
    <x:xf numFmtId="202" fontId="12" fillId="3" borderId="28" xfId="0" applyNumberFormat="1" applyFont="1" applyFill="1" applyBorder="1"/>
    <x:xf numFmtId="202" fontId="12" fillId="3" borderId="29" xfId="0" applyNumberFormat="1" applyFont="1" applyFill="1" applyBorder="1"/>
    <x:xf numFmtId="202" fontId="12" fillId="3" borderId="30" xfId="0" applyNumberFormat="1" applyFont="1" applyFill="1" applyBorder="1"/>
    <x:xf numFmtId="202" fontId="12" fillId="3" borderId="31" xfId="0" applyNumberFormat="1" applyFont="1" applyFill="1" applyBorder="1"/>
    <x:xf numFmtId="202" fontId="12" fillId="3" borderId="32" xfId="0" applyNumberFormat="1" applyFont="1" applyFill="1" applyBorder="1"/>
    <x:xf numFmtId="202" fontId="12" fillId="3" borderId="33" xfId="0" applyNumberFormat="1" applyFont="1" applyFill="1" applyBorder="1"/>
    <x:xf numFmtId="202" fontId="12" fillId="3" borderId="34" xfId="0" applyNumberFormat="1" applyFont="1" applyFill="1" applyBorder="1"/>
    <x:xf numFmtId="202" fontId="12" fillId="3" borderId="35" xfId="0" applyNumberFormat="1" applyFont="1" applyFill="1" applyBorder="1"/>
    <x:xf numFmtId="202" fontId="12" fillId="3" borderId="28" xfId="0" applyNumberFormat="1" applyFont="1" applyFill="1" applyBorder="1" applyAlignment="1">
      <x:alignment horizontal="center"/>
    </x:xf>
    <x:xf numFmtId="202" fontId="12" fillId="3" borderId="29" xfId="0" applyNumberFormat="1" applyFont="1" applyFill="1" applyBorder="1" applyAlignment="1">
      <x:alignment horizontal="center"/>
    </x:xf>
    <x:xf numFmtId="202" fontId="12" fillId="3" borderId="30" xfId="0" applyNumberFormat="1" applyFont="1" applyFill="1" applyBorder="1" applyAlignment="1">
      <x:alignment horizontal="center"/>
    </x:xf>
    <x:xf numFmtId="202" fontId="12" fillId="3" borderId="31" xfId="0" applyNumberFormat="1" applyFont="1" applyFill="1" applyBorder="1" applyAlignment="1">
      <x:alignment horizontal="center"/>
    </x:xf>
    <x:xf numFmtId="202" fontId="12" fillId="3" borderId="32" xfId="0" applyNumberFormat="1" applyFont="1" applyFill="1" applyBorder="1" applyAlignment="1">
      <x:alignment horizontal="center"/>
    </x:xf>
    <x:xf numFmtId="202" fontId="12" fillId="3" borderId="33" xfId="0" applyNumberFormat="1" applyFont="1" applyFill="1" applyBorder="1" applyAlignment="1">
      <x:alignment horizontal="center"/>
    </x:xf>
    <x:xf numFmtId="202" fontId="12" fillId="3" borderId="34" xfId="0" applyNumberFormat="1" applyFont="1" applyFill="1" applyBorder="1" applyAlignment="1">
      <x:alignment horizontal="center"/>
    </x:xf>
    <x:xf numFmtId="202" fontId="12" fillId="3" borderId="35" xfId="0" applyNumberFormat="1" applyFont="1" applyFill="1" applyBorder="1" applyAlignment="1">
      <x:alignment horizontal="center"/>
    </x:xf>
    <x:xf numFmtId="202" fontId="12" fillId="3" borderId="28" xfId="0" applyNumberFormat="1" applyFont="1" applyFill="1" applyBorder="1" applyAlignment="1">
      <x:alignment horizontal="center" vertical="center"/>
    </x:xf>
    <x:xf numFmtId="202" fontId="12" fillId="3" borderId="29" xfId="0" applyNumberFormat="1" applyFont="1" applyFill="1" applyBorder="1" applyAlignment="1">
      <x:alignment horizontal="center" vertical="center"/>
    </x:xf>
    <x:xf numFmtId="202" fontId="12" fillId="3" borderId="30" xfId="0" applyNumberFormat="1" applyFont="1" applyFill="1" applyBorder="1" applyAlignment="1">
      <x:alignment horizontal="center" vertical="center"/>
    </x:xf>
    <x:xf numFmtId="202" fontId="12" fillId="3" borderId="31" xfId="0" applyNumberFormat="1" applyFont="1" applyFill="1" applyBorder="1" applyAlignment="1">
      <x:alignment horizontal="center" vertical="center"/>
    </x:xf>
    <x:xf numFmtId="202" fontId="12" fillId="3" borderId="32" xfId="0" applyNumberFormat="1" applyFont="1" applyFill="1" applyBorder="1" applyAlignment="1">
      <x:alignment horizontal="center" vertical="center"/>
    </x:xf>
    <x:xf numFmtId="202" fontId="12" fillId="3" borderId="33" xfId="0" applyNumberFormat="1" applyFont="1" applyFill="1" applyBorder="1" applyAlignment="1">
      <x:alignment horizontal="center" vertical="center"/>
    </x:xf>
    <x:xf numFmtId="202" fontId="12" fillId="3" borderId="34" xfId="0" applyNumberFormat="1" applyFont="1" applyFill="1" applyBorder="1" applyAlignment="1">
      <x:alignment horizontal="center" vertical="center"/>
    </x:xf>
    <x:xf numFmtId="202" fontId="12" fillId="3" borderId="35" xfId="0" applyNumberFormat="1" applyFont="1" applyFill="1" applyBorder="1" applyAlignment="1">
      <x:alignment horizontal="center" vertical="center"/>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horizontal="center"/>
    </x:xf>
    <x:xf numFmtId="0" fontId="12" fillId="3" borderId="36" xfId="0" applyNumberFormat="1" applyFont="1" applyFill="1" applyBorder="1"/>
    <x:xf numFmtId="0" fontId="12" fillId="3" borderId="37" xfId="0" applyNumberFormat="1" applyFont="1" applyFill="1" applyBorder="1"/>
    <x:xf numFmtId="0" fontId="12" fillId="3" borderId="38" xfId="0" applyNumberFormat="1" applyFont="1" applyFill="1" applyBorder="1"/>
    <x:xf numFmtId="0" fontId="12" fillId="3" borderId="39" xfId="0" applyNumberFormat="1" applyFont="1" applyFill="1" applyBorder="1"/>
    <x:xf numFmtId="0" fontId="12" fillId="3" borderId="40" xfId="0" applyNumberFormat="1" applyFont="1" applyFill="1" applyBorder="1"/>
    <x:xf numFmtId="0" fontId="12" fillId="3" borderId="41" xfId="0" applyNumberFormat="1" applyFont="1" applyFill="1" applyBorder="1"/>
    <x:xf numFmtId="0" fontId="12" fillId="3" borderId="42" xfId="0" applyNumberFormat="1" applyFont="1" applyFill="1" applyBorder="1"/>
    <x:xf numFmtId="0" fontId="12" fillId="3" borderId="43" xfId="0" applyNumberFormat="1" applyFont="1" applyFill="1" applyBorder="1"/>
    <x:xf numFmtId="202" fontId="12" fillId="3" borderId="36" xfId="0" applyNumberFormat="1" applyFont="1" applyFill="1" applyBorder="1"/>
    <x:xf numFmtId="202" fontId="12" fillId="3" borderId="37" xfId="0" applyNumberFormat="1" applyFont="1" applyFill="1" applyBorder="1"/>
    <x:xf numFmtId="202" fontId="12" fillId="3" borderId="38" xfId="0" applyNumberFormat="1" applyFont="1" applyFill="1" applyBorder="1"/>
    <x:xf numFmtId="202" fontId="12" fillId="3" borderId="39" xfId="0" applyNumberFormat="1" applyFont="1" applyFill="1" applyBorder="1"/>
    <x:xf numFmtId="202" fontId="12" fillId="3" borderId="40" xfId="0" applyNumberFormat="1" applyFont="1" applyFill="1" applyBorder="1"/>
    <x:xf numFmtId="202" fontId="12" fillId="3" borderId="41" xfId="0" applyNumberFormat="1" applyFont="1" applyFill="1" applyBorder="1"/>
    <x:xf numFmtId="202" fontId="12" fillId="3" borderId="42" xfId="0" applyNumberFormat="1" applyFont="1" applyFill="1" applyBorder="1"/>
    <x:xf numFmtId="202" fontId="12" fillId="3" borderId="43" xfId="0" applyNumberFormat="1" applyFont="1" applyFill="1" applyBorder="1"/>
    <x:xf numFmtId="202" fontId="12" fillId="3" borderId="36" xfId="0" applyNumberFormat="1" applyFont="1" applyFill="1" applyBorder="1" applyAlignment="1">
      <x:alignment horizontal="center"/>
    </x:xf>
    <x:xf numFmtId="202" fontId="12" fillId="3" borderId="37" xfId="0" applyNumberFormat="1" applyFont="1" applyFill="1" applyBorder="1" applyAlignment="1">
      <x:alignment horizontal="center"/>
    </x:xf>
    <x:xf numFmtId="202" fontId="12" fillId="3" borderId="38" xfId="0" applyNumberFormat="1" applyFont="1" applyFill="1" applyBorder="1" applyAlignment="1">
      <x:alignment horizontal="center"/>
    </x:xf>
    <x:xf numFmtId="202" fontId="12" fillId="3" borderId="39" xfId="0" applyNumberFormat="1" applyFont="1" applyFill="1" applyBorder="1" applyAlignment="1">
      <x:alignment horizontal="center"/>
    </x:xf>
    <x:xf numFmtId="202" fontId="12" fillId="3" borderId="40" xfId="0" applyNumberFormat="1" applyFont="1" applyFill="1" applyBorder="1" applyAlignment="1">
      <x:alignment horizontal="center"/>
    </x:xf>
    <x:xf numFmtId="202" fontId="12" fillId="3" borderId="41" xfId="0" applyNumberFormat="1" applyFont="1" applyFill="1" applyBorder="1" applyAlignment="1">
      <x:alignment horizontal="center"/>
    </x:xf>
    <x:xf numFmtId="202" fontId="12" fillId="3" borderId="42" xfId="0" applyNumberFormat="1" applyFont="1" applyFill="1" applyBorder="1" applyAlignment="1">
      <x:alignment horizontal="center"/>
    </x:xf>
    <x:xf numFmtId="202" fontId="12" fillId="3" borderId="43" xfId="0" applyNumberFormat="1" applyFont="1" applyFill="1" applyBorder="1" applyAlignment="1">
      <x:alignment horizontal="center"/>
    </x:xf>
    <x:xf numFmtId="202" fontId="12" fillId="3" borderId="36" xfId="0" applyNumberFormat="1" applyFont="1" applyFill="1" applyBorder="1" applyAlignment="1">
      <x:alignment horizontal="center" vertical="center"/>
    </x:xf>
    <x:xf numFmtId="202" fontId="12" fillId="3" borderId="37" xfId="0" applyNumberFormat="1" applyFont="1" applyFill="1" applyBorder="1" applyAlignment="1">
      <x:alignment horizontal="center" vertical="center"/>
    </x:xf>
    <x:xf numFmtId="202" fontId="12" fillId="3" borderId="38" xfId="0" applyNumberFormat="1" applyFont="1" applyFill="1" applyBorder="1" applyAlignment="1">
      <x:alignment horizontal="center" vertical="center"/>
    </x:xf>
    <x:xf numFmtId="202" fontId="12" fillId="3" borderId="39" xfId="0" applyNumberFormat="1" applyFont="1" applyFill="1" applyBorder="1" applyAlignment="1">
      <x:alignment horizontal="center" vertical="center"/>
    </x:xf>
    <x:xf numFmtId="202" fontId="12" fillId="3" borderId="40" xfId="0" applyNumberFormat="1" applyFont="1" applyFill="1" applyBorder="1" applyAlignment="1">
      <x:alignment horizontal="center" vertical="center"/>
    </x:xf>
    <x:xf numFmtId="202" fontId="12" fillId="3" borderId="41" xfId="0" applyNumberFormat="1" applyFont="1" applyFill="1" applyBorder="1" applyAlignment="1">
      <x:alignment horizontal="center" vertical="center"/>
    </x:xf>
    <x:xf numFmtId="202" fontId="12" fillId="3" borderId="42" xfId="0" applyNumberFormat="1" applyFont="1" applyFill="1" applyBorder="1" applyAlignment="1">
      <x:alignment horizontal="center" vertical="center"/>
    </x:xf>
    <x:xf numFmtId="202" fontId="12" fillId="3" borderId="43" xfId="0" applyNumberFormat="1" applyFont="1" applyFill="1" applyBorder="1" applyAlignment="1">
      <x:alignment horizontal="center" vertical="center"/>
    </x:xf>
    <x:xf numFmtId="0" fontId="11" fillId="6" borderId="0" xfId="0" applyNumberFormat="1" applyFont="1" applyFill="1" applyBorder="1"/>
    <x:xf numFmtId="0" fontId="11" fillId="6" borderId="0" xfId="0" applyNumberFormat="1" applyFont="1" applyFill="1" applyBorder="1" applyAlignment="1">
      <x:alignment horizontal="center"/>
    </x:xf>
    <x:xf numFmtId="0" fontId="12" fillId="3" borderId="44" xfId="0" applyNumberFormat="1" applyFont="1" applyFill="1" applyBorder="1"/>
    <x:xf numFmtId="0" fontId="12" fillId="3" borderId="45" xfId="0" applyNumberFormat="1" applyFont="1" applyFill="1" applyBorder="1"/>
    <x:xf numFmtId="0" fontId="12" fillId="3" borderId="46" xfId="0" applyNumberFormat="1" applyFont="1" applyFill="1" applyBorder="1"/>
    <x:xf numFmtId="0" fontId="12" fillId="3" borderId="47" xfId="0" applyNumberFormat="1" applyFont="1" applyFill="1" applyBorder="1"/>
    <x:xf numFmtId="0" fontId="12" fillId="3" borderId="48" xfId="0" applyNumberFormat="1" applyFont="1" applyFill="1" applyBorder="1"/>
    <x:xf numFmtId="0" fontId="12" fillId="3" borderId="49" xfId="0" applyNumberFormat="1" applyFont="1" applyFill="1" applyBorder="1"/>
    <x:xf numFmtId="202" fontId="12" fillId="3" borderId="44" xfId="0" applyNumberFormat="1" applyFont="1" applyFill="1" applyBorder="1"/>
    <x:xf numFmtId="202" fontId="12" fillId="3" borderId="45" xfId="0" applyNumberFormat="1" applyFont="1" applyFill="1" applyBorder="1"/>
    <x:xf numFmtId="202" fontId="12" fillId="3" borderId="46" xfId="0" applyNumberFormat="1" applyFont="1" applyFill="1" applyBorder="1"/>
    <x:xf numFmtId="202" fontId="12" fillId="3" borderId="47" xfId="0" applyNumberFormat="1" applyFont="1" applyFill="1" applyBorder="1"/>
    <x:xf numFmtId="202" fontId="12" fillId="3" borderId="48" xfId="0" applyNumberFormat="1" applyFont="1" applyFill="1" applyBorder="1"/>
    <x:xf numFmtId="202" fontId="12" fillId="3" borderId="49" xfId="0" applyNumberFormat="1" applyFont="1" applyFill="1" applyBorder="1"/>
    <x:xf numFmtId="202" fontId="12" fillId="3" borderId="44" xfId="0" applyNumberFormat="1" applyFont="1" applyFill="1" applyBorder="1" applyAlignment="1">
      <x:alignment horizontal="center"/>
    </x:xf>
    <x:xf numFmtId="202" fontId="12" fillId="3" borderId="45" xfId="0" applyNumberFormat="1" applyFont="1" applyFill="1" applyBorder="1" applyAlignment="1">
      <x:alignment horizontal="center"/>
    </x:xf>
    <x:xf numFmtId="202" fontId="12" fillId="3" borderId="46" xfId="0" applyNumberFormat="1" applyFont="1" applyFill="1" applyBorder="1" applyAlignment="1">
      <x:alignment horizontal="center"/>
    </x:xf>
    <x:xf numFmtId="202" fontId="12" fillId="3" borderId="47" xfId="0" applyNumberFormat="1" applyFont="1" applyFill="1" applyBorder="1" applyAlignment="1">
      <x:alignment horizontal="center"/>
    </x:xf>
    <x:xf numFmtId="202" fontId="12" fillId="3" borderId="48" xfId="0" applyNumberFormat="1" applyFont="1" applyFill="1" applyBorder="1" applyAlignment="1">
      <x:alignment horizontal="center"/>
    </x:xf>
    <x:xf numFmtId="202" fontId="12" fillId="3" borderId="49" xfId="0" applyNumberFormat="1" applyFont="1" applyFill="1" applyBorder="1" applyAlignment="1">
      <x:alignment horizontal="center"/>
    </x:xf>
    <x:xf numFmtId="202" fontId="12" fillId="3" borderId="44" xfId="0" applyNumberFormat="1" applyFont="1" applyFill="1" applyBorder="1" applyAlignment="1">
      <x:alignment horizontal="center" vertical="center"/>
    </x:xf>
    <x:xf numFmtId="202" fontId="12" fillId="3" borderId="45" xfId="0" applyNumberFormat="1" applyFont="1" applyFill="1" applyBorder="1" applyAlignment="1">
      <x:alignment horizontal="center" vertical="center"/>
    </x:xf>
    <x:xf numFmtId="202" fontId="12" fillId="3" borderId="46" xfId="0" applyNumberFormat="1" applyFont="1" applyFill="1" applyBorder="1" applyAlignment="1">
      <x:alignment horizontal="center" vertical="center"/>
    </x:xf>
    <x:xf numFmtId="202" fontId="12" fillId="3" borderId="47" xfId="0" applyNumberFormat="1" applyFont="1" applyFill="1" applyBorder="1" applyAlignment="1">
      <x:alignment horizontal="center" vertical="center"/>
    </x:xf>
    <x:xf numFmtId="202" fontId="12" fillId="3" borderId="48" xfId="0" applyNumberFormat="1" applyFont="1" applyFill="1" applyBorder="1" applyAlignment="1">
      <x:alignment horizontal="center" vertical="center"/>
    </x:xf>
    <x:xf numFmtId="202" fontId="12" fillId="3" borderId="49" xfId="0" applyNumberFormat="1" applyFont="1" applyFill="1" applyBorder="1" applyAlignment="1">
      <x:alignment horizontal="center" vertical="center"/>
    </x:xf>
    <x:xf numFmtId="0" fontId="11" fillId="7" borderId="0" xfId="0" applyNumberFormat="1" applyFont="1" applyFill="1" applyBorder="1"/>
    <x:xf numFmtId="0" fontId="8" fillId="6" borderId="0" xfId="0" applyNumberFormat="1" applyFont="1" applyFill="1" applyBorder="1"/>
    <x:xf numFmtId="0" fontId="13" fillId="3" borderId="0" xfId="0" applyNumberFormat="1" applyFont="1" applyFill="1" applyBorder="1"/>
    <x:xf numFmtId="0" fontId="13" fillId="3" borderId="1" xfId="0" applyNumberFormat="1" applyFont="1" applyFill="1" applyBorder="1"/>
    <x:xf numFmtId="0" fontId="13" fillId="3" borderId="2" xfId="0" applyNumberFormat="1" applyFont="1" applyFill="1" applyBorder="1"/>
    <x:xf numFmtId="0" fontId="13" fillId="3" borderId="3" xfId="0" applyNumberFormat="1" applyFont="1" applyFill="1" applyBorder="1"/>
    <x:xf numFmtId="0" fontId="13" fillId="3" borderId="4" xfId="0" applyNumberFormat="1" applyFont="1" applyFill="1" applyBorder="1"/>
    <x:xf numFmtId="0" fontId="13" fillId="3" borderId="5" xfId="0" applyNumberFormat="1" applyFont="1" applyFill="1" applyBorder="1"/>
    <x:xf numFmtId="0" fontId="13" fillId="3" borderId="6" xfId="0" applyNumberFormat="1" applyFont="1" applyFill="1" applyBorder="1"/>
    <x:xf numFmtId="0" fontId="13" fillId="3" borderId="7" xfId="0" applyNumberFormat="1" applyFont="1" applyFill="1" applyBorder="1"/>
    <x:xf numFmtId="0" fontId="13" fillId="3" borderId="8" xfId="0" applyNumberFormat="1" applyFont="1" applyFill="1" applyBorder="1"/>
    <x:xf numFmtId="0" fontId="13" fillId="3" borderId="9" xfId="0" applyNumberFormat="1" applyFont="1" applyFill="1" applyBorder="1"/>
    <x:xf numFmtId="0" fontId="13" fillId="3" borderId="1" xfId="0" applyNumberFormat="1" applyFont="1" applyFill="1" applyBorder="1" applyAlignment="1">
      <x:alignment wrapText="1"/>
    </x:xf>
    <x:xf numFmtId="0" fontId="13" fillId="3" borderId="2" xfId="0" applyNumberFormat="1" applyFont="1" applyFill="1" applyBorder="1" applyAlignment="1">
      <x:alignment wrapText="1"/>
    </x:xf>
    <x:xf numFmtId="0" fontId="13" fillId="3" borderId="3" xfId="0" applyNumberFormat="1" applyFont="1" applyFill="1" applyBorder="1" applyAlignment="1">
      <x:alignment wrapText="1"/>
    </x:xf>
    <x:xf numFmtId="0" fontId="13" fillId="3" borderId="4" xfId="0" applyNumberFormat="1" applyFont="1" applyFill="1" applyBorder="1" applyAlignment="1">
      <x:alignment wrapText="1"/>
    </x:xf>
    <x:xf numFmtId="0" fontId="13" fillId="3" borderId="5" xfId="0" applyNumberFormat="1" applyFont="1" applyFill="1" applyBorder="1" applyAlignment="1">
      <x:alignment wrapText="1"/>
    </x:xf>
    <x:xf numFmtId="0" fontId="13" fillId="3" borderId="6" xfId="0" applyNumberFormat="1" applyFont="1" applyFill="1" applyBorder="1" applyAlignment="1">
      <x:alignment wrapText="1"/>
    </x:xf>
    <x:xf numFmtId="0" fontId="13" fillId="3" borderId="7" xfId="0" applyNumberFormat="1" applyFont="1" applyFill="1" applyBorder="1" applyAlignment="1">
      <x:alignment wrapText="1"/>
    </x:xf>
    <x:xf numFmtId="0" fontId="13" fillId="3" borderId="8" xfId="0" applyNumberFormat="1" applyFont="1" applyFill="1" applyBorder="1" applyAlignment="1">
      <x:alignment wrapText="1"/>
    </x:xf>
    <x:xf numFmtId="0" fontId="13" fillId="3" borderId="9" xfId="0" applyNumberFormat="1" applyFont="1" applyFill="1" applyBorder="1" applyAlignment="1">
      <x:alignment wrapText="1"/>
    </x:xf>
    <x:xf numFmtId="0" fontId="13" fillId="3" borderId="1" xfId="0" applyNumberFormat="1" applyFont="1" applyFill="1" applyBorder="1" applyAlignment="1">
      <x:alignment vertical="center" wrapText="1"/>
    </x:xf>
    <x:xf numFmtId="0" fontId="13" fillId="3" borderId="2" xfId="0" applyNumberFormat="1" applyFont="1" applyFill="1" applyBorder="1" applyAlignment="1">
      <x:alignment vertical="center" wrapText="1"/>
    </x:xf>
    <x:xf numFmtId="0" fontId="13" fillId="3" borderId="3" xfId="0" applyNumberFormat="1" applyFont="1" applyFill="1" applyBorder="1" applyAlignment="1">
      <x:alignment vertical="center" wrapText="1"/>
    </x:xf>
    <x:xf numFmtId="0" fontId="13" fillId="3" borderId="4" xfId="0" applyNumberFormat="1" applyFont="1" applyFill="1" applyBorder="1" applyAlignment="1">
      <x:alignment vertical="center" wrapText="1"/>
    </x:xf>
    <x:xf numFmtId="0" fontId="13" fillId="3" borderId="5" xfId="0" applyNumberFormat="1" applyFont="1" applyFill="1" applyBorder="1" applyAlignment="1">
      <x:alignment vertical="center" wrapText="1"/>
    </x:xf>
    <x:xf numFmtId="0" fontId="13" fillId="3" borderId="6" xfId="0" applyNumberFormat="1" applyFont="1" applyFill="1" applyBorder="1" applyAlignment="1">
      <x:alignment vertical="center" wrapText="1"/>
    </x:xf>
    <x:xf numFmtId="0" fontId="13" fillId="3" borderId="7" xfId="0" applyNumberFormat="1" applyFont="1" applyFill="1" applyBorder="1" applyAlignment="1">
      <x:alignment vertical="center" wrapText="1"/>
    </x:xf>
    <x:xf numFmtId="0" fontId="13" fillId="3" borderId="8" xfId="0" applyNumberFormat="1" applyFont="1" applyFill="1" applyBorder="1" applyAlignment="1">
      <x:alignment vertical="center" wrapText="1"/>
    </x:xf>
    <x:xf numFmtId="0" fontId="13" fillId="3" borderId="9" xfId="0" applyNumberFormat="1" applyFont="1" applyFill="1" applyBorder="1" applyAlignment="1">
      <x:alignment vertical="center" wrapText="1"/>
    </x:xf>
    <x:xf numFmtId="0" fontId="8" fillId="8" borderId="28" xfId="0" applyNumberFormat="1" applyFont="1" applyFill="1" applyBorder="1"/>
    <x:xf numFmtId="0" fontId="8" fillId="8" borderId="29" xfId="0" applyNumberFormat="1" applyFont="1" applyFill="1" applyBorder="1"/>
    <x:xf numFmtId="0" fontId="8" fillId="8" borderId="30" xfId="0" applyNumberFormat="1" applyFont="1" applyFill="1" applyBorder="1"/>
    <x:xf numFmtId="0" fontId="8" fillId="8" borderId="31" xfId="0" applyNumberFormat="1" applyFont="1" applyFill="1" applyBorder="1"/>
    <x:xf numFmtId="0" fontId="8" fillId="8" borderId="32" xfId="0" applyNumberFormat="1" applyFont="1" applyFill="1" applyBorder="1"/>
    <x:xf numFmtId="0" fontId="8" fillId="8" borderId="33" xfId="0" applyNumberFormat="1" applyFont="1" applyFill="1" applyBorder="1"/>
    <x:xf numFmtId="0" fontId="8" fillId="8" borderId="34" xfId="0" applyNumberFormat="1" applyFont="1" applyFill="1" applyBorder="1"/>
    <x:xf numFmtId="0" fontId="8" fillId="8" borderId="35" xfId="0" applyNumberFormat="1" applyFont="1" applyFill="1" applyBorder="1"/>
    <x:xf numFmtId="0" fontId="8" fillId="8" borderId="28" xfId="0" applyNumberFormat="1" applyFont="1" applyFill="1" applyBorder="1" applyAlignment="1">
      <x:alignment wrapText="1"/>
    </x:xf>
    <x:xf numFmtId="0" fontId="8" fillId="8" borderId="29" xfId="0" applyNumberFormat="1" applyFont="1" applyFill="1" applyBorder="1" applyAlignment="1">
      <x:alignment wrapText="1"/>
    </x:xf>
    <x:xf numFmtId="0" fontId="8" fillId="8" borderId="30" xfId="0" applyNumberFormat="1" applyFont="1" applyFill="1" applyBorder="1" applyAlignment="1">
      <x:alignment wrapText="1"/>
    </x:xf>
    <x:xf numFmtId="0" fontId="8" fillId="8" borderId="31"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32" xfId="0" applyNumberFormat="1" applyFont="1" applyFill="1" applyBorder="1" applyAlignment="1">
      <x:alignment wrapText="1"/>
    </x:xf>
    <x:xf numFmtId="0" fontId="8" fillId="8" borderId="33" xfId="0" applyNumberFormat="1" applyFont="1" applyFill="1" applyBorder="1" applyAlignment="1">
      <x:alignment wrapText="1"/>
    </x:xf>
    <x:xf numFmtId="0" fontId="8" fillId="8" borderId="34" xfId="0" applyNumberFormat="1" applyFont="1" applyFill="1" applyBorder="1" applyAlignment="1">
      <x:alignment wrapText="1"/>
    </x:xf>
    <x:xf numFmtId="0" fontId="8" fillId="8" borderId="35" xfId="0" applyNumberFormat="1" applyFont="1" applyFill="1" applyBorder="1" applyAlignment="1">
      <x:alignment wrapText="1"/>
    </x:xf>
    <x:xf numFmtId="0" fontId="8" fillId="8" borderId="28" xfId="0" applyNumberFormat="1" applyFont="1" applyFill="1" applyBorder="1" applyAlignment="1">
      <x:alignment horizontal="center" wrapText="1"/>
    </x:xf>
    <x:xf numFmtId="0" fontId="8" fillId="8" borderId="29" xfId="0" applyNumberFormat="1" applyFont="1" applyFill="1" applyBorder="1" applyAlignment="1">
      <x:alignment horizontal="center" wrapText="1"/>
    </x:xf>
    <x:xf numFmtId="0" fontId="8" fillId="8" borderId="30" xfId="0" applyNumberFormat="1" applyFont="1" applyFill="1" applyBorder="1" applyAlignment="1">
      <x:alignment horizontal="center" wrapText="1"/>
    </x:xf>
    <x:xf numFmtId="0" fontId="8" fillId="8" borderId="31" xfId="0" applyNumberFormat="1" applyFont="1" applyFill="1" applyBorder="1" applyAlignment="1">
      <x:alignment horizontal="center" wrapText="1"/>
    </x:xf>
    <x:xf numFmtId="0" fontId="8" fillId="8" borderId="0" xfId="0" applyNumberFormat="1" applyFont="1" applyFill="1" applyBorder="1" applyAlignment="1">
      <x:alignment horizontal="center" wrapText="1"/>
    </x:xf>
    <x:xf numFmtId="0" fontId="8" fillId="8" borderId="32" xfId="0" applyNumberFormat="1" applyFont="1" applyFill="1" applyBorder="1" applyAlignment="1">
      <x:alignment horizontal="center" wrapText="1"/>
    </x:xf>
    <x:xf numFmtId="0" fontId="8" fillId="8" borderId="33" xfId="0" applyNumberFormat="1" applyFont="1" applyFill="1" applyBorder="1" applyAlignment="1">
      <x:alignment horizontal="center" wrapText="1"/>
    </x:xf>
    <x:xf numFmtId="0" fontId="8" fillId="8" borderId="34" xfId="0" applyNumberFormat="1" applyFont="1" applyFill="1" applyBorder="1" applyAlignment="1">
      <x:alignment horizontal="center" wrapText="1"/>
    </x:xf>
    <x:xf numFmtId="0" fontId="8" fillId="8" borderId="35" xfId="0" applyNumberFormat="1" applyFont="1" applyFill="1" applyBorder="1" applyAlignment="1">
      <x:alignment horizontal="center" wrapText="1"/>
    </x:xf>
    <x:xf numFmtId="0" fontId="8" fillId="8" borderId="28" xfId="0" applyNumberFormat="1" applyFont="1" applyFill="1" applyBorder="1" applyAlignment="1">
      <x:alignment horizontal="center" vertical="center" wrapText="1"/>
    </x:xf>
    <x:xf numFmtId="0" fontId="8" fillId="8" borderId="29" xfId="0" applyNumberFormat="1" applyFont="1" applyFill="1" applyBorder="1" applyAlignment="1">
      <x:alignment horizontal="center" vertical="center" wrapText="1"/>
    </x:xf>
    <x:xf numFmtId="0" fontId="8" fillId="8" borderId="30" xfId="0" applyNumberFormat="1" applyFont="1" applyFill="1" applyBorder="1" applyAlignment="1">
      <x:alignment horizontal="center" vertical="center" wrapText="1"/>
    </x:xf>
    <x:xf numFmtId="0" fontId="8" fillId="8" borderId="31" xfId="0" applyNumberFormat="1" applyFont="1" applyFill="1" applyBorder="1" applyAlignment="1">
      <x:alignment horizontal="center" vertical="center" wrapText="1"/>
    </x:xf>
    <x:xf numFmtId="0" fontId="8" fillId="8" borderId="0" xfId="0" applyNumberFormat="1" applyFont="1" applyFill="1" applyBorder="1" applyAlignment="1">
      <x:alignment horizontal="center" vertical="center" wrapText="1"/>
    </x:xf>
    <x:xf numFmtId="0" fontId="8" fillId="8" borderId="32" xfId="0" applyNumberFormat="1" applyFont="1" applyFill="1" applyBorder="1" applyAlignment="1">
      <x:alignment horizontal="center" vertical="center" wrapText="1"/>
    </x:xf>
    <x:xf numFmtId="0" fontId="8" fillId="8" borderId="33" xfId="0" applyNumberFormat="1" applyFont="1" applyFill="1" applyBorder="1" applyAlignment="1">
      <x:alignment horizontal="center" vertical="center" wrapText="1"/>
    </x:xf>
    <x:xf numFmtId="0" fontId="8" fillId="8" borderId="34" xfId="0" applyNumberFormat="1" applyFont="1" applyFill="1" applyBorder="1" applyAlignment="1">
      <x:alignment horizontal="center" vertical="center" wrapText="1"/>
    </x:xf>
    <x:xf numFmtId="0" fontId="8" fillId="8" borderId="35" xfId="0" applyNumberFormat="1" applyFont="1" applyFill="1" applyBorder="1" applyAlignment="1">
      <x:alignment horizontal="center" vertical="center" wrapText="1"/>
    </x:xf>
    <x:xf numFmtId="0" fontId="0" fillId="11" borderId="0" xfId="0" applyNumberFormat="1" applyFont="1" applyFill="1" applyBorder="1"/>
    <x:xf numFmtId="0" fontId="14" fillId="11" borderId="0" xfId="0" applyNumberFormat="1" applyFont="1" applyFill="1" applyBorder="1"/>
    <x:xf numFmtId="0" fontId="14" fillId="11" borderId="50" xfId="0" applyNumberFormat="1" applyFont="1" applyFill="1" applyBorder="1"/>
    <x:xf numFmtId="0" fontId="14" fillId="11" borderId="51" xfId="0" applyNumberFormat="1" applyFont="1" applyFill="1" applyBorder="1"/>
    <x:xf numFmtId="0" fontId="14" fillId="11" borderId="52" xfId="0" applyNumberFormat="1" applyFont="1" applyFill="1" applyBorder="1"/>
    <x:xf numFmtId="0" fontId="14" fillId="11" borderId="53" xfId="0" applyNumberFormat="1" applyFont="1" applyFill="1" applyBorder="1"/>
    <x:xf numFmtId="0" fontId="14" fillId="11" borderId="54" xfId="0" applyNumberFormat="1" applyFont="1" applyFill="1" applyBorder="1"/>
    <x:xf numFmtId="0" fontId="14" fillId="11" borderId="55" xfId="0" applyNumberFormat="1" applyFont="1" applyFill="1" applyBorder="1"/>
    <x:xf numFmtId="0" fontId="14" fillId="11" borderId="56" xfId="0" applyNumberFormat="1" applyFont="1" applyFill="1" applyBorder="1"/>
    <x:xf numFmtId="0" fontId="14" fillId="11" borderId="57" xfId="0" applyNumberFormat="1" applyFont="1" applyFill="1" applyBorder="1"/>
    <x:xf numFmtId="0" fontId="14" fillId="11" borderId="50" xfId="0" applyNumberFormat="1" applyFont="1" applyFill="1" applyBorder="1" applyAlignment="1">
      <x:alignment wrapText="1"/>
    </x:xf>
    <x:xf numFmtId="0" fontId="14" fillId="11" borderId="51" xfId="0" applyNumberFormat="1" applyFont="1" applyFill="1" applyBorder="1" applyAlignment="1">
      <x:alignment wrapText="1"/>
    </x:xf>
    <x:xf numFmtId="0" fontId="14" fillId="11" borderId="52" xfId="0" applyNumberFormat="1" applyFont="1" applyFill="1" applyBorder="1" applyAlignment="1">
      <x:alignment wrapText="1"/>
    </x:xf>
    <x:xf numFmtId="0" fontId="14" fillId="11" borderId="53" xfId="0" applyNumberFormat="1" applyFont="1" applyFill="1" applyBorder="1" applyAlignment="1">
      <x:alignment wrapText="1"/>
    </x:xf>
    <x:xf numFmtId="0" fontId="14" fillId="11" borderId="0" xfId="0" applyNumberFormat="1" applyFont="1" applyFill="1" applyBorder="1" applyAlignment="1">
      <x:alignment wrapText="1"/>
    </x:xf>
    <x:xf numFmtId="0" fontId="14" fillId="11" borderId="54" xfId="0" applyNumberFormat="1" applyFont="1" applyFill="1" applyBorder="1" applyAlignment="1">
      <x:alignment wrapText="1"/>
    </x:xf>
    <x:xf numFmtId="0" fontId="14" fillId="11" borderId="55" xfId="0" applyNumberFormat="1" applyFont="1" applyFill="1" applyBorder="1" applyAlignment="1">
      <x:alignment wrapText="1"/>
    </x:xf>
    <x:xf numFmtId="0" fontId="14" fillId="11" borderId="56" xfId="0" applyNumberFormat="1" applyFont="1" applyFill="1" applyBorder="1" applyAlignment="1">
      <x:alignment wrapText="1"/>
    </x:xf>
    <x:xf numFmtId="0" fontId="14" fillId="11" borderId="57" xfId="0" applyNumberFormat="1" applyFont="1" applyFill="1" applyBorder="1" applyAlignment="1">
      <x:alignment wrapText="1"/>
    </x:xf>
    <x:xf numFmtId="0" fontId="14" fillId="11" borderId="50" xfId="0" applyNumberFormat="1" applyFont="1" applyFill="1" applyBorder="1" applyAlignment="1">
      <x:alignment horizontal="center" wrapText="1"/>
    </x:xf>
    <x:xf numFmtId="0" fontId="14" fillId="11" borderId="51" xfId="0" applyNumberFormat="1" applyFont="1" applyFill="1" applyBorder="1" applyAlignment="1">
      <x:alignment horizontal="center" wrapText="1"/>
    </x:xf>
    <x:xf numFmtId="0" fontId="14" fillId="11" borderId="52" xfId="0" applyNumberFormat="1" applyFont="1" applyFill="1" applyBorder="1" applyAlignment="1">
      <x:alignment horizontal="center" wrapText="1"/>
    </x:xf>
    <x:xf numFmtId="0" fontId="14" fillId="11" borderId="53" xfId="0" applyNumberFormat="1" applyFont="1" applyFill="1" applyBorder="1" applyAlignment="1">
      <x:alignment horizontal="center" wrapText="1"/>
    </x:xf>
    <x:xf numFmtId="0" fontId="14" fillId="11" borderId="0" xfId="0" applyNumberFormat="1" applyFont="1" applyFill="1" applyBorder="1" applyAlignment="1">
      <x:alignment horizontal="center" wrapText="1"/>
    </x:xf>
    <x:xf numFmtId="0" fontId="14" fillId="11" borderId="54" xfId="0" applyNumberFormat="1" applyFont="1" applyFill="1" applyBorder="1" applyAlignment="1">
      <x:alignment horizontal="center" wrapText="1"/>
    </x:xf>
    <x:xf numFmtId="0" fontId="14" fillId="11" borderId="55" xfId="0" applyNumberFormat="1" applyFont="1" applyFill="1" applyBorder="1" applyAlignment="1">
      <x:alignment horizontal="center" wrapText="1"/>
    </x:xf>
    <x:xf numFmtId="0" fontId="14" fillId="11" borderId="56" xfId="0" applyNumberFormat="1" applyFont="1" applyFill="1" applyBorder="1" applyAlignment="1">
      <x:alignment horizontal="center" wrapText="1"/>
    </x:xf>
    <x:xf numFmtId="0" fontId="14" fillId="11" borderId="57" xfId="0" applyNumberFormat="1" applyFont="1" applyFill="1" applyBorder="1" applyAlignment="1">
      <x:alignment horizontal="center" wrapText="1"/>
    </x:xf>
    <x:xf numFmtId="0" fontId="14" fillId="11" borderId="50" xfId="0" applyNumberFormat="1" applyFont="1" applyFill="1" applyBorder="1" applyAlignment="1">
      <x:alignment horizontal="center" vertical="center" wrapText="1"/>
    </x:xf>
    <x:xf numFmtId="0" fontId="14" fillId="11" borderId="51" xfId="0" applyNumberFormat="1" applyFont="1" applyFill="1" applyBorder="1" applyAlignment="1">
      <x:alignment horizontal="center" vertical="center" wrapText="1"/>
    </x:xf>
    <x:xf numFmtId="0" fontId="14" fillId="11" borderId="52" xfId="0" applyNumberFormat="1" applyFont="1" applyFill="1" applyBorder="1" applyAlignment="1">
      <x:alignment horizontal="center" vertical="center" wrapText="1"/>
    </x:xf>
    <x:xf numFmtId="0" fontId="14" fillId="11" borderId="53" xfId="0" applyNumberFormat="1" applyFont="1" applyFill="1" applyBorder="1" applyAlignment="1">
      <x:alignment horizontal="center" vertical="center" wrapText="1"/>
    </x:xf>
    <x:xf numFmtId="0" fontId="14" fillId="11" borderId="0" xfId="0" applyNumberFormat="1" applyFont="1" applyFill="1" applyBorder="1" applyAlignment="1">
      <x:alignment horizontal="center" vertical="center" wrapText="1"/>
    </x:xf>
    <x:xf numFmtId="0" fontId="14" fillId="11" borderId="54" xfId="0" applyNumberFormat="1" applyFont="1" applyFill="1" applyBorder="1" applyAlignment="1">
      <x:alignment horizontal="center" vertical="center" wrapText="1"/>
    </x:xf>
    <x:xf numFmtId="0" fontId="14" fillId="11" borderId="55" xfId="0" applyNumberFormat="1" applyFont="1" applyFill="1" applyBorder="1" applyAlignment="1">
      <x:alignment horizontal="center" vertical="center" wrapText="1"/>
    </x:xf>
    <x:xf numFmtId="0" fontId="14" fillId="11" borderId="56" xfId="0" applyNumberFormat="1" applyFont="1" applyFill="1" applyBorder="1" applyAlignment="1">
      <x:alignment horizontal="center" vertical="center" wrapText="1"/>
    </x:xf>
    <x:xf numFmtId="0" fontId="14" fillId="11" borderId="57" xfId="0" applyNumberFormat="1" applyFont="1" applyFill="1" applyBorder="1" applyAlignment="1">
      <x:alignment horizontal="center" vertical="center" wrapText="1"/>
    </x:xf>
  </x:cellXfs>
  <x:cellStyles count="1">
    <x:cellStyle name="Normal" xfId="0"/>
  </x:cellStyles>
  <x:dxfs count="2">
    <x:dxf>
      <x:font>
        <x:b/>
        <x:color rgb="FF2E8B57"/>
      </x:font>
      <x:fill>
        <x:patternFill patternType="solid">
          <x:bgColor rgb="FFE4F3EA"/>
        </x:patternFill>
      </x:fill>
    </x:dxf>
    <x:dxf>
      <x:font>
        <x:b/>
        <x:color rgb="FF3B82F6"/>
      </x:font>
      <x:fill>
        <x:patternFill patternType="solid">
          <x:bgColor rgb="FFE8F1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8e2b84d6c3d470b" /><Relationship Type="http://schemas.openxmlformats.org/officeDocument/2006/relationships/theme" Target="/xl/theme/theme1.xml" Id="Rf0d7d972de5e4602" /><Relationship Type="http://schemas.openxmlformats.org/officeDocument/2006/relationships/sharedStrings" Target="/xl/sharedStrings.xml" Id="R6ce09c9137db40c6" /><Relationship Type="http://schemas.openxmlformats.org/officeDocument/2006/relationships/worksheet" Target="/xl/worksheets/sheet1.xml" Id="R65d4299aac0b43f6" /><Relationship Type="http://schemas.openxmlformats.org/officeDocument/2006/relationships/worksheet" Target="/xl/worksheets/sheet2.xml" Id="Ra8d76eaf3edc4081" /><Relationship Type="http://schemas.openxmlformats.org/officeDocument/2006/relationships/worksheet" Target="/xl/worksheets/sheet3.xml" Id="R9737959efd11459f" /><Relationship Type="http://schemas.openxmlformats.org/officeDocument/2006/relationships/worksheet" Target="/xl/worksheets/sheet4.xml" Id="R6127b855d59b44a6" /><Relationship Type="http://schemas.openxmlformats.org/officeDocument/2006/relationships/worksheet" Target="/xl/worksheets/sheet5.xml" Id="R7ac76d7a9348411d" /><Relationship Type="http://schemas.openxmlformats.org/officeDocument/2006/relationships/worksheet" Target="/xl/worksheets/sheet6.xml" Id="R9d06ad47d19e4f6d" /><Relationship Type="http://schemas.openxmlformats.org/officeDocument/2006/relationships/worksheet" Target="/xl/worksheets/sheet7.xml" Id="R829273c9b2e74a79" /><Relationship Type="http://schemas.openxmlformats.org/officeDocument/2006/relationships/worksheet" Target="/xl/worksheets/sheet8.xml" Id="R8fb68c245850474a" /><Relationship Type="http://schemas.openxmlformats.org/officeDocument/2006/relationships/worksheet" Target="/xl/worksheets/sheet9.xml" Id="Rbe38f37f5d41472b" /><Relationship Type="http://schemas.openxmlformats.org/officeDocument/2006/relationships/worksheet" Target="/xl/worksheets/sheet10.xml" Id="R81abff712c0d4162" /><Relationship Type="http://schemas.microsoft.com/office/2017/10/relationships/person" Target="/xl/persons/person.xml" Id="R5ba711a95ddd4d05" /></Relationships>
</file>

<file path=xl/drawings/_rels/drawing1.xml.rels>&#65279;<?xml version="1.0" encoding="utf-8"?><Relationships xmlns="http://schemas.openxmlformats.org/package/2006/relationships"><Relationship Type="http://schemas.openxmlformats.org/officeDocument/2006/relationships/chart" Target="/xl/drawings/charts/chart1.xml" Id="R1bea8b3de90d4e8f" /><Relationship Type="http://schemas.openxmlformats.org/officeDocument/2006/relationships/chart" Target="/xl/drawings/charts/chart2.xml" Id="R65603260aa944c8d" /><Relationship Type="http://schemas.openxmlformats.org/officeDocument/2006/relationships/chart" Target="/xl/drawings/charts/chart3.xml" Id="R089056075048491d" /><Relationship Type="http://schemas.openxmlformats.org/officeDocument/2006/relationships/chart" Target="/xl/drawings/charts/chart4.xml" Id="R9a7f5080cd124fd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Scenario mix: 40 / 40 / 15 / 5</a:t>
            </a:r>
          </a:p>
        </c:rich>
      </c:tx>
      <c:overlay val="0"/>
    </c:title>
    <c:plotArea>
      <c:barChart>
        <c:barDir val="col"/>
        <c:grouping val="clustered"/>
        <c:varyColors val="0"/>
        <c:ser>
          <c:idx val="0"/>
          <c:order val="0"/>
          <c:tx>
            <c:v>count</c:v>
          </c:tx>
          <c:cat>
            <c:strRef>
              <c:f>'Lists &amp; Metrics'!$A$5:$A$8</c:f>
              <c:strCache>
                <c:ptCount val="0"/>
              </c:strCache>
            </c:strRef>
          </c:cat>
          <c:val>
            <c:numRef>
              <c:f>'Lists &amp; Metrics'!$B$5:$B$8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Difficulty distribution</a:t>
            </a:r>
          </a:p>
        </c:rich>
      </c:tx>
      <c:overlay val="0"/>
    </c:title>
    <c:plotArea>
      <c:barChart>
        <c:barDir val="col"/>
        <c:grouping val="clustered"/>
        <c:varyColors val="0"/>
        <c:ser>
          <c:idx val="0"/>
          <c:order val="0"/>
          <c:tx>
            <c:v>count</c:v>
          </c:tx>
          <c:cat>
            <c:strRef>
              <c:f>'Lists &amp; Metrics'!$E$5:$E$7</c:f>
              <c:strCache>
                <c:ptCount val="0"/>
              </c:strCache>
            </c:strRef>
          </c:cat>
          <c:val>
            <c:numRef>
              <c:f>'Lists &amp; Metrics'!$F$5:$F$7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Profile preference tags</a:t>
            </a:r>
          </a:p>
        </c:rich>
      </c:tx>
      <c:overlay val="0"/>
    </c:title>
    <c:plotArea>
      <c:barChart>
        <c:barDir val="col"/>
        <c:varyColors val="0"/>
        <c:ser>
          <c:idx val="0"/>
          <c:order val="0"/>
          <c:tx>
            <c:v>session_count</c:v>
          </c:tx>
          <c:cat>
            <c:strRef>
              <c:f>'Lists &amp; Metrics'!$A$13:$A$21</c:f>
              <c:strCache>
                <c:ptCount val="0"/>
              </c:strCache>
            </c:strRef>
          </c:cat>
          <c:val>
            <c:numRef>
              <c:f>'Lists &amp; Metrics'!$B$13:$B$21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Target product field coverage</a:t>
            </a:r>
          </a:p>
        </c:rich>
      </c:tx>
      <c:overlay val="0"/>
    </c:title>
    <c:plotArea>
      <c:barChart>
        <c:barDir val="col"/>
        <c:varyColors val="0"/>
        <c:ser>
          <c:idx val="0"/>
          <c:order val="0"/>
          <c:tx>
            <c:v>present_count</c:v>
          </c:tx>
          <c:cat>
            <c:strRef>
              <c:f>'Lists &amp; Metrics'!$E$13:$E$21</c:f>
              <c:strCache>
                <c:ptCount val="0"/>
              </c:strCache>
            </c:strRef>
          </c:cat>
          <c:val>
            <c:numRef>
              <c:f>'Lists &amp; Metrics'!$F$13:$F$21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8</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ea8b3de90d4e8f"/>
        </a:graphicData>
      </a:graphic>
    </xdr:graphicFrame>
    <xdr:clientData/>
  </xdr:twoCellAnchor>
  <xdr:twoCellAnchor>
    <xdr:from>
      <xdr:col>0</xdr:col>
      <xdr:colOff>0</xdr:colOff>
      <xdr:row>23</xdr:row>
      <xdr:rowOff>0</xdr:rowOff>
    </xdr:from>
    <xdr:to>
      <xdr:col>7</xdr:col>
      <xdr:colOff>0</xdr:colOff>
      <xdr:row>37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603260aa944c8d"/>
        </a:graphicData>
      </a:graphic>
    </xdr:graphicFrame>
    <xdr:clientData/>
  </xdr:twoCellAnchor>
  <xdr:twoCellAnchor>
    <xdr:from>
      <xdr:col>7</xdr:col>
      <xdr:colOff>0</xdr:colOff>
      <xdr:row>21</xdr:row>
      <xdr:rowOff>0</xdr:rowOff>
    </xdr:from>
    <xdr:to>
      <xdr:col>14</xdr:col>
      <xdr:colOff>0</xdr:colOff>
      <xdr:row>38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89056075048491d"/>
        </a:graphicData>
      </a:graphic>
    </xdr:graphicFrame>
    <xdr:clientData/>
  </xdr:twoCellAnchor>
  <xdr:twoCellAnchor>
    <xdr:from>
      <xdr:col>0</xdr:col>
      <xdr:colOff>0</xdr:colOff>
      <xdr:row>38</xdr:row>
      <xdr:rowOff>0</xdr:rowOff>
    </xdr:from>
    <xdr:to>
      <xdr:col>7</xdr:col>
      <xdr:colOff>0</xdr:colOff>
      <xdr:row>54</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7f5080cd124fdd"/>
        </a:graphicData>
      </a:graphic>
    </xdr:graphicFrame>
    <xdr:clientData/>
  </xdr:twoCellAnchor>
</xdr:wsDr>
</file>

<file path=xl/persons/person.xml><?xml version="1.0" encoding="utf-8"?>
<xltc:personList xmlns:xltc="http://schemas.microsoft.com/office/spreadsheetml/2018/threadedcomments">
  <xltc:person displayName="User" id="{C5A0A221-8ABC-42C4-8683-591C5866CDD0}"/>
</xltc:personList>
</file>

<file path=xl/tables/table1.xml><?xml version="1.0" encoding="utf-8"?>
<x:table xmlns:x="http://schemas.openxmlformats.org/spreadsheetml/2006/main" id="1" name="SessionsTable" displayName="SessionsTable" ref="A4:O204" headerRowCount="1" totalsRowCount="0" totalsRowShown="0">
  <x:autoFilter ref="A4:O204"/>
  <x:tableColumns count="15">
    <x:tableColumn id="1" name="sample_id"/>
    <x:tableColumn id="2" name="scenario_type"/>
    <x:tableColumn id="3" name="difficulty"/>
    <x:tableColumn id="4" name="category_bucket"/>
    <x:tableColumn id="5" name="target_parent_asin"/>
    <x:tableColumn id="6" name="profile_avg_rating"/>
    <x:tableColumn id="7" name="rating_style"/>
    <x:tableColumn id="8" name="purchase_frequency"/>
    <x:tableColumn id="9" name="preference_tags"/>
    <x:tableColumn id="10" name="tag_count"/>
    <x:tableColumn id="11" name="target_title"/>
    <x:tableColumn id="12" name="target_category"/>
    <x:tableColumn id="13" name="initial_message"/>
    <x:tableColumn id="14" name="override_turn"/>
    <x:tableColumn id="15" name="override_old_to_new"/>
  </x:tableColumns>
  <x:tableStyleInfo name="TableStyleMedium2" showFirstColumn="0" showLastColumn="0" showRowStripes="1" showColumnStripes="0"/>
</x:table>
</file>

<file path=xl/tables/table2.xml><?xml version="1.0" encoding="utf-8"?>
<x:table xmlns:x="http://schemas.openxmlformats.org/spreadsheetml/2006/main" id="2" name="TargetProductsTable" displayName="TargetProductsTable" ref="A4:R204" headerRowCount="1" totalsRowCount="0" totalsRowShown="0">
  <x:autoFilter ref="A4:R204"/>
  <x:tableColumns count="18">
    <x:tableColumn id="1" name="sample_id"/>
    <x:tableColumn id="2" name="parent_asin"/>
    <x:tableColumn id="3" name="title"/>
    <x:tableColumn id="4" name="categories"/>
    <x:tableColumn id="5" name="leaf_category"/>
    <x:tableColumn id="6" name="features"/>
    <x:tableColumn id="7" name="details"/>
    <x:tableColumn id="8" name="description"/>
    <x:tableColumn id="9" name="price"/>
    <x:tableColumn id="10" name="average_rating"/>
    <x:tableColumn id="11" name="rating_number"/>
    <x:tableColumn id="12" name="store"/>
    <x:tableColumn id="13" name="title_chars"/>
    <x:tableColumn id="14" name="features_chars"/>
    <x:tableColumn id="15" name="details_chars"/>
    <x:tableColumn id="16" name="description_chars"/>
    <x:tableColumn id="17" name="fields_present"/>
    <x:tableColumn id="18" name="embedding_readiness"/>
  </x:tableColumns>
  <x:tableStyleInfo name="TableStyleMedium2" showFirstColumn="0" showLastColumn="0" showRowStripes="1" showColumnStripes="0"/>
</x:table>
</file>

<file path=xl/tables/table3.xml><?xml version="1.0" encoding="utf-8"?>
<x:table xmlns:x="http://schemas.openxmlformats.org/spreadsheetml/2006/main" id="3" name="IntentCardsTable" displayName="IntentCardsTable" ref="A4:N204" headerRowCount="1" totalsRowCount="0" totalsRowShown="0">
  <x:autoFilter ref="A4:N204"/>
  <x:tableColumns count="14">
    <x:tableColumn id="1" name="sample_id"/>
    <x:tableColumn id="2" name="scenario_type"/>
    <x:tableColumn id="3" name="target_category"/>
    <x:tableColumn id="4" name="hard_1"/>
    <x:tableColumn id="5" name="hard_1_type"/>
    <x:tableColumn id="6" name="hard_2"/>
    <x:tableColumn id="7" name="hard_2_type"/>
    <x:tableColumn id="8" name="soft_1"/>
    <x:tableColumn id="9" name="soft_1_type"/>
    <x:tableColumn id="10" name="soft_2"/>
    <x:tableColumn id="11" name="soft_2_type"/>
    <x:tableColumn id="12" name="override_turn"/>
    <x:tableColumn id="13" name="override_old"/>
    <x:tableColumn id="14" name="override_new"/>
  </x:tableColumns>
  <x:tableStyleInfo name="TableStyleMedium2" showFirstColumn="0" showLastColumn="0" showRowStripes="1" showColumnStripes="0"/>
</x:table>
</file>

<file path=xl/tables/table4.xml><?xml version="1.0" encoding="utf-8"?>
<x:table xmlns:x="http://schemas.openxmlformats.org/spreadsheetml/2006/main" id="4" name="ConversationBranchesTable" displayName="ConversationBranchesTable" ref="A4:I2314" headerRowCount="1" totalsRowCount="0" totalsRowShown="0">
  <x:autoFilter ref="A4:I2314"/>
  <x:tableColumns count="9">
    <x:tableColumn id="1" name="sample_id"/>
    <x:tableColumn id="2" name="scenario_type"/>
    <x:tableColumn id="3" name="difficulty"/>
    <x:tableColumn id="4" name="conversation_state"/>
    <x:tableColumn id="5" name="ask_attribute"/>
    <x:tableColumn id="6" name="branch_type"/>
    <x:tableColumn id="7" name="revealed_constraints"/>
    <x:tableColumn id="8" name="simulator_reply"/>
    <x:tableColumn id="9" name="override_note"/>
  </x:tableColumns>
  <x:tableStyleInfo name="TableStyleMedium2" showFirstColumn="0" showLastColumn="0" showRowStripes="1" showColumnStripes="0"/>
</x:table>
</file>

<file path=xl/tables/table5.xml><?xml version="1.0" encoding="utf-8"?>
<x:table xmlns:x="http://schemas.openxmlformats.org/spreadsheetml/2006/main" id="5" name="ProfileTagsTable" displayName="ProfileTagsTable" ref="A4:D670" headerRowCount="1" totalsRowCount="0" totalsRowShown="0">
  <x:autoFilter ref="A4:D670"/>
  <x:tableColumns count="4">
    <x:tableColumn id="1" name="sample_id"/>
    <x:tableColumn id="2" name="scenario_type"/>
    <x:tableColumn id="3" name="difficulty"/>
    <x:tableColumn id="4" name="preference_tag"/>
  </x:tableColumns>
  <x:tableStyleInfo name="TableStyleMedium2" showFirstColumn="0" showLastColumn="0" showRowStripes="1" showColumnStripes="0"/>
</x:table>
</file>

<file path=xl/tables/table6.xml><?xml version="1.0" encoding="utf-8"?>
<x:table xmlns:x="http://schemas.openxmlformats.org/spreadsheetml/2006/main" id="6" name="EmbeddingCorpusTable" displayName="EmbeddingCorpusTable" ref="A4:J204" headerRowCount="1" totalsRowCount="0" totalsRowShown="0">
  <x:autoFilter ref="A4:J204"/>
  <x:tableColumns count="10">
    <x:tableColumn id="1" name="sample_id"/>
    <x:tableColumn id="2" name="parent_asin"/>
    <x:tableColumn id="3" name="dense_product_document"/>
    <x:tableColumn id="4" name="lexical_exact_document"/>
    <x:tableColumn id="5" name="query_context_example"/>
    <x:tableColumn id="6" name="active_hard_constraints"/>
    <x:tableColumn id="7" name="soft_profile_prior"/>
    <x:tableColumn id="8" name="product_doc_chars"/>
    <x:tableColumn id="9" name="recommended_chunks"/>
    <x:tableColumn id="10" name="encoding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8-28T04:26:42.439" personId="{C5A0A221-8ABC-42C4-8683-591C5866CDD0}" id="{5907F7F0-D3F7-4EF0-A515-D3A612161757}">
    <xltc:text>Sources: data/public_set.jsonl, data/catalog.jsonl, evaluator/local_evaluator.py, docs/competition_specification.md, docs/evaluation_config.json, docs/baseline_results.json.</xltc:text>
  </xltc:threadedComment>
</xltc:ThreadedComments>
</file>

<file path=xl/threadedcomments/threadedcomment2.xml><?xml version="1.0" encoding="utf-8"?>
<xltc:ThreadedComments xmlns:xltc="http://schemas.microsoft.com/office/spreadsheetml/2018/threadedcomments">
  <xltc:threadedComment ref="A1" dT="2026-08-28T04:26:42.442" personId="{C5A0A221-8ABC-42C4-8683-591C5866CDD0}" id="{9333BD5C-ECE0-4155-BD17-0972690C69F0}">
    <xltc:text>Derived by importing the shipped public evaluator functions materialize_hidden_fields, coarse_category, and initial_message. Development analysis only.</xltc:text>
  </xltc:threadedComment>
</xltc:ThreadedComments>
</file>

<file path=xl/threadedcomments/threadedcomment3.xml><?xml version="1.0" encoding="utf-8"?>
<xltc:ThreadedComments xmlns:xltc="http://schemas.microsoft.com/office/spreadsheetml/2018/threadedcomments">
  <xltc:threadedComment ref="C4" dT="2026-08-28T04:26:42.442" personId="{C5A0A221-8ABC-42C4-8683-591C5866CDD0}" id="{D49B9AEC-40ED-469E-B7E4-A2D99819D174}">
    <xltc:text>Product-side document. Do not append user profile or session intent to the indexed catalog representation; those belong on the query side.</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51626c7fb5a14dff" /><Relationship Type="http://schemas.openxmlformats.org/officeDocument/2006/relationships/vmlDrawing" Target="/xl/drawings/vmldrawing.vml" Id="R3f132f4262804870" /><Relationship Type="http://schemas.microsoft.com/office/2017/10/relationships/threadedComment" Target="/xl/threadedcomments/threadedcomment.xml" Id="R60458237bc144f3f" /></Relationships>
</file>

<file path=xl/worksheets/_rels/sheet2.xml.rels>&#65279;<?xml version="1.0" encoding="utf-8"?><Relationships xmlns="http://schemas.openxmlformats.org/package/2006/relationships"><Relationship Type="http://schemas.openxmlformats.org/officeDocument/2006/relationships/table" Target="/xl/tables/table1.xml" Id="Rc7f870a73bad44b2" /></Relationships>
</file>

<file path=xl/worksheets/_rels/sheet3.xml.rels>&#65279;<?xml version="1.0" encoding="utf-8"?><Relationships xmlns="http://schemas.openxmlformats.org/package/2006/relationships"><Relationship Type="http://schemas.openxmlformats.org/officeDocument/2006/relationships/table" Target="/xl/tables/table2.xml" Id="R281eb2ef615949eb" /></Relationships>
</file>

<file path=xl/worksheets/_rels/sheet4.xml.rels>&#65279;<?xml version="1.0" encoding="utf-8"?><Relationships xmlns="http://schemas.openxmlformats.org/package/2006/relationships"><Relationship Type="http://schemas.openxmlformats.org/officeDocument/2006/relationships/comments" Target="/xl/comments2.xml" Id="R32f34ce66f1b4133" /><Relationship Type="http://schemas.openxmlformats.org/officeDocument/2006/relationships/vmlDrawing" Target="/xl/drawings/vmldrawing2.vml" Id="Rc58fa8b1ec0c47bd" /><Relationship Type="http://schemas.microsoft.com/office/2017/10/relationships/threadedComment" Target="/xl/threadedcomments/threadedcomment2.xml" Id="R934ac83900794f5e" /><Relationship Type="http://schemas.openxmlformats.org/officeDocument/2006/relationships/table" Target="/xl/tables/table3.xml" Id="R42e70ecd4c9942eb" /></Relationships>
</file>

<file path=xl/worksheets/_rels/sheet5.xml.rels>&#65279;<?xml version="1.0" encoding="utf-8"?><Relationships xmlns="http://schemas.openxmlformats.org/package/2006/relationships"><Relationship Type="http://schemas.openxmlformats.org/officeDocument/2006/relationships/table" Target="/xl/tables/table4.xml" Id="R06d4394e96a84b75" /></Relationships>
</file>

<file path=xl/worksheets/_rels/sheet6.xml.rels>&#65279;<?xml version="1.0" encoding="utf-8"?><Relationships xmlns="http://schemas.openxmlformats.org/package/2006/relationships"><Relationship Type="http://schemas.openxmlformats.org/officeDocument/2006/relationships/table" Target="/xl/tables/table5.xml" Id="R8a6249d84fb549d7" /></Relationships>
</file>

<file path=xl/worksheets/_rels/sheet7.xml.rels>&#65279;<?xml version="1.0" encoding="utf-8"?><Relationships xmlns="http://schemas.openxmlformats.org/package/2006/relationships"><Relationship Type="http://schemas.openxmlformats.org/officeDocument/2006/relationships/comments" Target="/xl/comments3.xml" Id="Rf5a21ab111e440ae" /><Relationship Type="http://schemas.openxmlformats.org/officeDocument/2006/relationships/vmlDrawing" Target="/xl/drawings/vmldrawing3.vml" Id="Ra025953198c44225" /><Relationship Type="http://schemas.microsoft.com/office/2017/10/relationships/threadedComment" Target="/xl/threadedcomments/threadedcomment3.xml" Id="R8d7bd316020b41dd" /><Relationship Type="http://schemas.openxmlformats.org/officeDocument/2006/relationships/table" Target="/xl/tables/table6.xml" Id="R5abc78aa9dc64348" /></Relationships>
</file>

<file path=xl/worksheets/_rels/sheet10.xml.rels>&#65279;<?xml version="1.0" encoding="utf-8"?><Relationships xmlns="http://schemas.openxmlformats.org/package/2006/relationships"><Relationship Type="http://schemas.openxmlformats.org/officeDocument/2006/relationships/drawing" Target="/xl/drawings/drawing1.xml" Id="Rbfc0832b632949a0"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30" hidden="0" customWidth="1"/>
    <x:col min="3" max="3" width="25"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4" t="str">
        <x:v>Public Set Conversation &amp; Embedding Study</x:v>
      </x:c>
    </x:row>
    <x:row r="2" ht="30" customHeight="1">
      <x:c r="A2" s="8" t="str">
        <x:v>A development workbook for understanding the 200 public sessions, evaluator-derived conversation behavior, and product-text design.</x:v>
      </x:c>
      <x:c r="B2" s="8" t="str">
        <x:v>A development workbook for understanding the 200 public sessions, evaluator-derived conversation behavior, and product-text design.</x:v>
      </x:c>
      <x:c r="C2" s="8" t="str">
        <x:v>A development workbook for understanding the 200 public sessions, evaluator-derived conversation behavior, and product-text design.</x:v>
      </x:c>
      <x:c r="D2" s="8" t="str">
        <x:v>A development workbook for understanding the 200 public sessions, evaluator-derived conversation behavior, and product-text design.</x:v>
      </x:c>
      <x:c r="E2" s="8" t="str">
        <x:v>A development workbook for understanding the 200 public sessions, evaluator-derived conversation behavior, and product-text design.</x:v>
      </x:c>
      <x:c r="F2" s="8" t="str">
        <x:v>A development workbook for understanding the 200 public sessions, evaluator-derived conversation behavior, and product-text design.</x:v>
      </x:c>
      <x:c r="G2" s="8" t="str">
        <x:v>A development workbook for understanding the 200 public sessions, evaluator-derived conversation behavior, and product-text design.</x:v>
      </x:c>
      <x:c r="H2" s="8" t="str">
        <x:v>A development workbook for understanding the 200 public sessions, evaluator-derived conversation behavior, and product-text design.</x:v>
      </x:c>
    </x:row>
    <x:row r="4">
      <x:c r="A4" s="10" t="str">
        <x:v>How to use this workbook</x:v>
      </x:c>
      <x:c r="B4" s="10"/>
      <x:c r="C4" s="10"/>
      <x:c r="D4" s="10"/>
      <x:c r="E4" s="10"/>
      <x:c r="F4" s="10"/>
      <x:c r="G4" s="10"/>
      <x:c r="H4" s="10"/>
    </x:row>
    <x:row r="5">
      <x:c r="A5" s="18" t="str">
        <x:v>1</x:v>
      </x:c>
      <x:c r="B5" s="19" t="str">
        <x:v>Start with EDA Dashboard</x:v>
      </x:c>
      <x:c r="C5" s="20" t="str">
        <x:v>See the scenario mix, difficulty, profile tags, and target-field coverage.</x:v>
      </x:c>
      <x:c r="D5" s="20" t="str"/>
      <x:c r="E5" s="20" t="str"/>
      <x:c r="F5" s="20" t="str"/>
      <x:c r="G5" s="20" t="str"/>
      <x:c r="H5" s="21" t="str"/>
    </x:row>
    <x:row r="6">
      <x:c r="A6" s="22" t="str">
        <x:v>2</x:v>
      </x:c>
      <x:c r="B6" s="23" t="str">
        <x:v>Study Intent Cards</x:v>
      </x:c>
      <x:c r="C6" s="24" t="str">
        <x:v>These are deterministically materialized by the public evaluator from each target product.</x:v>
      </x:c>
      <x:c r="D6" s="24" t="str"/>
      <x:c r="E6" s="24" t="str"/>
      <x:c r="F6" s="24" t="str"/>
      <x:c r="G6" s="24" t="str"/>
      <x:c r="H6" s="25" t="str"/>
    </x:row>
    <x:row r="7">
      <x:c r="A7" s="22" t="str">
        <x:v>3</x:v>
      </x:c>
      <x:c r="B7" s="23" t="str">
        <x:v>Use Conversation Branches</x:v>
      </x:c>
      <x:c r="C7" s="24" t="str">
        <x:v>Filter by sample_id and ask_attribute to see every one-step simulator reply type that can occur.</x:v>
      </x:c>
      <x:c r="D7" s="24" t="str"/>
      <x:c r="E7" s="24" t="str"/>
      <x:c r="F7" s="24" t="str"/>
      <x:c r="G7" s="24" t="str"/>
      <x:c r="H7" s="25" t="str"/>
    </x:row>
    <x:row r="8">
      <x:c r="A8" s="22" t="str">
        <x:v>4</x:v>
      </x:c>
      <x:c r="B8" s="23" t="str">
        <x:v>Inspect Embedding Corpus</x:v>
      </x:c>
      <x:c r="C8" s="24" t="str">
        <x:v>Compare product-side embedding text with query-side active-intent context. Keep them separate.</x:v>
      </x:c>
      <x:c r="D8" s="24" t="str"/>
      <x:c r="E8" s="24" t="str"/>
      <x:c r="F8" s="24" t="str"/>
      <x:c r="G8" s="24" t="str"/>
      <x:c r="H8" s="25" t="str"/>
    </x:row>
    <x:row r="9">
      <x:c r="A9" s="22" t="str">
        <x:v>5</x:v>
      </x:c>
      <x:c r="B9" s="23" t="str">
        <x:v>Do not train on target IDs</x:v>
      </x:c>
      <x:c r="C9" s="24" t="str">
        <x:v>Ground-truth ASINs, target titles, and evaluator-derived cards are development labels. They are not available in private evaluation.</x:v>
      </x:c>
      <x:c r="D9" s="24" t="str"/>
      <x:c r="E9" s="24" t="str"/>
      <x:c r="F9" s="24" t="str"/>
      <x:c r="G9" s="24" t="str"/>
      <x:c r="H9" s="25" t="str"/>
    </x:row>
    <x:row r="10">
      <x:c r="A10" s="26" t="str">
        <x:v>6</x:v>
      </x:c>
      <x:c r="B10" s="27" t="str">
        <x:v>Validate on retrieval metrics</x:v>
      </x:c>
      <x:c r="C10" s="28" t="str">
        <x:v>Optimize HitRate@10 and MRR first; MTTC rewards early identification. Break results out by all four scenarios.</x:v>
      </x:c>
      <x:c r="D10" s="28" t="str"/>
      <x:c r="E10" s="28" t="str"/>
      <x:c r="F10" s="28" t="str"/>
      <x:c r="G10" s="28" t="str"/>
      <x:c r="H10" s="29" t="str"/>
    </x:row>
    <x:row r="12">
      <x:c r="A12" s="31" t="str">
        <x:v>Embedding design decisions supported by the data</x:v>
      </x:c>
      <x:c r="B12" s="31"/>
      <x:c r="C12" s="31"/>
      <x:c r="D12" s="31"/>
      <x:c r="E12" s="31"/>
      <x:c r="F12" s="31"/>
      <x:c r="G12" s="31"/>
      <x:c r="H12" s="31"/>
    </x:row>
    <x:row r="13" ht="28" customHeight="1">
      <x:c r="A13" s="40" t="str">
        <x:v>Decision</x:v>
      </x:c>
      <x:c r="B13" s="41" t="str">
        <x:v>Recommended implementation</x:v>
      </x:c>
      <x:c r="C13" s="41" t="str">
        <x:v>Why it matters</x:v>
      </x:c>
      <x:c r="D13" s="41" t="str"/>
      <x:c r="E13" s="41" t="str"/>
      <x:c r="F13" s="41" t="str"/>
      <x:c r="G13" s="41" t="str"/>
      <x:c r="H13" s="42" t="str"/>
    </x:row>
    <x:row r="14">
      <x:c r="A14" s="64" t="str">
        <x:v>Product representation</x:v>
      </x:c>
      <x:c r="B14" s="56" t="str">
        <x:v>Use field-labelled text: title, leaf categories, features, details, description, store.</x:v>
      </x:c>
      <x:c r="C14" s="56" t="str">
        <x:v>Dense models need semantic context; BM25 needs exact nouns, brands, materials, sizes, and category tokens.</x:v>
      </x:c>
      <x:c r="D14" s="56" t="str"/>
      <x:c r="E14" s="56" t="str"/>
      <x:c r="F14" s="56" t="str"/>
      <x:c r="G14" s="56" t="str"/>
      <x:c r="H14" s="57" t="str"/>
    </x:row>
    <x:row r="15">
      <x:c r="A15" s="65" t="str">
        <x:v>Multiple vectors</x:v>
      </x:c>
      <x:c r="B15" s="59" t="str">
        <x:v>Keep at least title/category and attributes/description views, or use late-interaction reranking.</x:v>
      </x:c>
      <x:c r="C15" s="59" t="str">
        <x:v>Target products have complete titles/features/details, but only part have descriptions; one monolithic vector can dilute exact attributes.</x:v>
      </x:c>
      <x:c r="D15" s="59" t="str"/>
      <x:c r="E15" s="59" t="str"/>
      <x:c r="F15" s="59" t="str"/>
      <x:c r="G15" s="59" t="str"/>
      <x:c r="H15" s="60" t="str"/>
    </x:row>
    <x:row r="16">
      <x:c r="A16" s="65" t="str">
        <x:v>Conversation query</x:v>
      </x:c>
      <x:c r="B16" s="59" t="str">
        <x:v>Embed only active positive requirements; store negative, superseded, and no-preference slots separately.</x:v>
      </x:c>
      <x:c r="C16" s="59" t="str">
        <x:v>Intent Override and Boundary sessions punish stale or invented constraints.</x:v>
      </x:c>
      <x:c r="D16" s="59" t="str"/>
      <x:c r="E16" s="59" t="str"/>
      <x:c r="F16" s="59" t="str"/>
      <x:c r="G16" s="59" t="str"/>
      <x:c r="H16" s="60" t="str"/>
    </x:row>
    <x:row r="17">
      <x:c r="A17" s="65" t="str">
        <x:v>Hybrid retrieval</x:v>
      </x:c>
      <x:c r="B17" s="59" t="str">
        <x:v>Fuse BM25 + dense + structured filters, then rerank a modest candidate set.</x:v>
      </x:c>
      <x:c r="C17" s="59" t="str">
        <x:v>Buying messages expose exact constraints early; browsing begins vague and benefits from semantic retrieval and clarification.</x:v>
      </x:c>
      <x:c r="D17" s="59" t="str"/>
      <x:c r="E17" s="59" t="str"/>
      <x:c r="F17" s="59" t="str"/>
      <x:c r="G17" s="59" t="str"/>
      <x:c r="H17" s="60" t="str"/>
    </x:row>
    <x:row r="18">
      <x:c r="A18" s="65" t="str">
        <x:v>Profile use</x:v>
      </x:c>
      <x:c r="B18" s="59" t="str">
        <x:v>Use preference tags as soft query-side priors, never as hard product filters.</x:v>
      </x:c>
      <x:c r="C18" s="59" t="str">
        <x:v>Profiles are aggregate and recurring, but the current session must override them.</x:v>
      </x:c>
      <x:c r="D18" s="59" t="str"/>
      <x:c r="E18" s="59" t="str"/>
      <x:c r="F18" s="59" t="str"/>
      <x:c r="G18" s="59" t="str"/>
      <x:c r="H18" s="60" t="str"/>
    </x:row>
    <x:row r="19">
      <x:c r="A19" s="66" t="str">
        <x:v>Evaluation</x:v>
      </x:c>
      <x:c r="B19" s="62" t="str">
        <x:v>Report performance by scenario and difficulty, plus ablations for field text and profile/context inclusion.</x:v>
      </x:c>
      <x:c r="C19" s="62" t="str">
        <x:v>A single aggregate score can hide override and boundary failures.</x:v>
      </x:c>
      <x:c r="D19" s="62" t="str"/>
      <x:c r="E19" s="62" t="str"/>
      <x:c r="F19" s="62" t="str"/>
      <x:c r="G19" s="62" t="str"/>
      <x:c r="H19" s="63" t="str"/>
    </x:row>
    <x:row r="21" ht="46" customHeight="1">
      <x:c r="A21" s="72" t="str">
        <x:v>Scope note: exhaustive conversation text is combinatorial because replies depend on the agent's prior questions. The Branches sheet enumerates every allowed next-question branch from the initial state, plus the post-boundary state; the Scenario Playbook defines the full control-flow rules through turn 10.</x:v>
      </x:c>
      <x:c r="B21" s="73"/>
      <x:c r="C21" s="73"/>
      <x:c r="D21" s="73"/>
      <x:c r="E21" s="73"/>
      <x:c r="F21" s="73"/>
      <x:c r="G21" s="73"/>
      <x:c r="H21" s="74"/>
    </x:row>
  </x:sheetData>
  <x:mergeCells>
    <x:mergeCell ref="A1:H1"/>
    <x:mergeCell ref="A2:H2"/>
    <x:mergeCell ref="A4:H4"/>
    <x:mergeCell ref="C5:H5"/>
    <x:mergeCell ref="C6:H6"/>
    <x:mergeCell ref="C7:H7"/>
    <x:mergeCell ref="C8:H8"/>
    <x:mergeCell ref="C9:H9"/>
    <x:mergeCell ref="C10:H10"/>
    <x:mergeCell ref="A12:H12"/>
    <x:mergeCell ref="C14:H14"/>
    <x:mergeCell ref="C15:H15"/>
    <x:mergeCell ref="C16:H16"/>
    <x:mergeCell ref="C17:H17"/>
    <x:mergeCell ref="C18:H18"/>
    <x:mergeCell ref="C19:H19"/>
    <x:mergeCell ref="A21:H21"/>
  </x:mergeCells>
  <x:pageMargins left="0.7" right="0.7" top="0.75" bottom="0.75" header="0.3" footer="0.3"/>
  <x:legacyDrawing xmlns:r="http://schemas.openxmlformats.org/officeDocument/2006/relationships" r:id="R3f132f4262804870"/>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11" hidden="0" customWidth="1"/>
    <x:col min="4" max="4" width="12" hidden="0" customWidth="1"/>
    <x:col min="5" max="5" width="16" hidden="0" customWidth="1"/>
    <x:col min="6" max="6" width="12" hidden="0" customWidth="1"/>
    <x:col min="7" max="7" width="16" hidden="0" customWidth="1"/>
    <x:col min="8" max="8" width="20" hidden="0" customWidth="1"/>
    <x:col min="9" max="9" width="34" hidden="0" customWidth="1"/>
    <x:col min="10" max="10" width="10" hidden="0" customWidth="1"/>
    <x:col min="11" max="11" width="46" hidden="0" customWidth="1"/>
    <x:col min="12" max="12" width="25" hidden="0" customWidth="1"/>
    <x:col min="13" max="13" width="68" hidden="0" customWidth="1"/>
    <x:col min="14" max="14" width="12" hidden="0" customWidth="1"/>
    <x:col min="15" max="15" width="68" hidden="0" customWidth="1"/>
  </x:cols>
  <x:sheetData>
    <x:row r="1" ht="34" customHeight="1">
      <x:c r="A1" s="4" t="str">
        <x:v>Sessions</x:v>
      </x:c>
    </x:row>
    <x:row r="2" ht="30" customHeight="1">
      <x:c r="A2" s="8" t="str">
        <x:v>One row per public development session. Target-related columns are labels for offline analysis only.</x:v>
      </x:c>
      <x:c r="B2" s="8" t="str">
        <x:v>One row per public development session. Target-related columns are labels for offline analysis only.</x:v>
      </x:c>
      <x:c r="C2" s="8" t="str">
        <x:v>One row per public development session. Target-related columns are labels for offline analysis only.</x:v>
      </x:c>
      <x:c r="D2" s="8" t="str">
        <x:v>One row per public development session. Target-related columns are labels for offline analysis only.</x:v>
      </x:c>
      <x:c r="E2" s="8" t="str">
        <x:v>One row per public development session. Target-related columns are labels for offline analysis only.</x:v>
      </x:c>
      <x:c r="F2" s="8" t="str">
        <x:v>One row per public development session. Target-related columns are labels for offline analysis only.</x:v>
      </x:c>
      <x:c r="G2" s="8" t="str">
        <x:v>One row per public development session. Target-related columns are labels for offline analysis only.</x:v>
      </x:c>
      <x:c r="H2" s="8" t="str">
        <x:v>One row per public development session. Target-related columns are labels for offline analysis only.</x:v>
      </x:c>
      <x:c r="I2" s="8" t="str">
        <x:v>One row per public development session. Target-related columns are labels for offline analysis only.</x:v>
      </x:c>
      <x:c r="J2" s="8" t="str">
        <x:v>One row per public development session. Target-related columns are labels for offline analysis only.</x:v>
      </x:c>
      <x:c r="K2" s="8" t="str">
        <x:v>One row per public development session. Target-related columns are labels for offline analysis only.</x:v>
      </x:c>
      <x:c r="L2" s="8" t="str">
        <x:v>One row per public development session. Target-related columns are labels for offline analysis only.</x:v>
      </x:c>
      <x:c r="M2" s="8" t="str">
        <x:v>One row per public development session. Target-related columns are labels for offline analysis only.</x:v>
      </x:c>
      <x:c r="N2" s="8" t="str">
        <x:v>One row per public development session. Target-related columns are labels for offline analysis only.</x:v>
      </x:c>
      <x:c r="O2" s="8" t="str">
        <x:v>One row per public development session. Target-related columns are labels for offline analysis only.</x:v>
      </x:c>
    </x:row>
    <x:row r="4" ht="28" customHeight="1">
      <x:c r="A4" s="40" t="str">
        <x:v>sample_id</x:v>
      </x:c>
      <x:c r="B4" s="41" t="str">
        <x:v>scenario_type</x:v>
      </x:c>
      <x:c r="C4" s="41" t="str">
        <x:v>difficulty</x:v>
      </x:c>
      <x:c r="D4" s="41" t="str">
        <x:v>category_bucket</x:v>
      </x:c>
      <x:c r="E4" s="41" t="str">
        <x:v>target_parent_asin</x:v>
      </x:c>
      <x:c r="F4" s="41" t="str">
        <x:v>profile_avg_rating</x:v>
      </x:c>
      <x:c r="G4" s="41" t="str">
        <x:v>rating_style</x:v>
      </x:c>
      <x:c r="H4" s="41" t="str">
        <x:v>purchase_frequency</x:v>
      </x:c>
      <x:c r="I4" s="41" t="str">
        <x:v>preference_tags</x:v>
      </x:c>
      <x:c r="J4" s="41" t="str">
        <x:v>tag_count</x:v>
      </x:c>
      <x:c r="K4" s="41" t="str">
        <x:v>target_title</x:v>
      </x:c>
      <x:c r="L4" s="41" t="str">
        <x:v>target_category</x:v>
      </x:c>
      <x:c r="M4" s="41" t="str">
        <x:v>initial_message</x:v>
      </x:c>
      <x:c r="N4" s="41" t="str">
        <x:v>override_turn</x:v>
      </x:c>
      <x:c r="O4" s="42" t="str">
        <x:v>override_old_to_new</x:v>
      </x:c>
    </x:row>
    <x:row r="5">
      <x:c r="A5" t="str">
        <x:v>public_0001</x:v>
      </x:c>
      <x:c r="B5" t="str">
        <x:v>buying</x:v>
      </x:c>
      <x:c r="C5" t="str">
        <x:v>easy</x:v>
      </x:c>
      <x:c r="D5" t="str">
        <x:v>clothing</x:v>
      </x:c>
      <x:c r="E5" t="str">
        <x:v>B09PYB7B6Z</x:v>
      </x:c>
      <x:c r="F5" s="75" t="n">
        <x:v>5</x:v>
      </x:c>
      <x:c r="G5" t="str">
        <x:v>usually positive</x:v>
      </x:c>
      <x:c r="H5" t="str">
        <x:v>3-4 prior purchases</x:v>
      </x:c>
      <x:c r="I5" s="17" t="str">
        <x:v>fit | comfort | durability</x:v>
      </x:c>
      <x:c r="J5" s="17" t="n">
        <x:v>3</x:v>
      </x:c>
      <x:c r="K5" s="17" t="str">
        <x:v>QIAN0813 Celttic Knot Triple Moon Pentagram Pentacle Star Wicca Pendant Necklace Round Pagan Jewelry</x:v>
      </x:c>
      <x:c r="L5" s="17" t="str">
        <x:v>Jewelry Necklaces</x:v>
      </x:c>
      <x:c r="M5" s="17" t="str">
        <x:v>I'm looking for Jewelry Necklaces. A key requirement is: Material:alloy.</x:v>
      </x:c>
      <x:c r="N5" s="17" t="str"/>
      <x:c r="O5" s="17" t="str"/>
    </x:row>
    <x:row r="6">
      <x:c r="A6" t="str">
        <x:v>public_0002</x:v>
      </x:c>
      <x:c r="B6" t="str">
        <x:v>intent_override</x:v>
      </x:c>
      <x:c r="C6" t="str">
        <x:v>hard</x:v>
      </x:c>
      <x:c r="D6" t="str">
        <x:v>clothing</x:v>
      </x:c>
      <x:c r="E6" t="str">
        <x:v>B071X54486</x:v>
      </x:c>
      <x:c r="F6" s="75" t="n">
        <x:v>1</x:v>
      </x:c>
      <x:c r="G6" t="str">
        <x:v>critical</x:v>
      </x:c>
      <x:c r="H6" t="str">
        <x:v>3-4 prior purchases</x:v>
      </x:c>
      <x:c r="I6" s="17" t="str">
        <x:v>fit | comfort | style</x:v>
      </x:c>
      <x:c r="J6" s="17" t="n">
        <x:v>3</x:v>
      </x:c>
      <x:c r="K6" s="17" t="str">
        <x:v>Hide &amp; Drink, Rustic Handmade Full Grain Leather Men's Belt, Two Row Stitch Stylish Design - Everyday Belts for Men</x:v>
      </x:c>
      <x:c r="L6" s="17" t="str">
        <x:v>Accessories Belts</x:v>
      </x:c>
      <x:c r="M6" s="17" t="str">
        <x:v>I'm looking for Accessories Belts. Buckle closure</x:v>
      </x:c>
      <x:c r="N6" s="17" t="n">
        <x:v>3</x:v>
      </x:c>
      <x:c r="O6" s="17" t="str">
        <x:v>Buckle closure -&gt; leather</x:v>
      </x:c>
    </x:row>
    <x:row r="7">
      <x:c r="A7" t="str">
        <x:v>public_0003</x:v>
      </x:c>
      <x:c r="B7" t="str">
        <x:v>intent_override</x:v>
      </x:c>
      <x:c r="C7" t="str">
        <x:v>hard</x:v>
      </x:c>
      <x:c r="D7" t="str">
        <x:v>clothing</x:v>
      </x:c>
      <x:c r="E7" t="str">
        <x:v>B09YMTWDXJ</x:v>
      </x:c>
      <x:c r="F7" s="75" t="n">
        <x:v>5</x:v>
      </x:c>
      <x:c r="G7" t="str">
        <x:v>usually positive</x:v>
      </x:c>
      <x:c r="H7" t="str">
        <x:v>3-4 prior purchases</x:v>
      </x:c>
      <x:c r="I7" s="17" t="str">
        <x:v>material | fit</x:v>
      </x:c>
      <x:c r="J7" s="17" t="n">
        <x:v>2</x:v>
      </x:c>
      <x:c r="K7" s="17" t="str">
        <x:v>Casio Men's Wrist Watch AQ-800E-7A</x:v>
      </x:c>
      <x:c r="L7" s="17" t="str">
        <x:v>Watches Wrist Watches</x:v>
      </x:c>
      <x:c r="M7" s="17" t="str">
        <x:v>I'm looking for Watches Wrist Watches. Stainless Steel Band</x:v>
      </x:c>
      <x:c r="N7" s="17" t="n">
        <x:v>3</x:v>
      </x:c>
      <x:c r="O7" s="17" t="str">
        <x:v>Stainless Steel Band -&gt; Water Resistant</x:v>
      </x:c>
    </x:row>
    <x:row r="8">
      <x:c r="A8" t="str">
        <x:v>public_0004</x:v>
      </x:c>
      <x:c r="B8" t="str">
        <x:v>intent_override</x:v>
      </x:c>
      <x:c r="C8" t="str">
        <x:v>hard</x:v>
      </x:c>
      <x:c r="D8" t="str">
        <x:v>clothing</x:v>
      </x:c>
      <x:c r="E8" t="str">
        <x:v>B07C2XPZ6D</x:v>
      </x:c>
      <x:c r="F8" s="75" t="n">
        <x:v>5</x:v>
      </x:c>
      <x:c r="G8" t="str">
        <x:v>usually positive</x:v>
      </x:c>
      <x:c r="H8" t="str">
        <x:v>3-4 prior purchases</x:v>
      </x:c>
      <x:c r="I8" s="17" t="str">
        <x:v>weather | warmth | material | comfort</x:v>
      </x:c>
      <x:c r="J8" s="17" t="n">
        <x:v>4</x:v>
      </x:c>
      <x:c r="K8" s="17" t="str">
        <x:v>Emmalise Women's Basic Casual Long Camisole Adjustable Strap Cami Layering Top</x:v>
      </x:c>
      <x:c r="L8" s="17" t="str">
        <x:v>Tops &amp; Tees Tanks &amp; Camis</x:v>
      </x:c>
      <x:c r="M8" s="17" t="str">
        <x:v>I'm looking for Tops &amp; Tees Tanks &amp; Camis. Long torso camisole for extra coverage with spagetti adjustable strap for perfect fit</x:v>
      </x:c>
      <x:c r="N8" s="17" t="n">
        <x:v>3</x:v>
      </x:c>
      <x:c r="O8" s="17" t="str">
        <x:v>Long torso camisole for extra coverage with spagetti adjustable strap for perfect fit -&gt; polyester</x:v>
      </x:c>
    </x:row>
    <x:row r="9">
      <x:c r="A9" t="str">
        <x:v>public_0005</x:v>
      </x:c>
      <x:c r="B9" t="str">
        <x:v>buying</x:v>
      </x:c>
      <x:c r="C9" t="str">
        <x:v>easy</x:v>
      </x:c>
      <x:c r="D9" t="str">
        <x:v>clothing</x:v>
      </x:c>
      <x:c r="E9" t="str">
        <x:v>B074G1JP8Z</x:v>
      </x:c>
      <x:c r="F9" s="75" t="n">
        <x:v>5</x:v>
      </x:c>
      <x:c r="G9" t="str">
        <x:v>usually positive</x:v>
      </x:c>
      <x:c r="H9" t="str">
        <x:v>3-4 prior purchases</x:v>
      </x:c>
      <x:c r="I9" s="17" t="str">
        <x:v>comfort | fit | style | durability</x:v>
      </x:c>
      <x:c r="J9" s="17" t="n">
        <x:v>4</x:v>
      </x:c>
      <x:c r="K9" s="17" t="str">
        <x:v>GLOBALWIN Women's Waterproof Winter Boots Snow Boots For Women</x:v>
      </x:c>
      <x:c r="L9" s="17" t="str">
        <x:v>Outdoor &amp; Work Snow &amp; Cold Weather</x:v>
      </x:c>
      <x:c r="M9" s="17" t="str">
        <x:v>I'm looking for Outdoor &amp; Work Snow &amp; Cold Weather. A key requirement is: leather.</x:v>
      </x:c>
      <x:c r="N9" s="17" t="str"/>
      <x:c r="O9" s="17" t="str"/>
    </x:row>
    <x:row r="10">
      <x:c r="A10" t="str">
        <x:v>public_0006</x:v>
      </x:c>
      <x:c r="B10" t="str">
        <x:v>browsing</x:v>
      </x:c>
      <x:c r="C10" t="str">
        <x:v>medium</x:v>
      </x:c>
      <x:c r="D10" t="str">
        <x:v>clothing</x:v>
      </x:c>
      <x:c r="E10" t="str">
        <x:v>B071F2Z7JG</x:v>
      </x:c>
      <x:c r="F10" s="75" t="n">
        <x:v>1</x:v>
      </x:c>
      <x:c r="G10" t="str">
        <x:v>critical</x:v>
      </x:c>
      <x:c r="H10" t="str">
        <x:v>3-4 prior purchases</x:v>
      </x:c>
      <x:c r="I10" s="17" t="str">
        <x:v>comfort | fit | durability | style</x:v>
      </x:c>
      <x:c r="J10" s="17" t="n">
        <x:v>4</x:v>
      </x:c>
      <x:c r="K10" s="17" t="str">
        <x:v>Pro Club Men's Heavyweight Mesh Basketball Shorts</x:v>
      </x:c>
      <x:c r="L10" s="17" t="str">
        <x:v>Basketball Men</x:v>
      </x:c>
      <x:c r="M10" s="17" t="str">
        <x:v>I'm looking for Basketball Men, but I'm still exploring.</x:v>
      </x:c>
      <x:c r="N10" s="17" t="str"/>
      <x:c r="O10" s="17" t="str"/>
    </x:row>
    <x:row r="11">
      <x:c r="A11" t="str">
        <x:v>public_0007</x:v>
      </x:c>
      <x:c r="B11" t="str">
        <x:v>browsing</x:v>
      </x:c>
      <x:c r="C11" t="str">
        <x:v>medium</x:v>
      </x:c>
      <x:c r="D11" t="str">
        <x:v>clothing</x:v>
      </x:c>
      <x:c r="E11" t="str">
        <x:v>B08PF98BV4</x:v>
      </x:c>
      <x:c r="F11" s="75" t="n">
        <x:v>5</x:v>
      </x:c>
      <x:c r="G11" t="str">
        <x:v>usually positive</x:v>
      </x:c>
      <x:c r="H11" t="str">
        <x:v>3-4 prior purchases</x:v>
      </x:c>
      <x:c r="I11" s="17" t="str">
        <x:v>material | fit</x:v>
      </x:c>
      <x:c r="J11" s="17" t="n">
        <x:v>2</x:v>
      </x:c>
      <x:c r="K11" s="17" t="str">
        <x:v>RITERA Plus Size Tops for Women Off the Shoulder Cold Shoulder Tops Short Sleeve Shirts Summer Blouses Sexy Tunics Tee XL-5XL</x:v>
      </x:c>
      <x:c r="L11" s="17" t="str">
        <x:v>Tees &amp; Blouses Tunics</x:v>
      </x:c>
      <x:c r="M11" s="17" t="str">
        <x:v>I'm looking for Tees &amp; Blouses Tunics, but I'm still exploring.</x:v>
      </x:c>
      <x:c r="N11" s="17" t="str"/>
      <x:c r="O11" s="17" t="str"/>
    </x:row>
    <x:row r="12">
      <x:c r="A12" t="str">
        <x:v>public_0008</x:v>
      </x:c>
      <x:c r="B12" t="str">
        <x:v>buying</x:v>
      </x:c>
      <x:c r="C12" t="str">
        <x:v>easy</x:v>
      </x:c>
      <x:c r="D12" t="str">
        <x:v>clothing</x:v>
      </x:c>
      <x:c r="E12" t="str">
        <x:v>B0BPCC1KBT</x:v>
      </x:c>
      <x:c r="F12" s="75" t="n">
        <x:v>5</x:v>
      </x:c>
      <x:c r="G12" t="str">
        <x:v>usually positive</x:v>
      </x:c>
      <x:c r="H12" t="str">
        <x:v>3-4 prior purchases</x:v>
      </x:c>
      <x:c r="I12" s="17" t="str">
        <x:v>fit | comfort | material | style</x:v>
      </x:c>
      <x:c r="J12" s="17" t="n">
        <x:v>4</x:v>
      </x:c>
      <x:c r="K12" s="17" t="str">
        <x:v>Hanes Womens Wireless Bra, Full-Coverage Pullover Stretch-Knit Bra, Smoothing T-Shirt Bra</x:v>
      </x:c>
      <x:c r="L12" s="17" t="str">
        <x:v>Bras Everyday Bras</x:v>
      </x:c>
      <x:c r="M12" s="17" t="str">
        <x:v>I'm looking for Bras Everyday Bras. A key requirement is: nylon.</x:v>
      </x:c>
      <x:c r="N12" s="17" t="str"/>
      <x:c r="O12" s="17" t="str"/>
    </x:row>
    <x:row r="13">
      <x:c r="A13" t="str">
        <x:v>public_0009</x:v>
      </x:c>
      <x:c r="B13" t="str">
        <x:v>buying</x:v>
      </x:c>
      <x:c r="C13" t="str">
        <x:v>easy</x:v>
      </x:c>
      <x:c r="D13" t="str">
        <x:v>clothing</x:v>
      </x:c>
      <x:c r="E13" t="str">
        <x:v>B07GXHPWTJ</x:v>
      </x:c>
      <x:c r="F13" s="75" t="n">
        <x:v>4</x:v>
      </x:c>
      <x:c r="G13" t="str">
        <x:v>mixed</x:v>
      </x:c>
      <x:c r="H13" t="str">
        <x:v>3-4 prior purchases</x:v>
      </x:c>
      <x:c r="I13" s="17" t="str">
        <x:v>material | comfort | fit</x:v>
      </x:c>
      <x:c r="J13" s="17" t="n">
        <x:v>3</x:v>
      </x:c>
      <x:c r="K13" s="17" t="str">
        <x:v>Angel Barcelo Roomy Fashion Hobo Womens Handbags Ladies Purse Satchel Shoulder Bags Tote Washed Leather Bag</x:v>
      </x:c>
      <x:c r="L13" s="17" t="str">
        <x:v>Handbags &amp; Wallets Totes</x:v>
      </x:c>
      <x:c r="M13" s="17" t="str">
        <x:v>I'm looking for Handbags &amp; Wallets Totes. A key requirement is: leather.</x:v>
      </x:c>
      <x:c r="N13" s="17" t="str"/>
      <x:c r="O13" s="17" t="str"/>
    </x:row>
    <x:row r="14">
      <x:c r="A14" t="str">
        <x:v>public_0010</x:v>
      </x:c>
      <x:c r="B14" t="str">
        <x:v>buying</x:v>
      </x:c>
      <x:c r="C14" t="str">
        <x:v>easy</x:v>
      </x:c>
      <x:c r="D14" t="str">
        <x:v>clothing</x:v>
      </x:c>
      <x:c r="E14" t="str">
        <x:v>B0929KL5W7</x:v>
      </x:c>
      <x:c r="F14" s="75" t="n">
        <x:v>1</x:v>
      </x:c>
      <x:c r="G14" t="str">
        <x:v>critical</x:v>
      </x:c>
      <x:c r="H14" t="str">
        <x:v>3-4 prior purchases</x:v>
      </x:c>
      <x:c r="I14" s="17" t="str">
        <x:v>material | fit | performance | comfort</x:v>
      </x:c>
      <x:c r="J14" s="17" t="n">
        <x:v>4</x:v>
      </x:c>
      <x:c r="K14" s="17" t="str">
        <x:v>MANGOPOP Women's Mock Turtle Neck Long Sleeve Tops Bodysuit Jumpsuit</x:v>
      </x:c>
      <x:c r="L14" s="17" t="str">
        <x:v>Women Bodysuits</x:v>
      </x:c>
      <x:c r="M14" s="17" t="str">
        <x:v>I'm looking for Women Bodysuits. A key requirement is: fabric.</x:v>
      </x:c>
      <x:c r="N14" s="17" t="str"/>
      <x:c r="O14" s="17" t="str"/>
    </x:row>
    <x:row r="15">
      <x:c r="A15" t="str">
        <x:v>public_0011</x:v>
      </x:c>
      <x:c r="B15" t="str">
        <x:v>browsing</x:v>
      </x:c>
      <x:c r="C15" t="str">
        <x:v>medium</x:v>
      </x:c>
      <x:c r="D15" t="str">
        <x:v>clothing</x:v>
      </x:c>
      <x:c r="E15" t="str">
        <x:v>B0BXP6MG3X</x:v>
      </x:c>
      <x:c r="F15" s="75" t="n">
        <x:v>5</x:v>
      </x:c>
      <x:c r="G15" t="str">
        <x:v>usually positive</x:v>
      </x:c>
      <x:c r="H15" t="str">
        <x:v>3-4 prior purchases</x:v>
      </x:c>
      <x:c r="I15" s="17" t="str">
        <x:v>material | fit</x:v>
      </x:c>
      <x:c r="J15" s="17" t="n">
        <x:v>2</x:v>
      </x:c>
      <x:c r="K15" s="17" t="str">
        <x:v>Hanes Men's Tagless Cotton V-Neck Undershirt – Multiple Packs and Colors</x:v>
      </x:c>
      <x:c r="L15" s="17" t="str">
        <x:v>Underwear Undershirts</x:v>
      </x:c>
      <x:c r="M15" s="17" t="str">
        <x:v>I'm looking for Underwear Undershirts, but I'm still exploring.</x:v>
      </x:c>
      <x:c r="N15" s="17" t="str"/>
      <x:c r="O15" s="17" t="str"/>
    </x:row>
    <x:row r="16">
      <x:c r="A16" t="str">
        <x:v>public_0012</x:v>
      </x:c>
      <x:c r="B16" t="str">
        <x:v>browsing</x:v>
      </x:c>
      <x:c r="C16" t="str">
        <x:v>medium</x:v>
      </x:c>
      <x:c r="D16" t="str">
        <x:v>clothing</x:v>
      </x:c>
      <x:c r="E16" t="str">
        <x:v>B08FFGQF72</x:v>
      </x:c>
      <x:c r="F16" s="75" t="n">
        <x:v>5</x:v>
      </x:c>
      <x:c r="G16" t="str">
        <x:v>usually positive</x:v>
      </x:c>
      <x:c r="H16" t="str">
        <x:v>3-4 prior purchases</x:v>
      </x:c>
      <x:c r="I16" s="17" t="str">
        <x:v>fit | material</x:v>
      </x:c>
      <x:c r="J16" s="17" t="n">
        <x:v>2</x:v>
      </x:c>
      <x:c r="K16" s="17" t="str">
        <x:v>GUBERRY Womens Wrap V Neck Long Sleeve Velvet Bodycon Ruched Cocktail Party Dress</x:v>
      </x:c>
      <x:c r="L16" s="17" t="str">
        <x:v>Women Dresses</x:v>
      </x:c>
      <x:c r="M16" s="17" t="str">
        <x:v>I'm looking for Women Dresses, but I'm still exploring.</x:v>
      </x:c>
      <x:c r="N16" s="17" t="str"/>
      <x:c r="O16" s="17" t="str"/>
    </x:row>
    <x:row r="17">
      <x:c r="A17" t="str">
        <x:v>public_0013</x:v>
      </x:c>
      <x:c r="B17" t="str">
        <x:v>intent_override</x:v>
      </x:c>
      <x:c r="C17" t="str">
        <x:v>hard</x:v>
      </x:c>
      <x:c r="D17" t="str">
        <x:v>clothing</x:v>
      </x:c>
      <x:c r="E17" t="str">
        <x:v>B0C65TFM9F</x:v>
      </x:c>
      <x:c r="F17" s="75" t="n">
        <x:v>4</x:v>
      </x:c>
      <x:c r="G17" t="str">
        <x:v>mixed</x:v>
      </x:c>
      <x:c r="H17" t="str">
        <x:v>3-4 prior purchases</x:v>
      </x:c>
      <x:c r="I17" s="17" t="str">
        <x:v>comfort | material</x:v>
      </x:c>
      <x:c r="J17" s="17" t="n">
        <x:v>2</x:v>
      </x:c>
      <x:c r="K17" s="17" t="str">
        <x:v>Vionic Women's Gemma</x:v>
      </x:c>
      <x:c r="L17" s="17" t="str">
        <x:v>Shoes Slippers</x:v>
      </x:c>
      <x:c r="M17" s="17" t="str">
        <x:v>I'm looking for Shoes Slippers. YOUR NEW FAVORITE SLIPPERS: Slip into divine comfort with Gemma, a plush mule-style spa slipper with an adjustable hook-and-loop closure across the vamp</x:v>
      </x:c>
      <x:c r="N17" s="17" t="n">
        <x:v>4</x:v>
      </x:c>
      <x:c r="O17" s="17" t="str">
        <x:v>YOUR NEW FAVORITE SLIPPERS: Slip into divine comfort with Gemma, a plush mule-style spa slipper with an adjustable hook-and-loop closure across the vamp -&gt; Rubber sole</x:v>
      </x:c>
    </x:row>
    <x:row r="18">
      <x:c r="A18" t="str">
        <x:v>public_0014</x:v>
      </x:c>
      <x:c r="B18" t="str">
        <x:v>browsing</x:v>
      </x:c>
      <x:c r="C18" t="str">
        <x:v>medium</x:v>
      </x:c>
      <x:c r="D18" t="str">
        <x:v>clothing</x:v>
      </x:c>
      <x:c r="E18" t="str">
        <x:v>B088QF5G58</x:v>
      </x:c>
      <x:c r="F18" s="75" t="n">
        <x:v>5</x:v>
      </x:c>
      <x:c r="G18" t="str">
        <x:v>usually positive</x:v>
      </x:c>
      <x:c r="H18" t="str">
        <x:v>3-4 prior purchases</x:v>
      </x:c>
      <x:c r="I18" s="17" t="str">
        <x:v>warmth | comfort | style | fit</x:v>
      </x:c>
      <x:c r="J18" s="17" t="n">
        <x:v>4</x:v>
      </x:c>
      <x:c r="K18" s="17" t="str">
        <x:v>Hanes Men's Underwear Briefs Pack, Mid-Rise, Moisture-Wicking, 6-Pack</x:v>
      </x:c>
      <x:c r="L18" s="17" t="str">
        <x:v>Underwear Briefs</x:v>
      </x:c>
      <x:c r="M18" s="17" t="str">
        <x:v>I'm looking for Underwear Briefs, but I'm still exploring.</x:v>
      </x:c>
      <x:c r="N18" s="17" t="str"/>
      <x:c r="O18" s="17" t="str"/>
    </x:row>
    <x:row r="19">
      <x:c r="A19" t="str">
        <x:v>public_0015</x:v>
      </x:c>
      <x:c r="B19" t="str">
        <x:v>browsing</x:v>
      </x:c>
      <x:c r="C19" t="str">
        <x:v>medium</x:v>
      </x:c>
      <x:c r="D19" t="str">
        <x:v>clothing</x:v>
      </x:c>
      <x:c r="E19" t="str">
        <x:v>B08513YB2T</x:v>
      </x:c>
      <x:c r="F19" s="75" t="n">
        <x:v>5</x:v>
      </x:c>
      <x:c r="G19" t="str">
        <x:v>usually positive</x:v>
      </x:c>
      <x:c r="H19" t="str">
        <x:v>3-4 prior purchases</x:v>
      </x:c>
      <x:c r="I19" s="17" t="str">
        <x:v>material</x:v>
      </x:c>
      <x:c r="J19" s="17" t="n">
        <x:v>1</x:v>
      </x:c>
      <x:c r="K19" s="17" t="str">
        <x:v>Crocs Unisex-Adult Classic Clog</x:v>
      </x:c>
      <x:c r="L19" s="17" t="str">
        <x:v>Shoes Mules &amp; Clogs</x:v>
      </x:c>
      <x:c r="M19" s="17" t="str">
        <x:v>I'm looking for Shoes Mules &amp; Clogs, but I'm still exploring.</x:v>
      </x:c>
      <x:c r="N19" s="17" t="str"/>
      <x:c r="O19" s="17" t="str"/>
    </x:row>
    <x:row r="20">
      <x:c r="A20" t="str">
        <x:v>public_0016</x:v>
      </x:c>
      <x:c r="B20" t="str">
        <x:v>browsing</x:v>
      </x:c>
      <x:c r="C20" t="str">
        <x:v>medium</x:v>
      </x:c>
      <x:c r="D20" t="str">
        <x:v>clothing</x:v>
      </x:c>
      <x:c r="E20" t="str">
        <x:v>B07PH3X7QK</x:v>
      </x:c>
      <x:c r="F20" s="75" t="n">
        <x:v>5</x:v>
      </x:c>
      <x:c r="G20" t="str">
        <x:v>usually positive</x:v>
      </x:c>
      <x:c r="H20" t="str">
        <x:v>3-4 prior purchases</x:v>
      </x:c>
      <x:c r="I20" s="17" t="str">
        <x:v>comfort | fit | durability | style</x:v>
      </x:c>
      <x:c r="J20" s="17" t="n">
        <x:v>4</x:v>
      </x:c>
      <x:c r="K20" s="17" t="str">
        <x:v>Amazon Essentials Women's Lace-Up Combat Boot</x:v>
      </x:c>
      <x:c r="L20" s="17" t="str">
        <x:v>Boots Mid-Calf</x:v>
      </x:c>
      <x:c r="M20" s="17" t="str">
        <x:v>I'm looking for Boots Mid-Calf, but I'm still exploring.</x:v>
      </x:c>
      <x:c r="N20" s="17" t="str"/>
      <x:c r="O20" s="17" t="str"/>
    </x:row>
    <x:row r="21">
      <x:c r="A21" t="str">
        <x:v>public_0017</x:v>
      </x:c>
      <x:c r="B21" t="str">
        <x:v>buying</x:v>
      </x:c>
      <x:c r="C21" t="str">
        <x:v>easy</x:v>
      </x:c>
      <x:c r="D21" t="str">
        <x:v>clothing</x:v>
      </x:c>
      <x:c r="E21" t="str">
        <x:v>B089RXP8K2</x:v>
      </x:c>
      <x:c r="F21" s="75" t="n">
        <x:v>5</x:v>
      </x:c>
      <x:c r="G21" t="str">
        <x:v>usually positive</x:v>
      </x:c>
      <x:c r="H21" t="str">
        <x:v>3-4 prior purchases</x:v>
      </x:c>
      <x:c r="I21" s="17" t="str">
        <x:v>fit | comfort | material</x:v>
      </x:c>
      <x:c r="J21" s="17" t="n">
        <x:v>3</x:v>
      </x:c>
      <x:c r="K21" s="17" t="str">
        <x:v>Travelambo Womens Wallet RFID Blocking Bifold Multi Card Case Wallet with Zipper Pocket</x:v>
      </x:c>
      <x:c r="L21" s="17" t="str">
        <x:v>Card Cases &amp; Money Organizers Wallets</x:v>
      </x:c>
      <x:c r="M21" s="17" t="str">
        <x:v>I'm looking for Card Cases &amp; Money Organizers Wallets. A key requirement is: leather.</x:v>
      </x:c>
      <x:c r="N21" s="17" t="str"/>
      <x:c r="O21" s="17" t="str"/>
    </x:row>
    <x:row r="22">
      <x:c r="A22" t="str">
        <x:v>public_0018</x:v>
      </x:c>
      <x:c r="B22" t="str">
        <x:v>buying</x:v>
      </x:c>
      <x:c r="C22" t="str">
        <x:v>easy</x:v>
      </x:c>
      <x:c r="D22" t="str">
        <x:v>clothing</x:v>
      </x:c>
      <x:c r="E22" t="str">
        <x:v>B07H3T5YGH</x:v>
      </x:c>
      <x:c r="F22" s="75" t="n">
        <x:v>4</x:v>
      </x:c>
      <x:c r="G22" t="str">
        <x:v>mixed</x:v>
      </x:c>
      <x:c r="H22" t="str">
        <x:v>3-4 prior purchases</x:v>
      </x:c>
      <x:c r="I22" s="17" t="str">
        <x:v>material | fit</x:v>
      </x:c>
      <x:c r="J22" s="17" t="n">
        <x:v>2</x:v>
      </x:c>
      <x:c r="K22" s="17" t="str">
        <x:v>O2TEE Men's Workout Gym Tank Tops Men - Custom Tank Top - Customized &amp; Personalized Tanktops Text</x:v>
      </x:c>
      <x:c r="L22" s="17" t="str">
        <x:v>Shirts Tanks Tops</x:v>
      </x:c>
      <x:c r="M22" s="17" t="str">
        <x:v>I'm looking for Shirts Tanks Tops. A key requirement is: polyester.</x:v>
      </x:c>
      <x:c r="N22" s="17" t="str"/>
      <x:c r="O22" s="17" t="str"/>
    </x:row>
    <x:row r="23">
      <x:c r="A23" t="str">
        <x:v>public_0019</x:v>
      </x:c>
      <x:c r="B23" t="str">
        <x:v>browsing</x:v>
      </x:c>
      <x:c r="C23" t="str">
        <x:v>medium</x:v>
      </x:c>
      <x:c r="D23" t="str">
        <x:v>clothing</x:v>
      </x:c>
      <x:c r="E23" t="str">
        <x:v>B076VQQ962</x:v>
      </x:c>
      <x:c r="F23" s="75" t="n">
        <x:v>5</x:v>
      </x:c>
      <x:c r="G23" t="str">
        <x:v>usually positive</x:v>
      </x:c>
      <x:c r="H23" t="str">
        <x:v>3-4 prior purchases</x:v>
      </x:c>
      <x:c r="I23" s="17" t="str">
        <x:v>weather | comfort | durability | style</x:v>
      </x:c>
      <x:c r="J23" s="17" t="n">
        <x:v>4</x:v>
      </x:c>
      <x:c r="K23" s="17" t="str">
        <x:v>Asgard Women's Ankle Rain Boots Waterproof Chelsea Boots</x:v>
      </x:c>
      <x:c r="L23" s="17" t="str">
        <x:v>Outdoor &amp; Work Rain</x:v>
      </x:c>
      <x:c r="M23" s="17" t="str">
        <x:v>I'm looking for Outdoor &amp; Work Rain, but I'm still exploring.</x:v>
      </x:c>
      <x:c r="N23" s="17" t="str"/>
      <x:c r="O23" s="17" t="str"/>
    </x:row>
    <x:row r="24">
      <x:c r="A24" t="str">
        <x:v>public_0020</x:v>
      </x:c>
      <x:c r="B24" t="str">
        <x:v>buying</x:v>
      </x:c>
      <x:c r="C24" t="str">
        <x:v>easy</x:v>
      </x:c>
      <x:c r="D24" t="str">
        <x:v>clothing</x:v>
      </x:c>
      <x:c r="E24" t="str">
        <x:v>B08P4SSFX4</x:v>
      </x:c>
      <x:c r="F24" s="75" t="n">
        <x:v>5</x:v>
      </x:c>
      <x:c r="G24" t="str">
        <x:v>usually positive</x:v>
      </x:c>
      <x:c r="H24" t="str">
        <x:v>3-4 prior purchases</x:v>
      </x:c>
      <x:c r="I24" s="17" t="str">
        <x:v>material | fit</x:v>
      </x:c>
      <x:c r="J24" s="17" t="n">
        <x:v>2</x:v>
      </x:c>
      <x:c r="K24" s="17" t="str">
        <x:v>Funny Saying Novelty Gift ideas - My Favorite People Call Me Grandma Long Sleeve T-Shirt</x:v>
      </x:c>
      <x:c r="L24" s="17" t="str">
        <x:v>Novelty Women</x:v>
      </x:c>
      <x:c r="M24" s="17" t="str">
        <x:v>I'm looking for Novelty Women. A key requirement is: cotton.</x:v>
      </x:c>
      <x:c r="N24" s="17" t="str"/>
      <x:c r="O24" s="17" t="str"/>
    </x:row>
    <x:row r="25">
      <x:c r="A25" t="str">
        <x:v>public_0021</x:v>
      </x:c>
      <x:c r="B25" t="str">
        <x:v>browsing</x:v>
      </x:c>
      <x:c r="C25" t="str">
        <x:v>medium</x:v>
      </x:c>
      <x:c r="D25" t="str">
        <x:v>clothing</x:v>
      </x:c>
      <x:c r="E25" t="str">
        <x:v>B07K4FX4WZ</x:v>
      </x:c>
      <x:c r="F25" s="75" t="n">
        <x:v>5</x:v>
      </x:c>
      <x:c r="G25" t="str">
        <x:v>usually positive</x:v>
      </x:c>
      <x:c r="H25" t="str">
        <x:v>3-4 prior purchases</x:v>
      </x:c>
      <x:c r="I25" s="17" t="str">
        <x:v>material | fit</x:v>
      </x:c>
      <x:c r="J25" s="17" t="n">
        <x:v>2</x:v>
      </x:c>
      <x:c r="K25" s="17" t="str">
        <x:v>Amazon Essentials Men's Slim-Fit Stretch Golf Pant</x:v>
      </x:c>
      <x:c r="L25" s="17" t="str">
        <x:v>Men Pants</x:v>
      </x:c>
      <x:c r="M25" s="17" t="str">
        <x:v>I'm looking for Men Pants, but I'm still exploring.</x:v>
      </x:c>
      <x:c r="N25" s="17" t="str"/>
      <x:c r="O25" s="17" t="str"/>
    </x:row>
    <x:row r="26">
      <x:c r="A26" t="str">
        <x:v>public_0022</x:v>
      </x:c>
      <x:c r="B26" t="str">
        <x:v>buying</x:v>
      </x:c>
      <x:c r="C26" t="str">
        <x:v>easy</x:v>
      </x:c>
      <x:c r="D26" t="str">
        <x:v>clothing</x:v>
      </x:c>
      <x:c r="E26" t="str">
        <x:v>B08F5G843H</x:v>
      </x:c>
      <x:c r="F26" s="75" t="n">
        <x:v>5</x:v>
      </x:c>
      <x:c r="G26" t="str">
        <x:v>usually positive</x:v>
      </x:c>
      <x:c r="H26" t="str">
        <x:v>3-4 prior purchases</x:v>
      </x:c>
      <x:c r="I26" s="17" t="str">
        <x:v>comfort | fit | style | material</x:v>
      </x:c>
      <x:c r="J26" s="17" t="n">
        <x:v>4</x:v>
      </x:c>
      <x:c r="K26" s="17" t="str">
        <x:v>YESNO Summer Dresses for Women Casual Loose Bohemian Floral Dress with Pockets Spaghetti Strap Maxi Dress E75</x:v>
      </x:c>
      <x:c r="L26" s="17" t="str">
        <x:v>Dresses Casual</x:v>
      </x:c>
      <x:c r="M26" s="17" t="str">
        <x:v>I'm looking for Dresses Casual. A key requirement is: fabric.</x:v>
      </x:c>
      <x:c r="N26" s="17" t="str"/>
      <x:c r="O26" s="17" t="str"/>
    </x:row>
    <x:row r="27">
      <x:c r="A27" t="str">
        <x:v>public_0023</x:v>
      </x:c>
      <x:c r="B27" t="str">
        <x:v>intent_override</x:v>
      </x:c>
      <x:c r="C27" t="str">
        <x:v>hard</x:v>
      </x:c>
      <x:c r="D27" t="str">
        <x:v>clothing</x:v>
      </x:c>
      <x:c r="E27" t="str">
        <x:v>B08ZKFD4GM</x:v>
      </x:c>
      <x:c r="F27" s="75" t="n">
        <x:v>5</x:v>
      </x:c>
      <x:c r="G27" t="str">
        <x:v>usually positive</x:v>
      </x:c>
      <x:c r="H27" t="str">
        <x:v>3-4 prior purchases</x:v>
      </x:c>
      <x:c r="I27" s="17" t="str">
        <x:v>comfort | material | fit | style</x:v>
      </x:c>
      <x:c r="J27" s="17" t="n">
        <x:v>4</x:v>
      </x:c>
      <x:c r="K27" s="17" t="str">
        <x:v>Hanes Women's Wireless Bra with Cooling, Seamless Smooth Comfort Wirefree T-Shirt Bra</x:v>
      </x:c>
      <x:c r="L27" s="17" t="str">
        <x:v>Bras Everyday Bras</x:v>
      </x:c>
      <x:c r="M27" s="17" t="str">
        <x:v>I'm looking for Bras Everyday Bras. Date First Available: March 19, 2021</x:v>
      </x:c>
      <x:c r="N27" s="17" t="n">
        <x:v>4</x:v>
      </x:c>
      <x:c r="O27" s="17" t="str">
        <x:v>Date First Available: March 19, 2021 -&gt; Hand Wash Only</x:v>
      </x:c>
    </x:row>
    <x:row r="28">
      <x:c r="A28" t="str">
        <x:v>public_0024</x:v>
      </x:c>
      <x:c r="B28" t="str">
        <x:v>buying</x:v>
      </x:c>
      <x:c r="C28" t="str">
        <x:v>easy</x:v>
      </x:c>
      <x:c r="D28" t="str">
        <x:v>clothing</x:v>
      </x:c>
      <x:c r="E28" t="str">
        <x:v>B076X3JXMW</x:v>
      </x:c>
      <x:c r="F28" s="75" t="n">
        <x:v>5</x:v>
      </x:c>
      <x:c r="G28" t="str">
        <x:v>usually positive</x:v>
      </x:c>
      <x:c r="H28" t="str">
        <x:v>3-4 prior purchases</x:v>
      </x:c>
      <x:c r="I28" s="17" t="str">
        <x:v>material | comfort | performance | style</x:v>
      </x:c>
      <x:c r="J28" s="17" t="n">
        <x:v>4</x:v>
      </x:c>
      <x:c r="K28" s="17" t="str">
        <x:v>Riviera Sun Womens Off Shoulder Embroidered Jumpsuit Romper</x:v>
      </x:c>
      <x:c r="L28" s="17" t="str">
        <x:v>Rompers &amp; Overalls Jumpsuits</x:v>
      </x:c>
      <x:c r="M28" s="17" t="str">
        <x:v>I'm looking for Rompers &amp; Overalls Jumpsuits. A key requirement is: rayon.</x:v>
      </x:c>
      <x:c r="N28" s="17" t="str"/>
      <x:c r="O28" s="17" t="str"/>
    </x:row>
    <x:row r="29">
      <x:c r="A29" t="str">
        <x:v>public_0025</x:v>
      </x:c>
      <x:c r="B29" t="str">
        <x:v>browsing</x:v>
      </x:c>
      <x:c r="C29" t="str">
        <x:v>medium</x:v>
      </x:c>
      <x:c r="D29" t="str">
        <x:v>clothing</x:v>
      </x:c>
      <x:c r="E29" t="str">
        <x:v>B0BRS1DHVQ</x:v>
      </x:c>
      <x:c r="F29" s="75" t="n">
        <x:v>3</x:v>
      </x:c>
      <x:c r="G29" t="str">
        <x:v>critical</x:v>
      </x:c>
      <x:c r="H29" t="str">
        <x:v>3-4 prior purchases</x:v>
      </x:c>
      <x:c r="I29" s="17" t="str">
        <x:v>material | fit | comfort | style</x:v>
      </x:c>
      <x:c r="J29" s="17" t="n">
        <x:v>4</x:v>
      </x:c>
      <x:c r="K29" s="17" t="str">
        <x:v>PRETTYGARDEN Women's Loose Solid Off Shoulder Elastic Waist Stretchy Long Romper Jumpsuit</x:v>
      </x:c>
      <x:c r="L29" s="17" t="str">
        <x:v>Rompers &amp; Overalls Rompers</x:v>
      </x:c>
      <x:c r="M29" s="17" t="str">
        <x:v>I'm looking for Rompers &amp; Overalls Rompers, but I'm still exploring.</x:v>
      </x:c>
      <x:c r="N29" s="17" t="str"/>
      <x:c r="O29" s="17" t="str"/>
    </x:row>
    <x:row r="30">
      <x:c r="A30" t="str">
        <x:v>public_0026</x:v>
      </x:c>
      <x:c r="B30" t="str">
        <x:v>buying</x:v>
      </x:c>
      <x:c r="C30" t="str">
        <x:v>easy</x:v>
      </x:c>
      <x:c r="D30" t="str">
        <x:v>clothing</x:v>
      </x:c>
      <x:c r="E30" t="str">
        <x:v>B093R14VP1</x:v>
      </x:c>
      <x:c r="F30" s="75" t="n">
        <x:v>5</x:v>
      </x:c>
      <x:c r="G30" t="str">
        <x:v>usually positive</x:v>
      </x:c>
      <x:c r="H30" t="str">
        <x:v>3-4 prior purchases</x:v>
      </x:c>
      <x:c r="I30" s="17" t="str">
        <x:v>material | fit</x:v>
      </x:c>
      <x:c r="J30" s="17" t="n">
        <x:v>2</x:v>
      </x:c>
      <x:c r="K30" s="17" t="str">
        <x:v>ASICS Men's Gel-Venture 6 MX Running Shoes</x:v>
      </x:c>
      <x:c r="L30" s="17" t="str">
        <x:v>Running Trail Running</x:v>
      </x:c>
      <x:c r="M30" s="17" t="str">
        <x:v>I'm looking for Running Trail Running. A key requirement is: 100% Synthetic.</x:v>
      </x:c>
      <x:c r="N30" s="17" t="str"/>
      <x:c r="O30" s="17" t="str"/>
    </x:row>
    <x:row r="31">
      <x:c r="A31" t="str">
        <x:v>public_0027</x:v>
      </x:c>
      <x:c r="B31" t="str">
        <x:v>buying</x:v>
      </x:c>
      <x:c r="C31" t="str">
        <x:v>easy</x:v>
      </x:c>
      <x:c r="D31" t="str">
        <x:v>clothing</x:v>
      </x:c>
      <x:c r="E31" t="str">
        <x:v>B0858VDFDW</x:v>
      </x:c>
      <x:c r="F31" s="75" t="n">
        <x:v>5</x:v>
      </x:c>
      <x:c r="G31" t="str">
        <x:v>usually positive</x:v>
      </x:c>
      <x:c r="H31" t="str">
        <x:v>3-4 prior purchases</x:v>
      </x:c>
      <x:c r="I31" s="17" t="str">
        <x:v>style | comfort | fit | material</x:v>
      </x:c>
      <x:c r="J31" s="17" t="n">
        <x:v>4</x:v>
      </x:c>
      <x:c r="K31" s="17" t="str">
        <x:v>Riders by Lee Indigo Women's Ultra Soft Denim Capri</x:v>
      </x:c>
      <x:c r="L31" s="17" t="str">
        <x:v>Women Jeans</x:v>
      </x:c>
      <x:c r="M31" s="17" t="str">
        <x:v>I'm looking for Women Jeans. A key requirement is: cotton.</x:v>
      </x:c>
      <x:c r="N31" s="17" t="str"/>
      <x:c r="O31" s="17" t="str"/>
    </x:row>
    <x:row r="32">
      <x:c r="A32" t="str">
        <x:v>public_0028</x:v>
      </x:c>
      <x:c r="B32" t="str">
        <x:v>buying</x:v>
      </x:c>
      <x:c r="C32" t="str">
        <x:v>easy</x:v>
      </x:c>
      <x:c r="D32" t="str">
        <x:v>clothing</x:v>
      </x:c>
      <x:c r="E32" t="str">
        <x:v>B0B9ZYDDZ1</x:v>
      </x:c>
      <x:c r="F32" s="75" t="n">
        <x:v>5</x:v>
      </x:c>
      <x:c r="G32" t="str">
        <x:v>usually positive</x:v>
      </x:c>
      <x:c r="H32" t="str">
        <x:v>3-4 prior purchases</x:v>
      </x:c>
      <x:c r="I32" s="17" t="str">
        <x:v>material | fit</x:v>
      </x:c>
      <x:c r="J32" s="17" t="n">
        <x:v>2</x:v>
      </x:c>
      <x:c r="K32" s="17" t="str">
        <x:v>Buffway Slim Minimalist Front Pocket RFID Blocking Leather Wallets for Men Women</x:v>
      </x:c>
      <x:c r="L32" s="17" t="str">
        <x:v>Card Cases &amp; Money Organizers Wallets</x:v>
      </x:c>
      <x:c r="M32" s="17" t="str">
        <x:v>I'm looking for Card Cases &amp; Money Organizers Wallets. A key requirement is: leather.</x:v>
      </x:c>
      <x:c r="N32" s="17" t="str"/>
      <x:c r="O32" s="17" t="str"/>
    </x:row>
    <x:row r="33">
      <x:c r="A33" t="str">
        <x:v>public_0029</x:v>
      </x:c>
      <x:c r="B33" t="str">
        <x:v>buying</x:v>
      </x:c>
      <x:c r="C33" t="str">
        <x:v>easy</x:v>
      </x:c>
      <x:c r="D33" t="str">
        <x:v>clothing</x:v>
      </x:c>
      <x:c r="E33" t="str">
        <x:v>B01IAKCZEK</x:v>
      </x:c>
      <x:c r="F33" s="75" t="n">
        <x:v>5</x:v>
      </x:c>
      <x:c r="G33" t="str">
        <x:v>usually positive</x:v>
      </x:c>
      <x:c r="H33" t="str">
        <x:v>3-4 prior purchases</x:v>
      </x:c>
      <x:c r="I33" s="17" t="str">
        <x:v>comfort | material | style | fit</x:v>
      </x:c>
      <x:c r="J33" s="17" t="n">
        <x:v>4</x:v>
      </x:c>
      <x:c r="K33" s="17" t="str">
        <x:v>Sanuk Yoga Sling 2 Light Natural 5 B (M)</x:v>
      </x:c>
      <x:c r="L33" s="17" t="str">
        <x:v>Sandals Flats</x:v>
      </x:c>
      <x:c r="M33" s="17" t="str">
        <x:v>I'm looking for Sandals Flats. A key requirement is: fabric.</x:v>
      </x:c>
      <x:c r="N33" s="17" t="str"/>
      <x:c r="O33" s="17" t="str"/>
    </x:row>
    <x:row r="34">
      <x:c r="A34" t="str">
        <x:v>public_0030</x:v>
      </x:c>
      <x:c r="B34" t="str">
        <x:v>buying</x:v>
      </x:c>
      <x:c r="C34" t="str">
        <x:v>easy</x:v>
      </x:c>
      <x:c r="D34" t="str">
        <x:v>clothing</x:v>
      </x:c>
      <x:c r="E34" t="str">
        <x:v>B09V5RTXG9</x:v>
      </x:c>
      <x:c r="F34" s="75" t="n">
        <x:v>4</x:v>
      </x:c>
      <x:c r="G34" t="str">
        <x:v>mixed</x:v>
      </x:c>
      <x:c r="H34" t="str">
        <x:v>3-4 prior purchases</x:v>
      </x:c>
      <x:c r="I34" s="17" t="str">
        <x:v>material | comfort | fit | style</x:v>
      </x:c>
      <x:c r="J34" s="17" t="n">
        <x:v>4</x:v>
      </x:c>
      <x:c r="K34" s="17" t="str">
        <x:v>#followme Microfleece Men’s Buffalo Plaid Pajama Pants with Pockets</x:v>
      </x:c>
      <x:c r="L34" s="17" t="str">
        <x:v>Sleep &amp; Lounge Sleep Bottoms</x:v>
      </x:c>
      <x:c r="M34" s="17" t="str">
        <x:v>I'm looking for Sleep &amp; Lounge Sleep Bottoms. A key requirement is: polyester.</x:v>
      </x:c>
      <x:c r="N34" s="17" t="str"/>
      <x:c r="O34" s="17" t="str"/>
    </x:row>
    <x:row r="35">
      <x:c r="A35" t="str">
        <x:v>public_0031</x:v>
      </x:c>
      <x:c r="B35" t="str">
        <x:v>buying</x:v>
      </x:c>
      <x:c r="C35" t="str">
        <x:v>easy</x:v>
      </x:c>
      <x:c r="D35" t="str">
        <x:v>clothing</x:v>
      </x:c>
      <x:c r="E35" t="str">
        <x:v>B0BQDTGHMZ</x:v>
      </x:c>
      <x:c r="F35" s="75" t="n">
        <x:v>5</x:v>
      </x:c>
      <x:c r="G35" t="str">
        <x:v>usually positive</x:v>
      </x:c>
      <x:c r="H35" t="str">
        <x:v>3-4 prior purchases</x:v>
      </x:c>
      <x:c r="I35" s="17" t="str">
        <x:v>material | comfort | fit | style</x:v>
      </x:c>
      <x:c r="J35" s="17" t="n">
        <x:v>4</x:v>
      </x:c>
      <x:c r="K35" s="17" t="str">
        <x:v>Signature by Levi Strauss &amp; Co. Gold Label Women's Modern Skinny Jeans (Standard and Plus)</x:v>
      </x:c>
      <x:c r="L35" s="17" t="str">
        <x:v>Women Jeans</x:v>
      </x:c>
      <x:c r="M35" s="17" t="str">
        <x:v>I'm looking for Women Jeans. A key requirement is: cotton.</x:v>
      </x:c>
      <x:c r="N35" s="17" t="str"/>
      <x:c r="O35" s="17" t="str"/>
    </x:row>
    <x:row r="36">
      <x:c r="A36" t="str">
        <x:v>public_0032</x:v>
      </x:c>
      <x:c r="B36" t="str">
        <x:v>buying</x:v>
      </x:c>
      <x:c r="C36" t="str">
        <x:v>easy</x:v>
      </x:c>
      <x:c r="D36" t="str">
        <x:v>clothing</x:v>
      </x:c>
      <x:c r="E36" t="str">
        <x:v>B0834HZQZF</x:v>
      </x:c>
      <x:c r="F36" s="75" t="n">
        <x:v>5</x:v>
      </x:c>
      <x:c r="G36" t="str">
        <x:v>usually positive</x:v>
      </x:c>
      <x:c r="H36" t="str">
        <x:v>3-4 prior purchases</x:v>
      </x:c>
      <x:c r="I36" s="17" t="str">
        <x:v>material | performance | style | warmth</x:v>
      </x:c>
      <x:c r="J36" s="17" t="n">
        <x:v>4</x:v>
      </x:c>
      <x:c r="K36" s="17" t="str">
        <x:v>IZZY + TOBY 100% Cotton Nightgowns for Women Soft Ladies Gowns Sleepwear Long Sleeveless Nightgown</x:v>
      </x:c>
      <x:c r="L36" s="17" t="str">
        <x:v>Sleep &amp; Lounge Nightgowns &amp; Sleepshirts</x:v>
      </x:c>
      <x:c r="M36" s="17" t="str">
        <x:v>I'm looking for Sleep &amp; Lounge Nightgowns &amp; Sleepshirts. A key requirement is: cotton.</x:v>
      </x:c>
      <x:c r="N36" s="17" t="str"/>
      <x:c r="O36" s="17" t="str"/>
    </x:row>
    <x:row r="37">
      <x:c r="A37" t="str">
        <x:v>public_0033</x:v>
      </x:c>
      <x:c r="B37" t="str">
        <x:v>browsing</x:v>
      </x:c>
      <x:c r="C37" t="str">
        <x:v>medium</x:v>
      </x:c>
      <x:c r="D37" t="str">
        <x:v>clothing</x:v>
      </x:c>
      <x:c r="E37" t="str">
        <x:v>B08134XNNB</x:v>
      </x:c>
      <x:c r="F37" s="75" t="n">
        <x:v>4</x:v>
      </x:c>
      <x:c r="G37" t="str">
        <x:v>mixed</x:v>
      </x:c>
      <x:c r="H37" t="str">
        <x:v>3-4 prior purchases</x:v>
      </x:c>
      <x:c r="I37" s="17" t="str">
        <x:v>material | comfort | style | durability</x:v>
      </x:c>
      <x:c r="J37" s="17" t="n">
        <x:v>4</x:v>
      </x:c>
      <x:c r="K37" s="17" t="str">
        <x:v>Women's Walking Shoes Sock Sneakers - Mesh Slip On Air Cushion Lady Girls Modern Jazz Dance Easy Shoes Platform Loafers</x:v>
      </x:c>
      <x:c r="L37" s="17" t="str">
        <x:v>Athletic Walking</x:v>
      </x:c>
      <x:c r="M37" s="17" t="str">
        <x:v>I'm looking for Athletic Walking, but I'm still exploring.</x:v>
      </x:c>
      <x:c r="N37" s="17" t="str"/>
      <x:c r="O37" s="17" t="str"/>
    </x:row>
    <x:row r="38">
      <x:c r="A38" t="str">
        <x:v>public_0034</x:v>
      </x:c>
      <x:c r="B38" t="str">
        <x:v>intent_override</x:v>
      </x:c>
      <x:c r="C38" t="str">
        <x:v>hard</x:v>
      </x:c>
      <x:c r="D38" t="str">
        <x:v>clothing</x:v>
      </x:c>
      <x:c r="E38" t="str">
        <x:v>B07Q9PNNB5</x:v>
      </x:c>
      <x:c r="F38" s="75" t="n">
        <x:v>4</x:v>
      </x:c>
      <x:c r="G38" t="str">
        <x:v>mixed</x:v>
      </x:c>
      <x:c r="H38" t="str">
        <x:v>3-4 prior purchases</x:v>
      </x:c>
      <x:c r="I38" s="17" t="str">
        <x:v>style | material | fit | comfort</x:v>
      </x:c>
      <x:c r="J38" s="17" t="n">
        <x:v>4</x:v>
      </x:c>
      <x:c r="K38" s="17" t="str">
        <x:v>DUOYANGJIASHA Loafers for Women Casual Slip on Dress Loafers Womens Comfortable Leather Driving Shoes Outdoor Walking Flats Shoes</x:v>
      </x:c>
      <x:c r="L38" s="17" t="str">
        <x:v>Shoes Loafers &amp; Slip-Ons</x:v>
      </x:c>
      <x:c r="M38" s="17" t="str">
        <x:v>I'm looking for Shoes Loafers &amp; Slip-Ons. Leather Loafers Women:can be bend and curled in 360°,soft and comfortable</x:v>
      </x:c>
      <x:c r="N38" s="17" t="n">
        <x:v>4</x:v>
      </x:c>
      <x:c r="O38" s="17" t="str">
        <x:v>Leather Loafers Women:can be bend and curled in 360°,soft and comfortable -&gt; leather</x:v>
      </x:c>
    </x:row>
    <x:row r="39">
      <x:c r="A39" t="str">
        <x:v>public_0035</x:v>
      </x:c>
      <x:c r="B39" t="str">
        <x:v>boundary</x:v>
      </x:c>
      <x:c r="C39" t="str">
        <x:v>medium</x:v>
      </x:c>
      <x:c r="D39" t="str">
        <x:v>clothing</x:v>
      </x:c>
      <x:c r="E39" t="str">
        <x:v>B0BN6CCHB7</x:v>
      </x:c>
      <x:c r="F39" s="75" t="n">
        <x:v>5</x:v>
      </x:c>
      <x:c r="G39" t="str">
        <x:v>usually positive</x:v>
      </x:c>
      <x:c r="H39" t="str">
        <x:v>3-4 prior purchases</x:v>
      </x:c>
      <x:c r="I39" s="17" t="str">
        <x:v>material | performance | durability</x:v>
      </x:c>
      <x:c r="J39" s="17" t="n">
        <x:v>3</x:v>
      </x:c>
      <x:c r="K39" s="17" t="str">
        <x:v>Skechers Men's Go Max-Athletic Air Mesh Slip on Walking Shoe Sneaker</x:v>
      </x:c>
      <x:c r="L39" s="17" t="str">
        <x:v>Athletic Walking</x:v>
      </x:c>
      <x:c r="M39" s="17" t="str">
        <x:v>I'm looking for Athletic Walking, but I'm still exploring.</x:v>
      </x:c>
      <x:c r="N39" s="17" t="str"/>
      <x:c r="O39" s="17" t="str"/>
    </x:row>
    <x:row r="40">
      <x:c r="A40" t="str">
        <x:v>public_0036</x:v>
      </x:c>
      <x:c r="B40" t="str">
        <x:v>browsing</x:v>
      </x:c>
      <x:c r="C40" t="str">
        <x:v>medium</x:v>
      </x:c>
      <x:c r="D40" t="str">
        <x:v>clothing</x:v>
      </x:c>
      <x:c r="E40" t="str">
        <x:v>B08BWR1T58</x:v>
      </x:c>
      <x:c r="F40" s="75" t="n">
        <x:v>5</x:v>
      </x:c>
      <x:c r="G40" t="str">
        <x:v>usually positive</x:v>
      </x:c>
      <x:c r="H40" t="str">
        <x:v>3-4 prior purchases</x:v>
      </x:c>
      <x:c r="I40" s="17" t="str">
        <x:v>material | fit</x:v>
      </x:c>
      <x:c r="J40" s="17" t="n">
        <x:v>2</x:v>
      </x:c>
      <x:c r="K40" s="17" t="str">
        <x:v>47 Pairs Fashion Earrings for Women Girls, Boho Statement Tassel Rattan Leather Earrings Butterfly Acrylic Hoop Stud Drop Dangle Earrings Set, Hypoallergenic for Sensitive Ears</x:v>
      </x:c>
      <x:c r="L40" s="17" t="str">
        <x:v>Earrings Drop &amp; Dangle</x:v>
      </x:c>
      <x:c r="M40" s="17" t="str">
        <x:v>I'm looking for Earrings Drop &amp; Dangle, but I'm still exploring.</x:v>
      </x:c>
      <x:c r="N40" s="17" t="str"/>
      <x:c r="O40" s="17" t="str"/>
    </x:row>
    <x:row r="41">
      <x:c r="A41" t="str">
        <x:v>public_0037</x:v>
      </x:c>
      <x:c r="B41" t="str">
        <x:v>browsing</x:v>
      </x:c>
      <x:c r="C41" t="str">
        <x:v>medium</x:v>
      </x:c>
      <x:c r="D41" t="str">
        <x:v>clothing</x:v>
      </x:c>
      <x:c r="E41" t="str">
        <x:v>B08KKBBMMD</x:v>
      </x:c>
      <x:c r="F41" s="75" t="n">
        <x:v>1</x:v>
      </x:c>
      <x:c r="G41" t="str">
        <x:v>critical</x:v>
      </x:c>
      <x:c r="H41" t="str">
        <x:v>3-4 prior purchases</x:v>
      </x:c>
      <x:c r="I41" s="17" t="str">
        <x:v>material | fit</x:v>
      </x:c>
      <x:c r="J41" s="17" t="n">
        <x:v>2</x:v>
      </x:c>
      <x:c r="K41" s="17" t="str">
        <x:v>The Children's Place Boys' Pull on Cargo Pants</x:v>
      </x:c>
      <x:c r="L41" s="17" t="str">
        <x:v>Boys Pants</x:v>
      </x:c>
      <x:c r="M41" s="17" t="str">
        <x:v>I'm looking for Boys Pants, but I'm still exploring.</x:v>
      </x:c>
      <x:c r="N41" s="17" t="str"/>
      <x:c r="O41" s="17" t="str"/>
    </x:row>
    <x:row r="42">
      <x:c r="A42" t="str">
        <x:v>public_0038</x:v>
      </x:c>
      <x:c r="B42" t="str">
        <x:v>intent_override</x:v>
      </x:c>
      <x:c r="C42" t="str">
        <x:v>hard</x:v>
      </x:c>
      <x:c r="D42" t="str">
        <x:v>clothing</x:v>
      </x:c>
      <x:c r="E42" t="str">
        <x:v>B07B5RGY2N</x:v>
      </x:c>
      <x:c r="F42" s="75" t="n">
        <x:v>5</x:v>
      </x:c>
      <x:c r="G42" t="str">
        <x:v>usually positive</x:v>
      </x:c>
      <x:c r="H42" t="str">
        <x:v>3-4 prior purchases</x:v>
      </x:c>
      <x:c r="I42" s="17" t="str">
        <x:v>style | fit | material | comfort</x:v>
      </x:c>
      <x:c r="J42" s="17" t="n">
        <x:v>4</x:v>
      </x:c>
      <x:c r="K42" s="17" t="str">
        <x:v>Blowfish Malibu Women's Fruit Sneaker</x:v>
      </x:c>
      <x:c r="L42" s="17" t="str">
        <x:v>Shoes Fashion Sneakers</x:v>
      </x:c>
      <x:c r="M42" s="17" t="str">
        <x:v>I'm looking for Shoes Fashion Sneakers. Lace Slip On Sneaker</x:v>
      </x:c>
      <x:c r="N42" s="17" t="n">
        <x:v>4</x:v>
      </x:c>
      <x:c r="O42" s="17" t="str">
        <x:v>Lace Slip On Sneaker -&gt; Textile</x:v>
      </x:c>
    </x:row>
    <x:row r="43">
      <x:c r="A43" t="str">
        <x:v>public_0039</x:v>
      </x:c>
      <x:c r="B43" t="str">
        <x:v>browsing</x:v>
      </x:c>
      <x:c r="C43" t="str">
        <x:v>medium</x:v>
      </x:c>
      <x:c r="D43" t="str">
        <x:v>clothing</x:v>
      </x:c>
      <x:c r="E43" t="str">
        <x:v>B07TZCJW9X</x:v>
      </x:c>
      <x:c r="F43" s="75" t="n">
        <x:v>5</x:v>
      </x:c>
      <x:c r="G43" t="str">
        <x:v>usually positive</x:v>
      </x:c>
      <x:c r="H43" t="str">
        <x:v>3-4 prior purchases</x:v>
      </x:c>
      <x:c r="I43" s="17" t="str">
        <x:v>comfort | performance | durability | style</x:v>
      </x:c>
      <x:c r="J43" s="17" t="n">
        <x:v>4</x:v>
      </x:c>
      <x:c r="K43" s="17" t="str">
        <x:v>Women's Pro Series Cycling Short Sleeve Jersey, Cargo Bib Shorts, or Kit Bundle</x:v>
      </x:c>
      <x:c r="L43" s="17" t="str">
        <x:v>Women Jerseys</x:v>
      </x:c>
      <x:c r="M43" s="17" t="str">
        <x:v>I'm looking for Women Jerseys, but I'm still exploring.</x:v>
      </x:c>
      <x:c r="N43" s="17" t="str"/>
      <x:c r="O43" s="17" t="str"/>
    </x:row>
    <x:row r="44">
      <x:c r="A44" t="str">
        <x:v>public_0040</x:v>
      </x:c>
      <x:c r="B44" t="str">
        <x:v>browsing</x:v>
      </x:c>
      <x:c r="C44" t="str">
        <x:v>medium</x:v>
      </x:c>
      <x:c r="D44" t="str">
        <x:v>clothing</x:v>
      </x:c>
      <x:c r="E44" t="str">
        <x:v>B08ZJWTCDR</x:v>
      </x:c>
      <x:c r="F44" s="75" t="n">
        <x:v>4</x:v>
      </x:c>
      <x:c r="G44" t="str">
        <x:v>mixed</x:v>
      </x:c>
      <x:c r="H44" t="str">
        <x:v>3-4 prior purchases</x:v>
      </x:c>
      <x:c r="I44" s="17" t="str">
        <x:v>material | comfort | fit | style</x:v>
      </x:c>
      <x:c r="J44" s="17" t="n">
        <x:v>4</x:v>
      </x:c>
      <x:c r="K44" s="17" t="str">
        <x:v>Champion Men's Joggers, Everyday Joggers, Lightweight, Comfortable Joggers for Men, 31"</x:v>
      </x:c>
      <x:c r="L44" s="17" t="str">
        <x:v>Active Pants Sweatpants</x:v>
      </x:c>
      <x:c r="M44" s="17" t="str">
        <x:v>I'm looking for Active Pants Sweatpants, but I'm still exploring.</x:v>
      </x:c>
      <x:c r="N44" s="17" t="str"/>
      <x:c r="O44" s="17" t="str"/>
    </x:row>
    <x:row r="45">
      <x:c r="A45" t="str">
        <x:v>public_0041</x:v>
      </x:c>
      <x:c r="B45" t="str">
        <x:v>boundary</x:v>
      </x:c>
      <x:c r="C45" t="str">
        <x:v>medium</x:v>
      </x:c>
      <x:c r="D45" t="str">
        <x:v>clothing</x:v>
      </x:c>
      <x:c r="E45" t="str">
        <x:v>B09MSY8926</x:v>
      </x:c>
      <x:c r="F45" s="75" t="n">
        <x:v>5</x:v>
      </x:c>
      <x:c r="G45" t="str">
        <x:v>usually positive</x:v>
      </x:c>
      <x:c r="H45" t="str">
        <x:v>3-4 prior purchases</x:v>
      </x:c>
      <x:c r="I45" s="17" t="str">
        <x:v>fit | material | comfort | style</x:v>
      </x:c>
      <x:c r="J45" s="17" t="n">
        <x:v>4</x:v>
      </x:c>
      <x:c r="K45" s="17" t="str">
        <x:v>LETDIOSTO Women's Plus Size Tops Casual Blouse Short Sleeve Lace Tunic Tops Fit Flare, M-4XL</x:v>
      </x:c>
      <x:c r="L45" s="17" t="str">
        <x:v>Tees &amp; Blouses Tunics</x:v>
      </x:c>
      <x:c r="M45" s="17" t="str">
        <x:v>I'm looking for Tees &amp; Blouses Tunics, but I'm still exploring.</x:v>
      </x:c>
      <x:c r="N45" s="17" t="str"/>
      <x:c r="O45" s="17" t="str"/>
    </x:row>
    <x:row r="46">
      <x:c r="A46" t="str">
        <x:v>public_0042</x:v>
      </x:c>
      <x:c r="B46" t="str">
        <x:v>buying</x:v>
      </x:c>
      <x:c r="C46" t="str">
        <x:v>easy</x:v>
      </x:c>
      <x:c r="D46" t="str">
        <x:v>clothing</x:v>
      </x:c>
      <x:c r="E46" t="str">
        <x:v>B01LWOGORL</x:v>
      </x:c>
      <x:c r="F46" s="75" t="n">
        <x:v>5</x:v>
      </x:c>
      <x:c r="G46" t="str">
        <x:v>usually positive</x:v>
      </x:c>
      <x:c r="H46" t="str">
        <x:v>3-4 prior purchases</x:v>
      </x:c>
      <x:c r="I46" s="17" t="str">
        <x:v>fit | material | performance | style</x:v>
      </x:c>
      <x:c r="J46" s="17" t="n">
        <x:v>4</x:v>
      </x:c>
      <x:c r="K46" s="17" t="str">
        <x:v>Timex Men's Classic Digital Watch</x:v>
      </x:c>
      <x:c r="L46" s="17" t="str">
        <x:v>Watches Wrist Watches</x:v>
      </x:c>
      <x:c r="M46" s="17" t="str">
        <x:v>I'm looking for Watches Wrist Watches. A key requirement is: Imported.</x:v>
      </x:c>
      <x:c r="N46" s="17" t="str"/>
      <x:c r="O46" s="17" t="str"/>
    </x:row>
    <x:row r="47">
      <x:c r="A47" t="str">
        <x:v>public_0043</x:v>
      </x:c>
      <x:c r="B47" t="str">
        <x:v>browsing</x:v>
      </x:c>
      <x:c r="C47" t="str">
        <x:v>medium</x:v>
      </x:c>
      <x:c r="D47" t="str">
        <x:v>clothing</x:v>
      </x:c>
      <x:c r="E47" t="str">
        <x:v>B0C1KNGLPX</x:v>
      </x:c>
      <x:c r="F47" s="75" t="n">
        <x:v>5</x:v>
      </x:c>
      <x:c r="G47" t="str">
        <x:v>usually positive</x:v>
      </x:c>
      <x:c r="H47" t="str">
        <x:v>3-4 prior purchases</x:v>
      </x:c>
      <x:c r="I47" s="17" t="str">
        <x:v>style | fit | material | comfort</x:v>
      </x:c>
      <x:c r="J47" s="17" t="n">
        <x:v>4</x:v>
      </x:c>
      <x:c r="K47" s="17" t="str">
        <x:v>Levi's Women's Classic Bootcut Jeans</x:v>
      </x:c>
      <x:c r="L47" s="17" t="str">
        <x:v>Women Jeans</x:v>
      </x:c>
      <x:c r="M47" s="17" t="str">
        <x:v>I'm looking for Women Jeans, but I'm still exploring.</x:v>
      </x:c>
      <x:c r="N47" s="17" t="str"/>
      <x:c r="O47" s="17" t="str"/>
    </x:row>
    <x:row r="48">
      <x:c r="A48" t="str">
        <x:v>public_0044</x:v>
      </x:c>
      <x:c r="B48" t="str">
        <x:v>buying</x:v>
      </x:c>
      <x:c r="C48" t="str">
        <x:v>easy</x:v>
      </x:c>
      <x:c r="D48" t="str">
        <x:v>clothing</x:v>
      </x:c>
      <x:c r="E48" t="str">
        <x:v>B09BQ4G5BD</x:v>
      </x:c>
      <x:c r="F48" s="75" t="n">
        <x:v>5</x:v>
      </x:c>
      <x:c r="G48" t="str">
        <x:v>usually positive</x:v>
      </x:c>
      <x:c r="H48" t="str">
        <x:v>3-4 prior purchases</x:v>
      </x:c>
      <x:c r="I48" s="17" t="str">
        <x:v>style | comfort | fit</x:v>
      </x:c>
      <x:c r="J48" s="17" t="n">
        <x:v>3</x:v>
      </x:c>
      <x:c r="K48" s="17" t="str">
        <x:v>K898 Men's Square Leg Swimming Jammer Shorts UPF50+,Men Swimsuit Swim Jammers Fabric Shape Retention</x:v>
      </x:c>
      <x:c r="L48" s="17" t="str">
        <x:v>Men Jammers</x:v>
      </x:c>
      <x:c r="M48" s="17" t="str">
        <x:v>I'm looking for Men Jammers. A key requirement is: fabric.</x:v>
      </x:c>
      <x:c r="N48" s="17" t="str"/>
      <x:c r="O48" s="17" t="str"/>
    </x:row>
    <x:row r="49">
      <x:c r="A49" t="str">
        <x:v>public_0045</x:v>
      </x:c>
      <x:c r="B49" t="str">
        <x:v>buying</x:v>
      </x:c>
      <x:c r="C49" t="str">
        <x:v>easy</x:v>
      </x:c>
      <x:c r="D49" t="str">
        <x:v>clothing</x:v>
      </x:c>
      <x:c r="E49" t="str">
        <x:v>B07Z8NTWVV</x:v>
      </x:c>
      <x:c r="F49" s="75" t="n">
        <x:v>1</x:v>
      </x:c>
      <x:c r="G49" t="str">
        <x:v>critical</x:v>
      </x:c>
      <x:c r="H49" t="str">
        <x:v>3-4 prior purchases</x:v>
      </x:c>
      <x:c r="I49" s="17" t="str">
        <x:v>material | fit</x:v>
      </x:c>
      <x:c r="J49" s="17" t="n">
        <x:v>2</x:v>
      </x:c>
      <x:c r="K49" s="17" t="str">
        <x:v>HOCOSIT Women's Floral Print Short Ruffle Sleeve Pleated Front V Neck Button Tunic Tops</x:v>
      </x:c>
      <x:c r="L49" s="17" t="str">
        <x:v>Tees &amp; Blouses Tunics</x:v>
      </x:c>
      <x:c r="M49" s="17" t="str">
        <x:v>I'm looking for Tees &amp; Blouses Tunics. A key requirement is: polyester.</x:v>
      </x:c>
      <x:c r="N49" s="17" t="str"/>
      <x:c r="O49" s="17" t="str"/>
    </x:row>
    <x:row r="50">
      <x:c r="A50" t="str">
        <x:v>public_0046</x:v>
      </x:c>
      <x:c r="B50" t="str">
        <x:v>intent_override</x:v>
      </x:c>
      <x:c r="C50" t="str">
        <x:v>hard</x:v>
      </x:c>
      <x:c r="D50" t="str">
        <x:v>clothing</x:v>
      </x:c>
      <x:c r="E50" t="str">
        <x:v>B0B42PVX1F</x:v>
      </x:c>
      <x:c r="F50" s="75" t="n">
        <x:v>3</x:v>
      </x:c>
      <x:c r="G50" t="str">
        <x:v>critical</x:v>
      </x:c>
      <x:c r="H50" t="str">
        <x:v>3-4 prior purchases</x:v>
      </x:c>
      <x:c r="I50" s="17" t="str">
        <x:v>fit | comfort | material | warmth</x:v>
      </x:c>
      <x:c r="J50" s="17" t="n">
        <x:v>4</x:v>
      </x:c>
      <x:c r="K50" s="17" t="str">
        <x:v>Wool Plus Size Thigh High Socks For Thick Thighs- Extra Long Womens Warm Cable Knit Over Knee Stockings Leg Warmers</x:v>
      </x:c>
      <x:c r="L50" s="17" t="str">
        <x:v>Socks &amp; Hosiery Leg Warmers</x:v>
      </x:c>
      <x:c r="M50" s="17" t="str">
        <x:v>I'm looking for Socks &amp; Hosiery Leg Warmers. No Closure closure</x:v>
      </x:c>
      <x:c r="N50" s="17" t="n">
        <x:v>4</x:v>
      </x:c>
      <x:c r="O50" s="17" t="str">
        <x:v>No Closure closure -&gt; wool</x:v>
      </x:c>
    </x:row>
    <x:row r="51">
      <x:c r="A51" t="str">
        <x:v>public_0047</x:v>
      </x:c>
      <x:c r="B51" t="str">
        <x:v>browsing</x:v>
      </x:c>
      <x:c r="C51" t="str">
        <x:v>medium</x:v>
      </x:c>
      <x:c r="D51" t="str">
        <x:v>clothing</x:v>
      </x:c>
      <x:c r="E51" t="str">
        <x:v>B0BYZX7B1L</x:v>
      </x:c>
      <x:c r="F51" s="75" t="n">
        <x:v>5</x:v>
      </x:c>
      <x:c r="G51" t="str">
        <x:v>usually positive</x:v>
      </x:c>
      <x:c r="H51" t="str">
        <x:v>3-4 prior purchases</x:v>
      </x:c>
      <x:c r="I51" s="17" t="str">
        <x:v>fit | comfort | material | performance</x:v>
      </x:c>
      <x:c r="J51" s="17" t="n">
        <x:v>4</x:v>
      </x:c>
      <x:c r="K51" s="17" t="str">
        <x:v>Lunarable Multicolor Unisex Bandana</x:v>
      </x:c>
      <x:c r="L51" s="17" t="str">
        <x:v>Accessories Bandanas</x:v>
      </x:c>
      <x:c r="M51" s="17" t="str">
        <x:v>I'm looking for Accessories Bandanas, but I'm still exploring.</x:v>
      </x:c>
      <x:c r="N51" s="17" t="str"/>
      <x:c r="O51" s="17" t="str"/>
    </x:row>
    <x:row r="52">
      <x:c r="A52" t="str">
        <x:v>public_0048</x:v>
      </x:c>
      <x:c r="B52" t="str">
        <x:v>browsing</x:v>
      </x:c>
      <x:c r="C52" t="str">
        <x:v>medium</x:v>
      </x:c>
      <x:c r="D52" t="str">
        <x:v>clothing</x:v>
      </x:c>
      <x:c r="E52" t="str">
        <x:v>B00VQBMJUQ</x:v>
      </x:c>
      <x:c r="F52" s="75" t="n">
        <x:v>5</x:v>
      </x:c>
      <x:c r="G52" t="str">
        <x:v>usually positive</x:v>
      </x:c>
      <x:c r="H52" t="str">
        <x:v>3-4 prior purchases</x:v>
      </x:c>
      <x:c r="I52" s="17" t="str">
        <x:v>fit | comfort | durability | style</x:v>
      </x:c>
      <x:c r="J52" s="17" t="n">
        <x:v>4</x:v>
      </x:c>
      <x:c r="K52" s="17" t="str">
        <x:v>Vizari Infinity FG Soccer Cleat (Toddler/Little Kid/Big Kid)</x:v>
      </x:c>
      <x:c r="L52" s="17" t="str">
        <x:v>Athletic Soccer</x:v>
      </x:c>
      <x:c r="M52" s="17" t="str">
        <x:v>I'm looking for Athletic Soccer, but I'm still exploring.</x:v>
      </x:c>
      <x:c r="N52" s="17" t="str"/>
      <x:c r="O52" s="17" t="str"/>
    </x:row>
    <x:row r="53">
      <x:c r="A53" t="str">
        <x:v>public_0049</x:v>
      </x:c>
      <x:c r="B53" t="str">
        <x:v>browsing</x:v>
      </x:c>
      <x:c r="C53" t="str">
        <x:v>medium</x:v>
      </x:c>
      <x:c r="D53" t="str">
        <x:v>clothing</x:v>
      </x:c>
      <x:c r="E53" t="str">
        <x:v>B08G4WVYLJ</x:v>
      </x:c>
      <x:c r="F53" s="75" t="n">
        <x:v>5</x:v>
      </x:c>
      <x:c r="G53" t="str">
        <x:v>usually positive</x:v>
      </x:c>
      <x:c r="H53" t="str">
        <x:v>3-4 prior purchases</x:v>
      </x:c>
      <x:c r="I53" s="17" t="str">
        <x:v>fit | material | style | comfort</x:v>
      </x:c>
      <x:c r="J53" s="17" t="n">
        <x:v>4</x:v>
      </x:c>
      <x:c r="K53" s="17" t="str">
        <x:v>Dacomfy Mens Slip On Shoes, Men's Loafers &amp; Slip-ons Leather Walking Shoes for Men, Hand Stitching Comfortable Breathable Brown Black Khaki</x:v>
      </x:c>
      <x:c r="L53" s="17" t="str">
        <x:v>Shoes Loafers &amp; Slip-Ons</x:v>
      </x:c>
      <x:c r="M53" s="17" t="str">
        <x:v>I'm looking for Shoes Loafers &amp; Slip-Ons, but I'm still exploring.</x:v>
      </x:c>
      <x:c r="N53" s="17" t="str"/>
      <x:c r="O53" s="17" t="str"/>
    </x:row>
    <x:row r="54">
      <x:c r="A54" t="str">
        <x:v>public_0050</x:v>
      </x:c>
      <x:c r="B54" t="str">
        <x:v>boundary</x:v>
      </x:c>
      <x:c r="C54" t="str">
        <x:v>medium</x:v>
      </x:c>
      <x:c r="D54" t="str">
        <x:v>clothing</x:v>
      </x:c>
      <x:c r="E54" t="str">
        <x:v>B07BYR6T7W</x:v>
      </x:c>
      <x:c r="F54" s="75" t="n">
        <x:v>5</x:v>
      </x:c>
      <x:c r="G54" t="str">
        <x:v>usually positive</x:v>
      </x:c>
      <x:c r="H54" t="str">
        <x:v>3-4 prior purchases</x:v>
      </x:c>
      <x:c r="I54" s="17" t="str">
        <x:v>comfort | fit | durability | style</x:v>
      </x:c>
      <x:c r="J54" s="17" t="n">
        <x:v>4</x:v>
      </x:c>
      <x:c r="K54" s="17" t="str">
        <x:v>EverBoots Mens Work Boots for Men, Leather EverFit Lightweight Comfort Boot, Anti Slip &amp; Shock Absorption, Soft Oil Grain, Goodyear Welt, Industrial Construction, Roofing, Electrician Moc Toe Wedge</x:v>
      </x:c>
      <x:c r="L54" s="17" t="str">
        <x:v>Work &amp; Utility Industrial &amp; Construction Boots</x:v>
      </x:c>
      <x:c r="M54" s="17" t="str">
        <x:v>I'm looking for Work &amp; Utility Industrial &amp; Construction Boots, but I'm still exploring.</x:v>
      </x:c>
      <x:c r="N54" s="17" t="str"/>
      <x:c r="O54" s="17" t="str"/>
    </x:row>
    <x:row r="55">
      <x:c r="A55" t="str">
        <x:v>public_0051</x:v>
      </x:c>
      <x:c r="B55" t="str">
        <x:v>browsing</x:v>
      </x:c>
      <x:c r="C55" t="str">
        <x:v>medium</x:v>
      </x:c>
      <x:c r="D55" t="str">
        <x:v>clothing</x:v>
      </x:c>
      <x:c r="E55" t="str">
        <x:v>B07N1624C5</x:v>
      </x:c>
      <x:c r="F55" s="75" t="n">
        <x:v>5</x:v>
      </x:c>
      <x:c r="G55" t="str">
        <x:v>usually positive</x:v>
      </x:c>
      <x:c r="H55" t="str">
        <x:v>3-4 prior purchases</x:v>
      </x:c>
      <x:c r="I55" s="17" t="str">
        <x:v>fit | comfort | material | durability</x:v>
      </x:c>
      <x:c r="J55" s="17" t="n">
        <x:v>4</x:v>
      </x:c>
      <x:c r="K55" s="17" t="str">
        <x:v>Skechers Women's Go Walk 5-True Sneaker</x:v>
      </x:c>
      <x:c r="L55" s="17" t="str">
        <x:v>Athletic Walking</x:v>
      </x:c>
      <x:c r="M55" s="17" t="str">
        <x:v>I'm looking for Athletic Walking, but I'm still exploring.</x:v>
      </x:c>
      <x:c r="N55" s="17" t="str"/>
      <x:c r="O55" s="17" t="str"/>
    </x:row>
    <x:row r="56">
      <x:c r="A56" t="str">
        <x:v>public_0052</x:v>
      </x:c>
      <x:c r="B56" t="str">
        <x:v>intent_override</x:v>
      </x:c>
      <x:c r="C56" t="str">
        <x:v>hard</x:v>
      </x:c>
      <x:c r="D56" t="str">
        <x:v>clothing</x:v>
      </x:c>
      <x:c r="E56" t="str">
        <x:v>B09G2ZNZY4</x:v>
      </x:c>
      <x:c r="F56" s="75" t="n">
        <x:v>5</x:v>
      </x:c>
      <x:c r="G56" t="str">
        <x:v>usually positive</x:v>
      </x:c>
      <x:c r="H56" t="str">
        <x:v>3-4 prior purchases</x:v>
      </x:c>
      <x:c r="I56" s="17" t="str">
        <x:v>comfort | style | material</x:v>
      </x:c>
      <x:c r="J56" s="17" t="n">
        <x:v>3</x:v>
      </x:c>
      <x:c r="K56" s="17" t="str">
        <x:v>Grlasen Women's Zipper Summer Pleated Button Short Sleeve T-Shirt Summer V-Neck Solid Color Casual top</x:v>
      </x:c>
      <x:c r="L56" s="17" t="str">
        <x:v>Tees &amp; Blouses Tunics</x:v>
      </x:c>
      <x:c r="M56" s="17" t="str">
        <x:v>I'm looking for Tees &amp; Blouses Tunics. Hand Wash Only</x:v>
      </x:c>
      <x:c r="N56" s="17" t="n">
        <x:v>3</x:v>
      </x:c>
      <x:c r="O56" s="17" t="str">
        <x:v>Hand Wash Only -&gt; polyester</x:v>
      </x:c>
    </x:row>
    <x:row r="57">
      <x:c r="A57" t="str">
        <x:v>public_0053</x:v>
      </x:c>
      <x:c r="B57" t="str">
        <x:v>buying</x:v>
      </x:c>
      <x:c r="C57" t="str">
        <x:v>easy</x:v>
      </x:c>
      <x:c r="D57" t="str">
        <x:v>clothing</x:v>
      </x:c>
      <x:c r="E57" t="str">
        <x:v>B07TZK3GZK</x:v>
      </x:c>
      <x:c r="F57" s="75" t="n">
        <x:v>5</x:v>
      </x:c>
      <x:c r="G57" t="str">
        <x:v>usually positive</x:v>
      </x:c>
      <x:c r="H57" t="str">
        <x:v>3-4 prior purchases</x:v>
      </x:c>
      <x:c r="I57" s="17" t="str">
        <x:v>material | fit</x:v>
      </x:c>
      <x:c r="J57" s="17" t="n">
        <x:v>2</x:v>
      </x:c>
      <x:c r="K57" s="17" t="str">
        <x:v>Passport Holder Cover Travel RFID Blocking Passport Cover Rose Gold Cute Flowers Passport Wallet with Elastic Band for Women</x:v>
      </x:c>
      <x:c r="L57" s="17" t="str">
        <x:v>Travel Accessories Passport Covers</x:v>
      </x:c>
      <x:c r="M57" s="17" t="str">
        <x:v>I'm looking for Travel Accessories Passport Covers. A key requirement is: leather.</x:v>
      </x:c>
      <x:c r="N57" s="17" t="str"/>
      <x:c r="O57" s="17" t="str"/>
    </x:row>
    <x:row r="58">
      <x:c r="A58" t="str">
        <x:v>public_0054</x:v>
      </x:c>
      <x:c r="B58" t="str">
        <x:v>buying</x:v>
      </x:c>
      <x:c r="C58" t="str">
        <x:v>easy</x:v>
      </x:c>
      <x:c r="D58" t="str">
        <x:v>clothing</x:v>
      </x:c>
      <x:c r="E58" t="str">
        <x:v>B08PP1ZJQ5</x:v>
      </x:c>
      <x:c r="F58" s="75" t="n">
        <x:v>5</x:v>
      </x:c>
      <x:c r="G58" t="str">
        <x:v>usually positive</x:v>
      </x:c>
      <x:c r="H58" t="str">
        <x:v>3-4 prior purchases</x:v>
      </x:c>
      <x:c r="I58" s="17" t="str">
        <x:v>weather | comfort | durability | style</x:v>
      </x:c>
      <x:c r="J58" s="17" t="n">
        <x:v>4</x:v>
      </x:c>
      <x:c r="K58" s="17" t="str">
        <x:v>Verdusa Women's Basic Casual Long Sleeve Round Neck Crop Top Pullover Sweatshirt</x:v>
      </x:c>
      <x:c r="L58" s="17" t="str">
        <x:v>Women Fashion Hoodies &amp; Sweatshirts</x:v>
      </x:c>
      <x:c r="M58" s="17" t="str">
        <x:v>I'm looking for Women Fashion Hoodies &amp; Sweatshirts. A key requirement is: fabric.</x:v>
      </x:c>
      <x:c r="N58" s="17" t="str"/>
      <x:c r="O58" s="17" t="str"/>
    </x:row>
    <x:row r="59">
      <x:c r="A59" t="str">
        <x:v>public_0055</x:v>
      </x:c>
      <x:c r="B59" t="str">
        <x:v>browsing</x:v>
      </x:c>
      <x:c r="C59" t="str">
        <x:v>medium</x:v>
      </x:c>
      <x:c r="D59" t="str">
        <x:v>clothing</x:v>
      </x:c>
      <x:c r="E59" t="str">
        <x:v>B0C1TDJ9HZ</x:v>
      </x:c>
      <x:c r="F59" s="75" t="n">
        <x:v>5</x:v>
      </x:c>
      <x:c r="G59" t="str">
        <x:v>usually positive</x:v>
      </x:c>
      <x:c r="H59" t="str">
        <x:v>3-4 prior purchases</x:v>
      </x:c>
      <x:c r="I59" s="17" t="str">
        <x:v>fit | comfort | material | style</x:v>
      </x:c>
      <x:c r="J59" s="17" t="n">
        <x:v>4</x:v>
      </x:c>
      <x:c r="K59" s="17" t="str">
        <x:v>Crocs Unisex-Adult Baya Clogs, Neo Mint, 7 Women/5 Men</x:v>
      </x:c>
      <x:c r="L59" s="17" t="str">
        <x:v>Shoes Mules &amp; Clogs</x:v>
      </x:c>
      <x:c r="M59" s="17" t="str">
        <x:v>I'm looking for Shoes Mules &amp; Clogs, but I'm still exploring.</x:v>
      </x:c>
      <x:c r="N59" s="17" t="str"/>
      <x:c r="O59" s="17" t="str"/>
    </x:row>
    <x:row r="60">
      <x:c r="A60" t="str">
        <x:v>public_0056</x:v>
      </x:c>
      <x:c r="B60" t="str">
        <x:v>browsing</x:v>
      </x:c>
      <x:c r="C60" t="str">
        <x:v>medium</x:v>
      </x:c>
      <x:c r="D60" t="str">
        <x:v>clothing</x:v>
      </x:c>
      <x:c r="E60" t="str">
        <x:v>B0B2RF64YD</x:v>
      </x:c>
      <x:c r="F60" s="75" t="n">
        <x:v>1</x:v>
      </x:c>
      <x:c r="G60" t="str">
        <x:v>critical</x:v>
      </x:c>
      <x:c r="H60" t="str">
        <x:v>3-4 prior purchases</x:v>
      </x:c>
      <x:c r="I60" s="17" t="str">
        <x:v>fit | durability | style | material</x:v>
      </x:c>
      <x:c r="J60" s="17" t="n">
        <x:v>4</x:v>
      </x:c>
      <x:c r="K60" s="17" t="str">
        <x:v>Amazon Essentials Men's Short-Sleeve Crewneck T-Shirt, Pack of 2</x:v>
      </x:c>
      <x:c r="L60" s="17" t="str">
        <x:v>Shirts T-Shirts</x:v>
      </x:c>
      <x:c r="M60" s="17" t="str">
        <x:v>I'm looking for Shirts T-Shirts, but I'm still exploring.</x:v>
      </x:c>
      <x:c r="N60" s="17" t="str"/>
      <x:c r="O60" s="17" t="str"/>
    </x:row>
    <x:row r="61">
      <x:c r="A61" t="str">
        <x:v>public_0057</x:v>
      </x:c>
      <x:c r="B61" t="str">
        <x:v>browsing</x:v>
      </x:c>
      <x:c r="C61" t="str">
        <x:v>medium</x:v>
      </x:c>
      <x:c r="D61" t="str">
        <x:v>clothing</x:v>
      </x:c>
      <x:c r="E61" t="str">
        <x:v>B085RX192V</x:v>
      </x:c>
      <x:c r="F61" s="75" t="n">
        <x:v>5</x:v>
      </x:c>
      <x:c r="G61" t="str">
        <x:v>usually positive</x:v>
      </x:c>
      <x:c r="H61" t="str">
        <x:v>3-4 prior purchases</x:v>
      </x:c>
      <x:c r="I61" s="17" t="str">
        <x:v>general shopping</x:v>
      </x:c>
      <x:c r="J61" s="17" t="n">
        <x:v>1</x:v>
      </x:c>
      <x:c r="K61" s="17" t="str">
        <x:v>Crocs Women’s Freesail Clog</x:v>
      </x:c>
      <x:c r="L61" s="17" t="str">
        <x:v>Shoes Mules &amp; Clogs</x:v>
      </x:c>
      <x:c r="M61" s="17" t="str">
        <x:v>I'm looking for Shoes Mules &amp; Clogs, but I'm still exploring.</x:v>
      </x:c>
      <x:c r="N61" s="17" t="str"/>
      <x:c r="O61" s="17" t="str"/>
    </x:row>
    <x:row r="62">
      <x:c r="A62" t="str">
        <x:v>public_0058</x:v>
      </x:c>
      <x:c r="B62" t="str">
        <x:v>buying</x:v>
      </x:c>
      <x:c r="C62" t="str">
        <x:v>easy</x:v>
      </x:c>
      <x:c r="D62" t="str">
        <x:v>clothing</x:v>
      </x:c>
      <x:c r="E62" t="str">
        <x:v>B08L83YQTZ</x:v>
      </x:c>
      <x:c r="F62" s="75" t="n">
        <x:v>5</x:v>
      </x:c>
      <x:c r="G62" t="str">
        <x:v>usually positive</x:v>
      </x:c>
      <x:c r="H62" t="str">
        <x:v>3-4 prior purchases</x:v>
      </x:c>
      <x:c r="I62" s="17" t="str">
        <x:v>material | durability | fit | comfort</x:v>
      </x:c>
      <x:c r="J62" s="17" t="n">
        <x:v>4</x:v>
      </x:c>
      <x:c r="K62" s="17" t="str">
        <x:v>JTANIB Women Packable Rain Jacket Waterproof Lightweight Raincoat Hooded for Hiking Outdoor Travel</x:v>
      </x:c>
      <x:c r="L62" s="17" t="str">
        <x:v>Rain &amp; Anoraks Raincoats</x:v>
      </x:c>
      <x:c r="M62" s="17" t="str">
        <x:v>I'm looking for Rain &amp; Anoraks Raincoats. A key requirement is: polyester.</x:v>
      </x:c>
      <x:c r="N62" s="17" t="str"/>
      <x:c r="O62" s="17" t="str"/>
    </x:row>
    <x:row r="63">
      <x:c r="A63" t="str">
        <x:v>public_0059</x:v>
      </x:c>
      <x:c r="B63" t="str">
        <x:v>browsing</x:v>
      </x:c>
      <x:c r="C63" t="str">
        <x:v>medium</x:v>
      </x:c>
      <x:c r="D63" t="str">
        <x:v>clothing</x:v>
      </x:c>
      <x:c r="E63" t="str">
        <x:v>B01H6DGA16</x:v>
      </x:c>
      <x:c r="F63" s="75" t="n">
        <x:v>5</x:v>
      </x:c>
      <x:c r="G63" t="str">
        <x:v>usually positive</x:v>
      </x:c>
      <x:c r="H63" t="str">
        <x:v>3-4 prior purchases</x:v>
      </x:c>
      <x:c r="I63" s="17" t="str">
        <x:v>fit | style | material | comfort</x:v>
      </x:c>
      <x:c r="J63" s="17" t="n">
        <x:v>4</x:v>
      </x:c>
      <x:c r="K63" s="17" t="str">
        <x:v>Supplim Women's Body Shaper Waist Cincher Underbust Corset Bodysuit Shapewear</x:v>
      </x:c>
      <x:c r="L63" s="17" t="str">
        <x:v>Shapewear Bodysuits</x:v>
      </x:c>
      <x:c r="M63" s="17" t="str">
        <x:v>I'm looking for Shapewear Bodysuits, but I'm still exploring.</x:v>
      </x:c>
      <x:c r="N63" s="17" t="str"/>
      <x:c r="O63" s="17" t="str"/>
    </x:row>
    <x:row r="64">
      <x:c r="A64" t="str">
        <x:v>public_0060</x:v>
      </x:c>
      <x:c r="B64" t="str">
        <x:v>browsing</x:v>
      </x:c>
      <x:c r="C64" t="str">
        <x:v>medium</x:v>
      </x:c>
      <x:c r="D64" t="str">
        <x:v>clothing</x:v>
      </x:c>
      <x:c r="E64" t="str">
        <x:v>B08R61K9B9</x:v>
      </x:c>
      <x:c r="F64" s="75" t="n">
        <x:v>4</x:v>
      </x:c>
      <x:c r="G64" t="str">
        <x:v>mixed</x:v>
      </x:c>
      <x:c r="H64" t="str">
        <x:v>3-4 prior purchases</x:v>
      </x:c>
      <x:c r="I64" s="17" t="str">
        <x:v>material | fit | style | warmth</x:v>
      </x:c>
      <x:c r="J64" s="17" t="n">
        <x:v>4</x:v>
      </x:c>
      <x:c r="K64" s="17" t="str">
        <x:v>Fruit of the Loom mens Woven Sleep Pajama Pant</x:v>
      </x:c>
      <x:c r="L64" s="17" t="str">
        <x:v>Sleep &amp; Lounge Sleep Bottoms</x:v>
      </x:c>
      <x:c r="M64" s="17" t="str">
        <x:v>I'm looking for Sleep &amp; Lounge Sleep Bottoms, but I'm still exploring.</x:v>
      </x:c>
      <x:c r="N64" s="17" t="str"/>
      <x:c r="O64" s="17" t="str"/>
    </x:row>
    <x:row r="65">
      <x:c r="A65" t="str">
        <x:v>public_0061</x:v>
      </x:c>
      <x:c r="B65" t="str">
        <x:v>buying</x:v>
      </x:c>
      <x:c r="C65" t="str">
        <x:v>easy</x:v>
      </x:c>
      <x:c r="D65" t="str">
        <x:v>clothing</x:v>
      </x:c>
      <x:c r="E65" t="str">
        <x:v>B08HCP9YTV</x:v>
      </x:c>
      <x:c r="F65" s="75" t="n">
        <x:v>5</x:v>
      </x:c>
      <x:c r="G65" t="str">
        <x:v>usually positive</x:v>
      </x:c>
      <x:c r="H65" t="str">
        <x:v>3-4 prior purchases</x:v>
      </x:c>
      <x:c r="I65" s="17" t="str">
        <x:v>material | comfort</x:v>
      </x:c>
      <x:c r="J65" s="17" t="n">
        <x:v>2</x:v>
      </x:c>
      <x:c r="K65" s="17" t="str">
        <x:v>1pc Surgical Steel Piercing Ring for Nose Septum Cartilage Helix Tragus Conch Rook Daith Lobe 20g-18g-16g-14g-12g-10g 5mm-6mm-7mm-8mm-9mm-10mm-11mm-12mm-14mm-16mm Silver/Gold/Rose Gold/Black/Rainbow</x:v>
      </x:c>
      <x:c r="L65" s="17" t="str">
        <x:v>Piercing Jewelry Rings</x:v>
      </x:c>
      <x:c r="M65" s="17" t="str">
        <x:v>I'm looking for Piercing Jewelry Rings. A key requirement is: Snap closure.</x:v>
      </x:c>
      <x:c r="N65" s="17" t="str"/>
      <x:c r="O65" s="17" t="str"/>
    </x:row>
    <x:row r="66">
      <x:c r="A66" t="str">
        <x:v>public_0062</x:v>
      </x:c>
      <x:c r="B66" t="str">
        <x:v>browsing</x:v>
      </x:c>
      <x:c r="C66" t="str">
        <x:v>medium</x:v>
      </x:c>
      <x:c r="D66" t="str">
        <x:v>clothing</x:v>
      </x:c>
      <x:c r="E66" t="str">
        <x:v>B015K51VPM</x:v>
      </x:c>
      <x:c r="F66" s="75" t="n">
        <x:v>4</x:v>
      </x:c>
      <x:c r="G66" t="str">
        <x:v>mixed</x:v>
      </x:c>
      <x:c r="H66" t="str">
        <x:v>3-4 prior purchases</x:v>
      </x:c>
      <x:c r="I66" s="17" t="str">
        <x:v>style</x:v>
      </x:c>
      <x:c r="J66" s="17" t="n">
        <x:v>1</x:v>
      </x:c>
      <x:c r="K66" s="17" t="str">
        <x:v>chouyatou Women's Casual Stretch Waist Washed Denim A-line Maxi Skirt</x:v>
      </x:c>
      <x:c r="L66" s="17" t="str">
        <x:v>Skirts Casual</x:v>
      </x:c>
      <x:c r="M66" s="17" t="str">
        <x:v>I'm looking for Skirts Casual, but I'm still exploring.</x:v>
      </x:c>
      <x:c r="N66" s="17" t="str"/>
      <x:c r="O66" s="17" t="str"/>
    </x:row>
    <x:row r="67">
      <x:c r="A67" t="str">
        <x:v>public_0063</x:v>
      </x:c>
      <x:c r="B67" t="str">
        <x:v>browsing</x:v>
      </x:c>
      <x:c r="C67" t="str">
        <x:v>medium</x:v>
      </x:c>
      <x:c r="D67" t="str">
        <x:v>clothing</x:v>
      </x:c>
      <x:c r="E67" t="str">
        <x:v>B09MKL5TBK</x:v>
      </x:c>
      <x:c r="F67" s="75" t="n">
        <x:v>3</x:v>
      </x:c>
      <x:c r="G67" t="str">
        <x:v>critical</x:v>
      </x:c>
      <x:c r="H67" t="str">
        <x:v>3-4 prior purchases</x:v>
      </x:c>
      <x:c r="I67" s="17" t="str">
        <x:v>comfort | fit | style | durability</x:v>
      </x:c>
      <x:c r="J67" s="17" t="n">
        <x:v>4</x:v>
      </x:c>
      <x:c r="K67" s="17" t="str">
        <x:v>BALEAF Womens' 7" Long Running Athletic Shorts with Liner Workout Zipper Pocket</x:v>
      </x:c>
      <x:c r="L67" s="17" t="str">
        <x:v>Women Shorts</x:v>
      </x:c>
      <x:c r="M67" s="17" t="str">
        <x:v>I'm looking for Women Shorts, but I'm still exploring.</x:v>
      </x:c>
      <x:c r="N67" s="17" t="str"/>
      <x:c r="O67" s="17" t="str"/>
    </x:row>
    <x:row r="68">
      <x:c r="A68" t="str">
        <x:v>public_0064</x:v>
      </x:c>
      <x:c r="B68" t="str">
        <x:v>intent_override</x:v>
      </x:c>
      <x:c r="C68" t="str">
        <x:v>hard</x:v>
      </x:c>
      <x:c r="D68" t="str">
        <x:v>clothing</x:v>
      </x:c>
      <x:c r="E68" t="str">
        <x:v>B019DU687Q</x:v>
      </x:c>
      <x:c r="F68" s="75" t="n">
        <x:v>4</x:v>
      </x:c>
      <x:c r="G68" t="str">
        <x:v>mixed</x:v>
      </x:c>
      <x:c r="H68" t="str">
        <x:v>3-4 prior purchases</x:v>
      </x:c>
      <x:c r="I68" s="17" t="str">
        <x:v>comfort | performance | durability | style</x:v>
      </x:c>
      <x:c r="J68" s="17" t="n">
        <x:v>4</x:v>
      </x:c>
      <x:c r="K68" s="17" t="str">
        <x:v>Memorose Womens Sexy Long Sleeve Cut-Out Bandage Bodycon Clubwear Midi Dress</x:v>
      </x:c>
      <x:c r="L68" s="17" t="str">
        <x:v>Dresses Club &amp; Night Out</x:v>
      </x:c>
      <x:c r="M68" s="17" t="str">
        <x:v>I'm looking for Dresses Club &amp; Night Out. Hand Wash Only</x:v>
      </x:c>
      <x:c r="N68" s="17" t="n">
        <x:v>4</x:v>
      </x:c>
      <x:c r="O68" s="17" t="str">
        <x:v>Hand Wash Only -&gt; cotton</x:v>
      </x:c>
    </x:row>
    <x:row r="69">
      <x:c r="A69" t="str">
        <x:v>public_0065</x:v>
      </x:c>
      <x:c r="B69" t="str">
        <x:v>buying</x:v>
      </x:c>
      <x:c r="C69" t="str">
        <x:v>easy</x:v>
      </x:c>
      <x:c r="D69" t="str">
        <x:v>clothing</x:v>
      </x:c>
      <x:c r="E69" t="str">
        <x:v>B0BSQ9TCYC</x:v>
      </x:c>
      <x:c r="F69" s="75" t="n">
        <x:v>5</x:v>
      </x:c>
      <x:c r="G69" t="str">
        <x:v>usually positive</x:v>
      </x:c>
      <x:c r="H69" t="str">
        <x:v>3-4 prior purchases</x:v>
      </x:c>
      <x:c r="I69" s="17" t="str">
        <x:v>material | fit | comfort</x:v>
      </x:c>
      <x:c r="J69" s="17" t="n">
        <x:v>3</x:v>
      </x:c>
      <x:c r="K69" s="17" t="str">
        <x:v>Arctix Women's Essential Insulated Bib Overalls</x:v>
      </x:c>
      <x:c r="L69" s="17" t="str">
        <x:v>Bibs &amp; Pants Bibs</x:v>
      </x:c>
      <x:c r="M69" s="17" t="str">
        <x:v>I'm looking for Bibs &amp; Pants Bibs. A key requirement is: polyester.</x:v>
      </x:c>
      <x:c r="N69" s="17" t="str"/>
      <x:c r="O69" s="17" t="str"/>
    </x:row>
    <x:row r="70">
      <x:c r="A70" t="str">
        <x:v>public_0066</x:v>
      </x:c>
      <x:c r="B70" t="str">
        <x:v>buying</x:v>
      </x:c>
      <x:c r="C70" t="str">
        <x:v>easy</x:v>
      </x:c>
      <x:c r="D70" t="str">
        <x:v>clothing</x:v>
      </x:c>
      <x:c r="E70" t="str">
        <x:v>B0BFLFSB2Y</x:v>
      </x:c>
      <x:c r="F70" s="75" t="n">
        <x:v>2</x:v>
      </x:c>
      <x:c r="G70" t="str">
        <x:v>critical</x:v>
      </x:c>
      <x:c r="H70" t="str">
        <x:v>3-4 prior purchases</x:v>
      </x:c>
      <x:c r="I70" s="17" t="str">
        <x:v>fit | comfort | material | performance</x:v>
      </x:c>
      <x:c r="J70" s="17" t="n">
        <x:v>4</x:v>
      </x:c>
      <x:c r="K70" s="17" t="str">
        <x:v>GRAPENT Women's Plus Size Sequin 3/4 Sleeves Evening Gown Party Long Maxi Dress</x:v>
      </x:c>
      <x:c r="L70" s="17" t="str">
        <x:v>Dresses Formal</x:v>
      </x:c>
      <x:c r="M70" s="17" t="str">
        <x:v>I'm looking for Dresses Formal. A key requirement is: polyester.</x:v>
      </x:c>
      <x:c r="N70" s="17" t="str"/>
      <x:c r="O70" s="17" t="str"/>
    </x:row>
    <x:row r="71">
      <x:c r="A71" t="str">
        <x:v>public_0067</x:v>
      </x:c>
      <x:c r="B71" t="str">
        <x:v>buying</x:v>
      </x:c>
      <x:c r="C71" t="str">
        <x:v>easy</x:v>
      </x:c>
      <x:c r="D71" t="str">
        <x:v>clothing</x:v>
      </x:c>
      <x:c r="E71" t="str">
        <x:v>B09G9BXJZM</x:v>
      </x:c>
      <x:c r="F71" s="75" t="n">
        <x:v>5</x:v>
      </x:c>
      <x:c r="G71" t="str">
        <x:v>usually positive</x:v>
      </x:c>
      <x:c r="H71" t="str">
        <x:v>3-4 prior purchases</x:v>
      </x:c>
      <x:c r="I71" s="17" t="str">
        <x:v>comfort | style | material</x:v>
      </x:c>
      <x:c r="J71" s="17" t="n">
        <x:v>3</x:v>
      </x:c>
      <x:c r="K71" s="17" t="str">
        <x:v>TLZC Men's Lightweight Bomber Jacket Windbreaker Slim Fit Active Coat Outerwear</x:v>
      </x:c>
      <x:c r="L71" s="17" t="str">
        <x:v>Lightweight Jackets Windbreakers</x:v>
      </x:c>
      <x:c r="M71" s="17" t="str">
        <x:v>I'm looking for Lightweight Jackets Windbreakers. A key requirement is: polyester.</x:v>
      </x:c>
      <x:c r="N71" s="17" t="str"/>
      <x:c r="O71" s="17" t="str"/>
    </x:row>
    <x:row r="72">
      <x:c r="A72" t="str">
        <x:v>public_0068</x:v>
      </x:c>
      <x:c r="B72" t="str">
        <x:v>intent_override</x:v>
      </x:c>
      <x:c r="C72" t="str">
        <x:v>hard</x:v>
      </x:c>
      <x:c r="D72" t="str">
        <x:v>clothing</x:v>
      </x:c>
      <x:c r="E72" t="str">
        <x:v>B08SH8GF6K</x:v>
      </x:c>
      <x:c r="F72" s="75" t="n">
        <x:v>5</x:v>
      </x:c>
      <x:c r="G72" t="str">
        <x:v>usually positive</x:v>
      </x:c>
      <x:c r="H72" t="str">
        <x:v>3-4 prior purchases</x:v>
      </x:c>
      <x:c r="I72" s="17" t="str">
        <x:v>fit | material | comfort | style</x:v>
      </x:c>
      <x:c r="J72" s="17" t="n">
        <x:v>4</x:v>
      </x:c>
      <x:c r="K72" s="17" t="str">
        <x:v>Skechers Women's Go Walk 6-Big Splash Sneaker</x:v>
      </x:c>
      <x:c r="L72" s="17" t="str">
        <x:v>Athletic Walking</x:v>
      </x:c>
      <x:c r="M72" s="17" t="str">
        <x:v>I'm looking for Athletic Walking. Lightweight and responsive Ultra Go midsole cushioning</x:v>
      </x:c>
      <x:c r="N72" s="17" t="n">
        <x:v>3</x:v>
      </x:c>
      <x:c r="O72" s="17" t="str">
        <x:v>Lightweight and responsive Ultra Go midsole cushioning -&gt; Imported</x:v>
      </x:c>
    </x:row>
    <x:row r="73">
      <x:c r="A73" t="str">
        <x:v>public_0069</x:v>
      </x:c>
      <x:c r="B73" t="str">
        <x:v>browsing</x:v>
      </x:c>
      <x:c r="C73" t="str">
        <x:v>medium</x:v>
      </x:c>
      <x:c r="D73" t="str">
        <x:v>clothing</x:v>
      </x:c>
      <x:c r="E73" t="str">
        <x:v>B07ZFBQ76H</x:v>
      </x:c>
      <x:c r="F73" s="75" t="n">
        <x:v>5</x:v>
      </x:c>
      <x:c r="G73" t="str">
        <x:v>usually positive</x:v>
      </x:c>
      <x:c r="H73" t="str">
        <x:v>3-4 prior purchases</x:v>
      </x:c>
      <x:c r="I73" s="17" t="str">
        <x:v>warmth | material | comfort | fit</x:v>
      </x:c>
      <x:c r="J73" s="17" t="n">
        <x:v>4</x:v>
      </x:c>
      <x:c r="K73" s="17" t="str">
        <x:v>Acrylic Earrings For Women Girls Statement Geometric Earrings Resin Acetate Drop Dangle Earrings Mottled Hoop Earrings Fashion Jewelry</x:v>
      </x:c>
      <x:c r="L73" s="17" t="str">
        <x:v>Earrings Drop &amp; Dangle</x:v>
      </x:c>
      <x:c r="M73" s="17" t="str">
        <x:v>I'm looking for Earrings Drop &amp; Dangle, but I'm still exploring.</x:v>
      </x:c>
      <x:c r="N73" s="17" t="str"/>
      <x:c r="O73" s="17" t="str"/>
    </x:row>
    <x:row r="74">
      <x:c r="A74" t="str">
        <x:v>public_0070</x:v>
      </x:c>
      <x:c r="B74" t="str">
        <x:v>browsing</x:v>
      </x:c>
      <x:c r="C74" t="str">
        <x:v>medium</x:v>
      </x:c>
      <x:c r="D74" t="str">
        <x:v>clothing</x:v>
      </x:c>
      <x:c r="E74" t="str">
        <x:v>B010LVBVKA</x:v>
      </x:c>
      <x:c r="F74" s="75" t="n">
        <x:v>5</x:v>
      </x:c>
      <x:c r="G74" t="str">
        <x:v>usually positive</x:v>
      </x:c>
      <x:c r="H74" t="str">
        <x:v>3-4 prior purchases</x:v>
      </x:c>
      <x:c r="I74" s="17" t="str">
        <x:v>comfort | style | fit | performance</x:v>
      </x:c>
      <x:c r="J74" s="17" t="n">
        <x:v>4</x:v>
      </x:c>
      <x:c r="K74" s="17" t="str">
        <x:v>Travel Neck Wallet with RFID Blocking – Passport Holder Neck Pouch to Keep Your Cash And Documents Safe – Get Peace Of Mind When Traveling</x:v>
      </x:c>
      <x:c r="L74" s="17" t="str">
        <x:v>Travel Accessories Travel Wallets</x:v>
      </x:c>
      <x:c r="M74" s="17" t="str">
        <x:v>I'm looking for Travel Accessories Travel Wallets, but I'm still exploring.</x:v>
      </x:c>
      <x:c r="N74" s="17" t="str"/>
      <x:c r="O74" s="17" t="str"/>
    </x:row>
    <x:row r="75">
      <x:c r="A75" t="str">
        <x:v>public_0071</x:v>
      </x:c>
      <x:c r="B75" t="str">
        <x:v>intent_override</x:v>
      </x:c>
      <x:c r="C75" t="str">
        <x:v>hard</x:v>
      </x:c>
      <x:c r="D75" t="str">
        <x:v>clothing</x:v>
      </x:c>
      <x:c r="E75" t="str">
        <x:v>B06XRFSDL4</x:v>
      </x:c>
      <x:c r="F75" s="75" t="n">
        <x:v>5</x:v>
      </x:c>
      <x:c r="G75" t="str">
        <x:v>usually positive</x:v>
      </x:c>
      <x:c r="H75" t="str">
        <x:v>3-4 prior purchases</x:v>
      </x:c>
      <x:c r="I75" s="17" t="str">
        <x:v>material | performance | durability | style</x:v>
      </x:c>
      <x:c r="J75" s="17" t="n">
        <x:v>4</x:v>
      </x:c>
      <x:c r="K75" s="17" t="str">
        <x:v>Mordenmiss Women's Loose Sweatshirt Spring/Fall Simple Shirt Tops</x:v>
      </x:c>
      <x:c r="L75" s="17" t="str">
        <x:v>Women Fashion Hoodies &amp; Sweatshirts</x:v>
      </x:c>
      <x:c r="M75" s="17" t="str">
        <x:v>I'm looking for Women Fashion Hoodies &amp; Sweatshirts. Pull On closure</x:v>
      </x:c>
      <x:c r="N75" s="17" t="n">
        <x:v>4</x:v>
      </x:c>
      <x:c r="O75" s="17" t="str">
        <x:v>Pull On closure -&gt; cotton</x:v>
      </x:c>
    </x:row>
    <x:row r="76">
      <x:c r="A76" t="str">
        <x:v>public_0072</x:v>
      </x:c>
      <x:c r="B76" t="str">
        <x:v>intent_override</x:v>
      </x:c>
      <x:c r="C76" t="str">
        <x:v>hard</x:v>
      </x:c>
      <x:c r="D76" t="str">
        <x:v>clothing</x:v>
      </x:c>
      <x:c r="E76" t="str">
        <x:v>B09JG4V9ZR</x:v>
      </x:c>
      <x:c r="F76" s="75" t="n">
        <x:v>2</x:v>
      </x:c>
      <x:c r="G76" t="str">
        <x:v>critical</x:v>
      </x:c>
      <x:c r="H76" t="str">
        <x:v>3-4 prior purchases</x:v>
      </x:c>
      <x:c r="I76" s="17" t="str">
        <x:v>fit | material | style</x:v>
      </x:c>
      <x:c r="J76" s="17" t="n">
        <x:v>3</x:v>
      </x:c>
      <x:c r="K76" s="17" t="str">
        <x:v>Facitisu Womens Winter Warm Jacket Long Down Faux Fur Hooded Quilted Sherpa Lined Coat</x:v>
      </x:c>
      <x:c r="L76" s="17" t="str">
        <x:v>Rain &amp; Anoraks Anoraks</x:v>
      </x:c>
      <x:c r="M76" s="17" t="str">
        <x:v>I'm looking for Rain &amp; Anoraks Anoraks. Department: womens</x:v>
      </x:c>
      <x:c r="N76" s="17" t="n">
        <x:v>3</x:v>
      </x:c>
      <x:c r="O76" s="17" t="str">
        <x:v>Department: womens -&gt; Faux Fur</x:v>
      </x:c>
    </x:row>
    <x:row r="77">
      <x:c r="A77" t="str">
        <x:v>public_0073</x:v>
      </x:c>
      <x:c r="B77" t="str">
        <x:v>browsing</x:v>
      </x:c>
      <x:c r="C77" t="str">
        <x:v>medium</x:v>
      </x:c>
      <x:c r="D77" t="str">
        <x:v>clothing</x:v>
      </x:c>
      <x:c r="E77" t="str">
        <x:v>B07QPM54V7</x:v>
      </x:c>
      <x:c r="F77" s="75" t="n">
        <x:v>5</x:v>
      </x:c>
      <x:c r="G77" t="str">
        <x:v>usually positive</x:v>
      </x:c>
      <x:c r="H77" t="str">
        <x:v>3-4 prior purchases</x:v>
      </x:c>
      <x:c r="I77" s="17" t="str">
        <x:v>fit | material | comfort | style</x:v>
      </x:c>
      <x:c r="J77" s="17" t="n">
        <x:v>4</x:v>
      </x:c>
      <x:c r="K77" s="17" t="str">
        <x:v>WNEEDU Women's Summer Casual T Shirt Dresses Short Sleeve Swing Dress with Pockets</x:v>
      </x:c>
      <x:c r="L77" s="17" t="str">
        <x:v>Dresses Casual</x:v>
      </x:c>
      <x:c r="M77" s="17" t="str">
        <x:v>I'm looking for Dresses Casual, but I'm still exploring.</x:v>
      </x:c>
      <x:c r="N77" s="17" t="str"/>
      <x:c r="O77" s="17" t="str"/>
    </x:row>
    <x:row r="78">
      <x:c r="A78" t="str">
        <x:v>public_0074</x:v>
      </x:c>
      <x:c r="B78" t="str">
        <x:v>browsing</x:v>
      </x:c>
      <x:c r="C78" t="str">
        <x:v>medium</x:v>
      </x:c>
      <x:c r="D78" t="str">
        <x:v>clothing</x:v>
      </x:c>
      <x:c r="E78" t="str">
        <x:v>B07N15QTKC</x:v>
      </x:c>
      <x:c r="F78" s="75" t="n">
        <x:v>3</x:v>
      </x:c>
      <x:c r="G78" t="str">
        <x:v>critical</x:v>
      </x:c>
      <x:c r="H78" t="str">
        <x:v>3-4 prior purchases</x:v>
      </x:c>
      <x:c r="I78" s="17" t="str">
        <x:v>style</x:v>
      </x:c>
      <x:c r="J78" s="17" t="n">
        <x:v>1</x:v>
      </x:c>
      <x:c r="K78" s="17" t="str">
        <x:v>Skechers Women's Go Walk 5-Lucky Sneaker</x:v>
      </x:c>
      <x:c r="L78" s="17" t="str">
        <x:v>Athletic Walking</x:v>
      </x:c>
      <x:c r="M78" s="17" t="str">
        <x:v>I'm looking for Athletic Walking, but I'm still exploring.</x:v>
      </x:c>
      <x:c r="N78" s="17" t="str"/>
      <x:c r="O78" s="17" t="str"/>
    </x:row>
    <x:row r="79">
      <x:c r="A79" t="str">
        <x:v>public_0075</x:v>
      </x:c>
      <x:c r="B79" t="str">
        <x:v>browsing</x:v>
      </x:c>
      <x:c r="C79" t="str">
        <x:v>medium</x:v>
      </x:c>
      <x:c r="D79" t="str">
        <x:v>clothing</x:v>
      </x:c>
      <x:c r="E79" t="str">
        <x:v>B08L13LJ5M</x:v>
      </x:c>
      <x:c r="F79" s="75" t="n">
        <x:v>5</x:v>
      </x:c>
      <x:c r="G79" t="str">
        <x:v>usually positive</x:v>
      </x:c>
      <x:c r="H79" t="str">
        <x:v>3-4 prior purchases</x:v>
      </x:c>
      <x:c r="I79" s="17" t="str">
        <x:v>material | comfort | fit | style</x:v>
      </x:c>
      <x:c r="J79" s="17" t="n">
        <x:v>4</x:v>
      </x:c>
      <x:c r="K79" s="17" t="str">
        <x:v>BULLIANT Men's Belt, Slide Ratchet Belt For Men Dress Pant Shirt Oxfords,trim To Fit</x:v>
      </x:c>
      <x:c r="L79" s="17" t="str">
        <x:v>Accessories Belts</x:v>
      </x:c>
      <x:c r="M79" s="17" t="str">
        <x:v>I'm looking for Accessories Belts, but I'm still exploring.</x:v>
      </x:c>
      <x:c r="N79" s="17" t="str"/>
      <x:c r="O79" s="17" t="str"/>
    </x:row>
    <x:row r="80">
      <x:c r="A80" t="str">
        <x:v>public_0076</x:v>
      </x:c>
      <x:c r="B80" t="str">
        <x:v>browsing</x:v>
      </x:c>
      <x:c r="C80" t="str">
        <x:v>medium</x:v>
      </x:c>
      <x:c r="D80" t="str">
        <x:v>clothing</x:v>
      </x:c>
      <x:c r="E80" t="str">
        <x:v>B07XT6PLTB</x:v>
      </x:c>
      <x:c r="F80" s="75" t="n">
        <x:v>5</x:v>
      </x:c>
      <x:c r="G80" t="str">
        <x:v>usually positive</x:v>
      </x:c>
      <x:c r="H80" t="str">
        <x:v>3-4 prior purchases</x:v>
      </x:c>
      <x:c r="I80" s="17" t="str">
        <x:v>style | comfort | performance | fit</x:v>
      </x:c>
      <x:c r="J80" s="17" t="n">
        <x:v>4</x:v>
      </x:c>
      <x:c r="K80" s="17" t="str">
        <x:v>Proud Army Girlfriend US Flag Dog Tags Pride Military Lovers Zip Hoodie</x:v>
      </x:c>
      <x:c r="L80" s="17" t="str">
        <x:v>Women Hoodies</x:v>
      </x:c>
      <x:c r="M80" s="17" t="str">
        <x:v>I'm looking for Women Hoodies, but I'm still exploring.</x:v>
      </x:c>
      <x:c r="N80" s="17" t="str"/>
      <x:c r="O80" s="17" t="str"/>
    </x:row>
    <x:row r="81">
      <x:c r="A81" t="str">
        <x:v>public_0077</x:v>
      </x:c>
      <x:c r="B81" t="str">
        <x:v>browsing</x:v>
      </x:c>
      <x:c r="C81" t="str">
        <x:v>medium</x:v>
      </x:c>
      <x:c r="D81" t="str">
        <x:v>clothing</x:v>
      </x:c>
      <x:c r="E81" t="str">
        <x:v>B077JDSZ27</x:v>
      </x:c>
      <x:c r="F81" s="75" t="n">
        <x:v>5</x:v>
      </x:c>
      <x:c r="G81" t="str">
        <x:v>usually positive</x:v>
      </x:c>
      <x:c r="H81" t="str">
        <x:v>3-4 prior purchases</x:v>
      </x:c>
      <x:c r="I81" s="17" t="str">
        <x:v>material | fit</x:v>
      </x:c>
      <x:c r="J81" s="17" t="n">
        <x:v>2</x:v>
      </x:c>
      <x:c r="K81" s="17" t="str">
        <x:v>Ashford &amp; Brooks Mens Flannel Long Sleeve Sleep Nightshirt</x:v>
      </x:c>
      <x:c r="L81" s="17" t="str">
        <x:v>Sleep &amp; Lounge Sleep Tops</x:v>
      </x:c>
      <x:c r="M81" s="17" t="str">
        <x:v>I'm looking for Sleep &amp; Lounge Sleep Tops, but I'm still exploring.</x:v>
      </x:c>
      <x:c r="N81" s="17" t="str"/>
      <x:c r="O81" s="17" t="str"/>
    </x:row>
    <x:row r="82">
      <x:c r="A82" t="str">
        <x:v>public_0078</x:v>
      </x:c>
      <x:c r="B82" t="str">
        <x:v>intent_override</x:v>
      </x:c>
      <x:c r="C82" t="str">
        <x:v>hard</x:v>
      </x:c>
      <x:c r="D82" t="str">
        <x:v>clothing</x:v>
      </x:c>
      <x:c r="E82" t="str">
        <x:v>B0C5RLJDSF</x:v>
      </x:c>
      <x:c r="F82" s="75" t="n">
        <x:v>5</x:v>
      </x:c>
      <x:c r="G82" t="str">
        <x:v>usually positive</x:v>
      </x:c>
      <x:c r="H82" t="str">
        <x:v>3-4 prior purchases</x:v>
      </x:c>
      <x:c r="I82" s="17" t="str">
        <x:v>material | fit | style</x:v>
      </x:c>
      <x:c r="J82" s="17" t="n">
        <x:v>3</x:v>
      </x:c>
      <x:c r="K82" s="17" t="str">
        <x:v>Hanes Women's Value, Crew Soft Moisture-Wicking Socks, Available in 10 and 14-Packs</x:v>
      </x:c>
      <x:c r="L82" s="17" t="str">
        <x:v>Socks No Show &amp; Liner Socks</x:v>
      </x:c>
      <x:c r="M82" s="17" t="str">
        <x:v>I'm looking for Socks No Show &amp; Liner Socks. Pull On closure</x:v>
      </x:c>
      <x:c r="N82" s="17" t="n">
        <x:v>3</x:v>
      </x:c>
      <x:c r="O82" s="17" t="str">
        <x:v>Pull On closure -&gt; cotton</x:v>
      </x:c>
    </x:row>
    <x:row r="83">
      <x:c r="A83" t="str">
        <x:v>public_0079</x:v>
      </x:c>
      <x:c r="B83" t="str">
        <x:v>browsing</x:v>
      </x:c>
      <x:c r="C83" t="str">
        <x:v>medium</x:v>
      </x:c>
      <x:c r="D83" t="str">
        <x:v>clothing</x:v>
      </x:c>
      <x:c r="E83" t="str">
        <x:v>B0BFRMX3JG</x:v>
      </x:c>
      <x:c r="F83" s="75" t="n">
        <x:v>1</x:v>
      </x:c>
      <x:c r="G83" t="str">
        <x:v>critical</x:v>
      </x:c>
      <x:c r="H83" t="str">
        <x:v>3-4 prior purchases</x:v>
      </x:c>
      <x:c r="I83" s="17" t="str">
        <x:v>style | fit | comfort | durability</x:v>
      </x:c>
      <x:c r="J83" s="17" t="n">
        <x:v>4</x:v>
      </x:c>
      <x:c r="K83" s="17" t="str">
        <x:v>Jeasona Women’s Fuzzy Slipper Socks With Grippers Cozy Warm Cute Animal Gifts</x:v>
      </x:c>
      <x:c r="L83" s="17" t="str">
        <x:v>Socks &amp; Hosiery Slipper Socks</x:v>
      </x:c>
      <x:c r="M83" s="17" t="str">
        <x:v>I'm looking for Socks &amp; Hosiery Slipper Socks, but I'm still exploring.</x:v>
      </x:c>
      <x:c r="N83" s="17" t="str"/>
      <x:c r="O83" s="17" t="str"/>
    </x:row>
    <x:row r="84">
      <x:c r="A84" t="str">
        <x:v>public_0080</x:v>
      </x:c>
      <x:c r="B84" t="str">
        <x:v>intent_override</x:v>
      </x:c>
      <x:c r="C84" t="str">
        <x:v>hard</x:v>
      </x:c>
      <x:c r="D84" t="str">
        <x:v>clothing</x:v>
      </x:c>
      <x:c r="E84" t="str">
        <x:v>B0BPRQY4CF</x:v>
      </x:c>
      <x:c r="F84" s="75" t="n">
        <x:v>1</x:v>
      </x:c>
      <x:c r="G84" t="str">
        <x:v>critical</x:v>
      </x:c>
      <x:c r="H84" t="str">
        <x:v>3-4 prior purchases</x:v>
      </x:c>
      <x:c r="I84" s="17" t="str">
        <x:v>durability | material | comfort | fit</x:v>
      </x:c>
      <x:c r="J84" s="17" t="n">
        <x:v>4</x:v>
      </x:c>
      <x:c r="K84" s="17" t="str">
        <x:v>IZOD Men's Advantage Performance Short Sleeve Polo Shirt</x:v>
      </x:c>
      <x:c r="L84" s="17" t="str">
        <x:v>Shirts Polos</x:v>
      </x:c>
      <x:c r="M84" s="17" t="str">
        <x:v>I'm looking for Shirts Polos. Button closure</x:v>
      </x:c>
      <x:c r="N84" s="17" t="n">
        <x:v>4</x:v>
      </x:c>
      <x:c r="O84" s="17" t="str">
        <x:v>Button closure -&gt; cotton</x:v>
      </x:c>
    </x:row>
    <x:row r="85">
      <x:c r="A85" t="str">
        <x:v>public_0081</x:v>
      </x:c>
      <x:c r="B85" t="str">
        <x:v>browsing</x:v>
      </x:c>
      <x:c r="C85" t="str">
        <x:v>medium</x:v>
      </x:c>
      <x:c r="D85" t="str">
        <x:v>clothing</x:v>
      </x:c>
      <x:c r="E85" t="str">
        <x:v>B0BSS36XCS</x:v>
      </x:c>
      <x:c r="F85" s="75" t="n">
        <x:v>5</x:v>
      </x:c>
      <x:c r="G85" t="str">
        <x:v>usually positive</x:v>
      </x:c>
      <x:c r="H85" t="str">
        <x:v>3-4 prior purchases</x:v>
      </x:c>
      <x:c r="I85" s="17" t="str">
        <x:v>fit | material | style | durability</x:v>
      </x:c>
      <x:c r="J85" s="17" t="n">
        <x:v>4</x:v>
      </x:c>
      <x:c r="K85" s="17" t="str">
        <x:v>Fruit of the Loom Men's Eversoft Cotton Stay Tucked V-Neck T-Shirt</x:v>
      </x:c>
      <x:c r="L85" s="17" t="str">
        <x:v>Underwear Undershirts</x:v>
      </x:c>
      <x:c r="M85" s="17" t="str">
        <x:v>I'm looking for Underwear Undershirts, but I'm still exploring.</x:v>
      </x:c>
      <x:c r="N85" s="17" t="str"/>
      <x:c r="O85" s="17" t="str"/>
    </x:row>
    <x:row r="86">
      <x:c r="A86" t="str">
        <x:v>public_0082</x:v>
      </x:c>
      <x:c r="B86" t="str">
        <x:v>buying</x:v>
      </x:c>
      <x:c r="C86" t="str">
        <x:v>easy</x:v>
      </x:c>
      <x:c r="D86" t="str">
        <x:v>clothing</x:v>
      </x:c>
      <x:c r="E86" t="str">
        <x:v>B09BPZCWDP</x:v>
      </x:c>
      <x:c r="F86" s="75" t="n">
        <x:v>5</x:v>
      </x:c>
      <x:c r="G86" t="str">
        <x:v>usually positive</x:v>
      </x:c>
      <x:c r="H86" t="str">
        <x:v>3-4 prior purchases</x:v>
      </x:c>
      <x:c r="I86" s="17" t="str">
        <x:v>material | fit</x:v>
      </x:c>
      <x:c r="J86" s="17" t="n">
        <x:v>2</x:v>
      </x:c>
      <x:c r="K86" s="17" t="str">
        <x:v>Hicarer 21 Pieces Surfer Wave Bracelet Ocean Wave Adjustable Waterproof Handmade Friendship Bracelet Summer Sunflower Bracelets Anklets Jewelry for Women Teen Girls</x:v>
      </x:c>
      <x:c r="L86" s="17" t="str">
        <x:v>Bracelets Strand</x:v>
      </x:c>
      <x:c r="M86" s="17" t="str">
        <x:v>I'm looking for Bracelets Strand. A key requirement is: 21 Styles: the package contains 21 pieces beach bracelet anklets in different styles as shown in the picture, coming with various elements, enough quantity to use and share with fa.</x:v>
      </x:c>
      <x:c r="N86" s="17" t="str"/>
      <x:c r="O86" s="17" t="str"/>
    </x:row>
    <x:row r="87">
      <x:c r="A87" t="str">
        <x:v>public_0083</x:v>
      </x:c>
      <x:c r="B87" t="str">
        <x:v>buying</x:v>
      </x:c>
      <x:c r="C87" t="str">
        <x:v>easy</x:v>
      </x:c>
      <x:c r="D87" t="str">
        <x:v>clothing</x:v>
      </x:c>
      <x:c r="E87" t="str">
        <x:v>B0BPMCJ1RD</x:v>
      </x:c>
      <x:c r="F87" s="75" t="n">
        <x:v>1</x:v>
      </x:c>
      <x:c r="G87" t="str">
        <x:v>critical</x:v>
      </x:c>
      <x:c r="H87" t="str">
        <x:v>3-4 prior purchases</x:v>
      </x:c>
      <x:c r="I87" s="17" t="str">
        <x:v>fit | material | comfort | style</x:v>
      </x:c>
      <x:c r="J87" s="17" t="n">
        <x:v>4</x:v>
      </x:c>
      <x:c r="K87" s="17" t="str">
        <x:v>CHICZONE Plaid Shacket Jacket Womens Long Flannel Jacket Casual Lapel Button Down Tartan Trench Coats</x:v>
      </x:c>
      <x:c r="L87" s="17" t="str">
        <x:v>Tees &amp; Blouses Blouses &amp; Button-Down Shirts</x:v>
      </x:c>
      <x:c r="M87" s="17" t="str">
        <x:v>I'm looking for Tees &amp; Blouses Blouses &amp; Button-Down Shirts. A key requirement is: polyester.</x:v>
      </x:c>
      <x:c r="N87" s="17" t="str"/>
      <x:c r="O87" s="17" t="str"/>
    </x:row>
    <x:row r="88">
      <x:c r="A88" t="str">
        <x:v>public_0084</x:v>
      </x:c>
      <x:c r="B88" t="str">
        <x:v>intent_override</x:v>
      </x:c>
      <x:c r="C88" t="str">
        <x:v>hard</x:v>
      </x:c>
      <x:c r="D88" t="str">
        <x:v>clothing</x:v>
      </x:c>
      <x:c r="E88" t="str">
        <x:v>B08WKZNFG2</x:v>
      </x:c>
      <x:c r="F88" s="75" t="n">
        <x:v>2</x:v>
      </x:c>
      <x:c r="G88" t="str">
        <x:v>critical</x:v>
      </x:c>
      <x:c r="H88" t="str">
        <x:v>3-4 prior purchases</x:v>
      </x:c>
      <x:c r="I88" s="17" t="str">
        <x:v>material | comfort | fit | performance</x:v>
      </x:c>
      <x:c r="J88" s="17" t="n">
        <x:v>4</x:v>
      </x:c>
      <x:c r="K88" s="17" t="str">
        <x:v>BeltBro Titan No Buckle Elastic Belt For Men — Fits 1.5 Inch Belt Loops, Comfortable and Easy To Use</x:v>
      </x:c>
      <x:c r="L88" s="17" t="str">
        <x:v>Accessories Belts</x:v>
      </x:c>
      <x:c r="M88" s="17" t="str">
        <x:v>I'm looking for Accessories Belts. Hand Wash Only</x:v>
      </x:c>
      <x:c r="N88" s="17" t="n">
        <x:v>4</x:v>
      </x:c>
      <x:c r="O88" s="17" t="str">
        <x:v>Hand Wash Only -&gt; nylon</x:v>
      </x:c>
    </x:row>
    <x:row r="89">
      <x:c r="A89" t="str">
        <x:v>public_0085</x:v>
      </x:c>
      <x:c r="B89" t="str">
        <x:v>browsing</x:v>
      </x:c>
      <x:c r="C89" t="str">
        <x:v>medium</x:v>
      </x:c>
      <x:c r="D89" t="str">
        <x:v>clothing</x:v>
      </x:c>
      <x:c r="E89" t="str">
        <x:v>B0C3YJMRRD</x:v>
      </x:c>
      <x:c r="F89" s="75" t="n">
        <x:v>5</x:v>
      </x:c>
      <x:c r="G89" t="str">
        <x:v>usually positive</x:v>
      </x:c>
      <x:c r="H89" t="str">
        <x:v>3-4 prior purchases</x:v>
      </x:c>
      <x:c r="I89" s="17" t="str">
        <x:v>fit | comfort | material | durability</x:v>
      </x:c>
      <x:c r="J89" s="17" t="n">
        <x:v>4</x:v>
      </x:c>
      <x:c r="K89" s="17" t="str">
        <x:v>welltree Slides for Women Men Pillow Slippers Non-Slip Bathroom Shower Sandals Soft Thick Sole Indoor and Outdoor Slides</x:v>
      </x:c>
      <x:c r="L89" s="17" t="str">
        <x:v>Sandals Slides</x:v>
      </x:c>
      <x:c r="M89" s="17" t="str">
        <x:v>I'm looking for Sandals Slides, but I'm still exploring.</x:v>
      </x:c>
      <x:c r="N89" s="17" t="str"/>
      <x:c r="O89" s="17" t="str"/>
    </x:row>
    <x:row r="90">
      <x:c r="A90" t="str">
        <x:v>public_0086</x:v>
      </x:c>
      <x:c r="B90" t="str">
        <x:v>browsing</x:v>
      </x:c>
      <x:c r="C90" t="str">
        <x:v>medium</x:v>
      </x:c>
      <x:c r="D90" t="str">
        <x:v>clothing</x:v>
      </x:c>
      <x:c r="E90" t="str">
        <x:v>B07WN8N9Q7</x:v>
      </x:c>
      <x:c r="F90" s="75" t="n">
        <x:v>4</x:v>
      </x:c>
      <x:c r="G90" t="str">
        <x:v>mixed</x:v>
      </x:c>
      <x:c r="H90" t="str">
        <x:v>3-4 prior purchases</x:v>
      </x:c>
      <x:c r="I90" s="17" t="str">
        <x:v>comfort | material | fit | durability</x:v>
      </x:c>
      <x:c r="J90" s="17" t="n">
        <x:v>4</x:v>
      </x:c>
      <x:c r="K90" s="17" t="str">
        <x:v>LongBay Women's Chenille Knit Bootie Slippers Cute Plush Fleece Memory Foam House Shoes</x:v>
      </x:c>
      <x:c r="L90" s="17" t="str">
        <x:v>Shoes Slippers</x:v>
      </x:c>
      <x:c r="M90" s="17" t="str">
        <x:v>I'm looking for Shoes Slippers, but I'm still exploring.</x:v>
      </x:c>
      <x:c r="N90" s="17" t="str"/>
      <x:c r="O90" s="17" t="str"/>
    </x:row>
    <x:row r="91">
      <x:c r="A91" t="str">
        <x:v>public_0087</x:v>
      </x:c>
      <x:c r="B91" t="str">
        <x:v>browsing</x:v>
      </x:c>
      <x:c r="C91" t="str">
        <x:v>medium</x:v>
      </x:c>
      <x:c r="D91" t="str">
        <x:v>clothing</x:v>
      </x:c>
      <x:c r="E91" t="str">
        <x:v>B0BT158RRR</x:v>
      </x:c>
      <x:c r="F91" s="75" t="n">
        <x:v>5</x:v>
      </x:c>
      <x:c r="G91" t="str">
        <x:v>usually positive</x:v>
      </x:c>
      <x:c r="H91" t="str">
        <x:v>3-4 prior purchases</x:v>
      </x:c>
      <x:c r="I91" s="17" t="str">
        <x:v>material | fit | comfort</x:v>
      </x:c>
      <x:c r="J91" s="17" t="n">
        <x:v>3</x:v>
      </x:c>
      <x:c r="K91" s="17" t="str">
        <x:v>Goodthreads Men's Standard-Fit Short-Sleeve Printed Poplin Shirt</x:v>
      </x:c>
      <x:c r="L91" s="17" t="str">
        <x:v>Shirts Casual Button-Down Shirts</x:v>
      </x:c>
      <x:c r="M91" s="17" t="str">
        <x:v>I'm looking for Shirts Casual Button-Down Shirts, but I'm still exploring.</x:v>
      </x:c>
      <x:c r="N91" s="17" t="str"/>
      <x:c r="O91" s="17" t="str"/>
    </x:row>
    <x:row r="92">
      <x:c r="A92" t="str">
        <x:v>public_0088</x:v>
      </x:c>
      <x:c r="B92" t="str">
        <x:v>buying</x:v>
      </x:c>
      <x:c r="C92" t="str">
        <x:v>easy</x:v>
      </x:c>
      <x:c r="D92" t="str">
        <x:v>clothing</x:v>
      </x:c>
      <x:c r="E92" t="str">
        <x:v>B07Z6J5N6Y</x:v>
      </x:c>
      <x:c r="F92" s="75" t="n">
        <x:v>5</x:v>
      </x:c>
      <x:c r="G92" t="str">
        <x:v>usually positive</x:v>
      </x:c>
      <x:c r="H92" t="str">
        <x:v>3-4 prior purchases</x:v>
      </x:c>
      <x:c r="I92" s="17" t="str">
        <x:v>comfort | fit | durability | style</x:v>
      </x:c>
      <x:c r="J92" s="17" t="n">
        <x:v>4</x:v>
      </x:c>
      <x:c r="K92" s="17" t="str">
        <x:v>Amazon Essentials Women's Cotton Bikini Brief Underwear (Available in Plus Size), Multipacks</x:v>
      </x:c>
      <x:c r="L92" s="17" t="str">
        <x:v>Panties Bikinis</x:v>
      </x:c>
      <x:c r="M92" s="17" t="str">
        <x:v>I'm looking for Panties Bikinis. A key requirement is: cotton.</x:v>
      </x:c>
      <x:c r="N92" s="17" t="str"/>
      <x:c r="O92" s="17" t="str"/>
    </x:row>
    <x:row r="93">
      <x:c r="A93" t="str">
        <x:v>public_0089</x:v>
      </x:c>
      <x:c r="B93" t="str">
        <x:v>intent_override</x:v>
      </x:c>
      <x:c r="C93" t="str">
        <x:v>hard</x:v>
      </x:c>
      <x:c r="D93" t="str">
        <x:v>clothing</x:v>
      </x:c>
      <x:c r="E93" t="str">
        <x:v>B0BXMCZLZV</x:v>
      </x:c>
      <x:c r="F93" s="75" t="n">
        <x:v>5</x:v>
      </x:c>
      <x:c r="G93" t="str">
        <x:v>usually positive</x:v>
      </x:c>
      <x:c r="H93" t="str">
        <x:v>3-4 prior purchases</x:v>
      </x:c>
      <x:c r="I93" s="17" t="str">
        <x:v>comfort | style | fit | durability</x:v>
      </x:c>
      <x:c r="J93" s="17" t="n">
        <x:v>4</x:v>
      </x:c>
      <x:c r="K93" s="17" t="str">
        <x:v>Vanity Fair Women's Perfectly Yours High Waisted Brief Panties</x:v>
      </x:c>
      <x:c r="L93" s="17" t="str">
        <x:v>Panties Briefs</x:v>
      </x:c>
      <x:c r="M93" s="17" t="str">
        <x:v>I'm looking for Panties Briefs. Elastic closure</x:v>
      </x:c>
      <x:c r="N93" s="17" t="n">
        <x:v>3</x:v>
      </x:c>
      <x:c r="O93" s="17" t="str">
        <x:v>Elastic closure -&gt; nylon</x:v>
      </x:c>
    </x:row>
    <x:row r="94">
      <x:c r="A94" t="str">
        <x:v>public_0090</x:v>
      </x:c>
      <x:c r="B94" t="str">
        <x:v>buying</x:v>
      </x:c>
      <x:c r="C94" t="str">
        <x:v>easy</x:v>
      </x:c>
      <x:c r="D94" t="str">
        <x:v>clothing</x:v>
      </x:c>
      <x:c r="E94" t="str">
        <x:v>B07MGR6D5M</x:v>
      </x:c>
      <x:c r="F94" s="75" t="n">
        <x:v>5</x:v>
      </x:c>
      <x:c r="G94" t="str">
        <x:v>usually positive</x:v>
      </x:c>
      <x:c r="H94" t="str">
        <x:v>3-4 prior purchases</x:v>
      </x:c>
      <x:c r="I94" s="17" t="str">
        <x:v>material</x:v>
      </x:c>
      <x:c r="J94" s="17" t="n">
        <x:v>1</x:v>
      </x:c>
      <x:c r="K94" s="17" t="str">
        <x:v>Mardi Gras Costume Accessory Mardi Gras Mesh Shimmering Scarf Purple Green Gold Scarf Masquerade Costume Mardi Gras Party Favor (Style 2)</x:v>
      </x:c>
      <x:c r="L94" s="17" t="str">
        <x:v>Women Accessories</x:v>
      </x:c>
      <x:c r="M94" s="17" t="str">
        <x:v>I'm looking for Women Accessories. A key requirement is: Decorative lightweight scarf: 2 wearing ways of this mardi gras scarf, wrap the scarf around your neck, or wearing it as a shawl, just change the orientation of the scarf, you can.</x:v>
      </x:c>
      <x:c r="N94" s="17" t="str"/>
      <x:c r="O94" s="17" t="str"/>
    </x:row>
    <x:row r="95">
      <x:c r="A95" t="str">
        <x:v>public_0091</x:v>
      </x:c>
      <x:c r="B95" t="str">
        <x:v>browsing</x:v>
      </x:c>
      <x:c r="C95" t="str">
        <x:v>medium</x:v>
      </x:c>
      <x:c r="D95" t="str">
        <x:v>clothing</x:v>
      </x:c>
      <x:c r="E95" t="str">
        <x:v>B0C5XB43GG</x:v>
      </x:c>
      <x:c r="F95" s="75" t="n">
        <x:v>5</x:v>
      </x:c>
      <x:c r="G95" t="str">
        <x:v>usually positive</x:v>
      </x:c>
      <x:c r="H95" t="str">
        <x:v>3-4 prior purchases</x:v>
      </x:c>
      <x:c r="I95" s="17" t="str">
        <x:v>performance | comfort | fit | durability</x:v>
      </x:c>
      <x:c r="J95" s="17" t="n">
        <x:v>4</x:v>
      </x:c>
      <x:c r="K95" s="17" t="str">
        <x:v>925 Sterling Silver Small Hoop Earrings Cubic Zirconia Huggie Hoop Earrings, 3 Pairs 14K White Gold Plated Cartilage Piercing Earrings Ear Cuff Tiny Hoop Earrings for Women Men</x:v>
      </x:c>
      <x:c r="L95" s="17" t="str">
        <x:v>Jewelry Earrings</x:v>
      </x:c>
      <x:c r="M95" s="17" t="str">
        <x:v>I'm looking for Jewelry Earrings, but I'm still exploring.</x:v>
      </x:c>
      <x:c r="N95" s="17" t="str"/>
      <x:c r="O95" s="17" t="str"/>
    </x:row>
    <x:row r="96">
      <x:c r="A96" t="str">
        <x:v>public_0092</x:v>
      </x:c>
      <x:c r="B96" t="str">
        <x:v>browsing</x:v>
      </x:c>
      <x:c r="C96" t="str">
        <x:v>medium</x:v>
      </x:c>
      <x:c r="D96" t="str">
        <x:v>clothing</x:v>
      </x:c>
      <x:c r="E96" t="str">
        <x:v>B07FKNZC43</x:v>
      </x:c>
      <x:c r="F96" s="75" t="n">
        <x:v>4</x:v>
      </x:c>
      <x:c r="G96" t="str">
        <x:v>mixed</x:v>
      </x:c>
      <x:c r="H96" t="str">
        <x:v>3-4 prior purchases</x:v>
      </x:c>
      <x:c r="I96" s="17" t="str">
        <x:v>material | comfort | fit | style</x:v>
      </x:c>
      <x:c r="J96" s="17" t="n">
        <x:v>4</x:v>
      </x:c>
      <x:c r="K96" s="17" t="str">
        <x:v>COSOSA Womens Satin Striped Pajamas Long Sleeve V-neck Tops and Pants 2-piece Pj Set</x:v>
      </x:c>
      <x:c r="L96" s="17" t="str">
        <x:v>Sleep &amp; Lounge Sets</x:v>
      </x:c>
      <x:c r="M96" s="17" t="str">
        <x:v>I'm looking for Sleep &amp; Lounge Sets, but I'm still exploring.</x:v>
      </x:c>
      <x:c r="N96" s="17" t="str"/>
      <x:c r="O96" s="17" t="str"/>
    </x:row>
    <x:row r="97">
      <x:c r="A97" t="str">
        <x:v>public_0093</x:v>
      </x:c>
      <x:c r="B97" t="str">
        <x:v>buying</x:v>
      </x:c>
      <x:c r="C97" t="str">
        <x:v>easy</x:v>
      </x:c>
      <x:c r="D97" t="str">
        <x:v>clothing</x:v>
      </x:c>
      <x:c r="E97" t="str">
        <x:v>B07PYB8F1G</x:v>
      </x:c>
      <x:c r="F97" s="75" t="n">
        <x:v>5</x:v>
      </x:c>
      <x:c r="G97" t="str">
        <x:v>usually positive</x:v>
      </x:c>
      <x:c r="H97" t="str">
        <x:v>3-4 prior purchases</x:v>
      </x:c>
      <x:c r="I97" s="17" t="str">
        <x:v>performance | fit | comfort | durability</x:v>
      </x:c>
      <x:c r="J97" s="17" t="n">
        <x:v>4</x:v>
      </x:c>
      <x:c r="K97" s="17" t="str">
        <x:v>Hanes Women's Signature Breathe Cotton Brief Underwear 6-Pack</x:v>
      </x:c>
      <x:c r="L97" s="17" t="str">
        <x:v>Panties Briefs</x:v>
      </x:c>
      <x:c r="M97" s="17" t="str">
        <x:v>I'm looking for Panties Briefs. A key requirement is: cotton.</x:v>
      </x:c>
      <x:c r="N97" s="17" t="str"/>
      <x:c r="O97" s="17" t="str"/>
    </x:row>
    <x:row r="98">
      <x:c r="A98" t="str">
        <x:v>public_0094</x:v>
      </x:c>
      <x:c r="B98" t="str">
        <x:v>buying</x:v>
      </x:c>
      <x:c r="C98" t="str">
        <x:v>easy</x:v>
      </x:c>
      <x:c r="D98" t="str">
        <x:v>clothing</x:v>
      </x:c>
      <x:c r="E98" t="str">
        <x:v>B01L99SW78</x:v>
      </x:c>
      <x:c r="F98" s="75" t="n">
        <x:v>3</x:v>
      </x:c>
      <x:c r="G98" t="str">
        <x:v>critical</x:v>
      </x:c>
      <x:c r="H98" t="str">
        <x:v>3-4 prior purchases</x:v>
      </x:c>
      <x:c r="I98" s="17" t="str">
        <x:v>fit | comfort | material | performance</x:v>
      </x:c>
      <x:c r="J98" s="17" t="n">
        <x:v>4</x:v>
      </x:c>
      <x:c r="K98" s="17" t="str">
        <x:v>Ariat Fatbaby Western Boot – Women’s Leather Western Boots</x:v>
      </x:c>
      <x:c r="L98" s="17" t="str">
        <x:v>Boots Mid-Calf</x:v>
      </x:c>
      <x:c r="M98" s="17" t="str">
        <x:v>I'm looking for Boots Mid-Calf. A key requirement is: leather.</x:v>
      </x:c>
      <x:c r="N98" s="17" t="str"/>
      <x:c r="O98" s="17" t="str"/>
    </x:row>
    <x:row r="99">
      <x:c r="A99" t="str">
        <x:v>public_0095</x:v>
      </x:c>
      <x:c r="B99" t="str">
        <x:v>buying</x:v>
      </x:c>
      <x:c r="C99" t="str">
        <x:v>easy</x:v>
      </x:c>
      <x:c r="D99" t="str">
        <x:v>clothing</x:v>
      </x:c>
      <x:c r="E99" t="str">
        <x:v>B09N78FT2W</x:v>
      </x:c>
      <x:c r="F99" s="75" t="n">
        <x:v>5</x:v>
      </x:c>
      <x:c r="G99" t="str">
        <x:v>usually positive</x:v>
      </x:c>
      <x:c r="H99" t="str">
        <x:v>3-4 prior purchases</x:v>
      </x:c>
      <x:c r="I99" s="17" t="str">
        <x:v>warmth | weather | comfort | fit</x:v>
      </x:c>
      <x:c r="J99" s="17" t="n">
        <x:v>4</x:v>
      </x:c>
      <x:c r="K99" s="17" t="str">
        <x:v>Free Leaper High Waisted Yoga Pants with Pockets for Women-Comfortable Running Seamless Leggings</x:v>
      </x:c>
      <x:c r="L99" s="17" t="str">
        <x:v>Women Leggings</x:v>
      </x:c>
      <x:c r="M99" s="17" t="str">
        <x:v>I'm looking for Women Leggings. A key requirement is: polyester.</x:v>
      </x:c>
      <x:c r="N99" s="17" t="str"/>
      <x:c r="O99" s="17" t="str"/>
    </x:row>
    <x:row r="100">
      <x:c r="A100" t="str">
        <x:v>public_0096</x:v>
      </x:c>
      <x:c r="B100" t="str">
        <x:v>intent_override</x:v>
      </x:c>
      <x:c r="C100" t="str">
        <x:v>hard</x:v>
      </x:c>
      <x:c r="D100" t="str">
        <x:v>clothing</x:v>
      </x:c>
      <x:c r="E100" t="str">
        <x:v>B074K2QX3M</x:v>
      </x:c>
      <x:c r="F100" s="75" t="n">
        <x:v>5</x:v>
      </x:c>
      <x:c r="G100" t="str">
        <x:v>usually positive</x:v>
      </x:c>
      <x:c r="H100" t="str">
        <x:v>3-4 prior purchases</x:v>
      </x:c>
      <x:c r="I100" s="17" t="str">
        <x:v>comfort | material | fit | performance</x:v>
      </x:c>
      <x:c r="J100" s="17" t="n">
        <x:v>4</x:v>
      </x:c>
      <x:c r="K100" s="17" t="str">
        <x:v>Zeagoo Women's Polka Dots Shirt Striped 3/4 Sleeve Casual Scoop Neck Tops Tee S-XXXL</x:v>
      </x:c>
      <x:c r="L100" s="17" t="str">
        <x:v>Tees &amp; Blouses T-Shirts</x:v>
      </x:c>
      <x:c r="M100" s="17" t="str">
        <x:v>I'm looking for Tees &amp; Blouses T-Shirts. Pull On closure</x:v>
      </x:c>
      <x:c r="N100" s="17" t="n">
        <x:v>3</x:v>
      </x:c>
      <x:c r="O100" s="17" t="str">
        <x:v>Pull On closure -&gt; polyester</x:v>
      </x:c>
    </x:row>
    <x:row r="101">
      <x:c r="A101" t="str">
        <x:v>public_0097</x:v>
      </x:c>
      <x:c r="B101" t="str">
        <x:v>buying</x:v>
      </x:c>
      <x:c r="C101" t="str">
        <x:v>easy</x:v>
      </x:c>
      <x:c r="D101" t="str">
        <x:v>clothing</x:v>
      </x:c>
      <x:c r="E101" t="str">
        <x:v>B0785RCKBT</x:v>
      </x:c>
      <x:c r="F101" s="75" t="n">
        <x:v>1</x:v>
      </x:c>
      <x:c r="G101" t="str">
        <x:v>critical</x:v>
      </x:c>
      <x:c r="H101" t="str">
        <x:v>3-4 prior purchases</x:v>
      </x:c>
      <x:c r="I101" s="17" t="str">
        <x:v>fit | comfort | material | durability</x:v>
      </x:c>
      <x:c r="J101" s="17" t="n">
        <x:v>4</x:v>
      </x:c>
      <x:c r="K101" s="17" t="str">
        <x:v>Leggings Depot Women's Flared Casual, Work, Lounge Palazzo Pants-Wide Leg</x:v>
      </x:c>
      <x:c r="L101" s="17" t="str">
        <x:v>Women Leggings</x:v>
      </x:c>
      <x:c r="M101" s="17" t="str">
        <x:v>I'm looking for Women Leggings. A key requirement is: polyester.</x:v>
      </x:c>
      <x:c r="N101" s="17" t="str"/>
      <x:c r="O101" s="17" t="str"/>
    </x:row>
    <x:row r="102">
      <x:c r="A102" t="str">
        <x:v>public_0098</x:v>
      </x:c>
      <x:c r="B102" t="str">
        <x:v>browsing</x:v>
      </x:c>
      <x:c r="C102" t="str">
        <x:v>medium</x:v>
      </x:c>
      <x:c r="D102" t="str">
        <x:v>clothing</x:v>
      </x:c>
      <x:c r="E102" t="str">
        <x:v>B08CZ34D75</x:v>
      </x:c>
      <x:c r="F102" s="75" t="n">
        <x:v>5</x:v>
      </x:c>
      <x:c r="G102" t="str">
        <x:v>usually positive</x:v>
      </x:c>
      <x:c r="H102" t="str">
        <x:v>3-4 prior purchases</x:v>
      </x:c>
      <x:c r="I102" s="17" t="str">
        <x:v>performance | comfort | style | material</x:v>
      </x:c>
      <x:c r="J102" s="17" t="n">
        <x:v>4</x:v>
      </x:c>
      <x:c r="K102" s="17" t="str">
        <x:v>adidas Men's Lite Racer Adapt 4.0 Running Shoe</x:v>
      </x:c>
      <x:c r="L102" s="17" t="str">
        <x:v>Running Road Running</x:v>
      </x:c>
      <x:c r="M102" s="17" t="str">
        <x:v>I'm looking for Running Road Running, but I'm still exploring.</x:v>
      </x:c>
      <x:c r="N102" s="17" t="str"/>
      <x:c r="O102" s="17" t="str"/>
    </x:row>
    <x:row r="103">
      <x:c r="A103" t="str">
        <x:v>public_0099</x:v>
      </x:c>
      <x:c r="B103" t="str">
        <x:v>browsing</x:v>
      </x:c>
      <x:c r="C103" t="str">
        <x:v>medium</x:v>
      </x:c>
      <x:c r="D103" t="str">
        <x:v>clothing</x:v>
      </x:c>
      <x:c r="E103" t="str">
        <x:v>B0971YMPCR</x:v>
      </x:c>
      <x:c r="F103" s="75" t="n">
        <x:v>4</x:v>
      </x:c>
      <x:c r="G103" t="str">
        <x:v>mixed</x:v>
      </x:c>
      <x:c r="H103" t="str">
        <x:v>3-4 prior purchases</x:v>
      </x:c>
      <x:c r="I103" s="17" t="str">
        <x:v>fit | comfort | material | durability</x:v>
      </x:c>
      <x:c r="J103" s="17" t="n">
        <x:v>4</x:v>
      </x:c>
      <x:c r="K103" s="17" t="str">
        <x:v>Core 10 Women's Super Soft Fleece Straight Leg Jogger Sweatpant</x:v>
      </x:c>
      <x:c r="L103" s="17" t="str">
        <x:v>Active Pants Sweatpants</x:v>
      </x:c>
      <x:c r="M103" s="17" t="str">
        <x:v>I'm looking for Active Pants Sweatpants, but I'm still exploring.</x:v>
      </x:c>
      <x:c r="N103" s="17" t="str"/>
      <x:c r="O103" s="17" t="str"/>
    </x:row>
    <x:row r="104">
      <x:c r="A104" t="str">
        <x:v>public_0100</x:v>
      </x:c>
      <x:c r="B104" t="str">
        <x:v>browsing</x:v>
      </x:c>
      <x:c r="C104" t="str">
        <x:v>medium</x:v>
      </x:c>
      <x:c r="D104" t="str">
        <x:v>clothing</x:v>
      </x:c>
      <x:c r="E104" t="str">
        <x:v>B002OHE4D6</x:v>
      </x:c>
      <x:c r="F104" s="75" t="n">
        <x:v>5</x:v>
      </x:c>
      <x:c r="G104" t="str">
        <x:v>usually positive</x:v>
      </x:c>
      <x:c r="H104" t="str">
        <x:v>3-4 prior purchases</x:v>
      </x:c>
      <x:c r="I104" s="17" t="str">
        <x:v>fit | comfort | material | performance</x:v>
      </x:c>
      <x:c r="J104" s="17" t="n">
        <x:v>4</x:v>
      </x:c>
      <x:c r="K104" s="17" t="str">
        <x:v>Dockers Proposal - Genuine Full-Grain Leather Slip-On Loafer Dress Shoes for Men Featuring All Motion Comfort Technology, EVA Sock Lining, and Durable Rubber Outsole</x:v>
      </x:c>
      <x:c r="L104" s="17" t="str">
        <x:v>Shoes Loafers &amp; Slip-Ons</x:v>
      </x:c>
      <x:c r="M104" s="17" t="str">
        <x:v>I'm looking for Shoes Loafers &amp; Slip-Ons, but I'm still exploring.</x:v>
      </x:c>
      <x:c r="N104" s="17" t="str"/>
      <x:c r="O104" s="17" t="str"/>
    </x:row>
    <x:row r="105">
      <x:c r="A105" t="str">
        <x:v>public_0101</x:v>
      </x:c>
      <x:c r="B105" t="str">
        <x:v>buying</x:v>
      </x:c>
      <x:c r="C105" t="str">
        <x:v>easy</x:v>
      </x:c>
      <x:c r="D105" t="str">
        <x:v>clothing</x:v>
      </x:c>
      <x:c r="E105" t="str">
        <x:v>B07QMS8TX8</x:v>
      </x:c>
      <x:c r="F105" s="75" t="n">
        <x:v>5</x:v>
      </x:c>
      <x:c r="G105" t="str">
        <x:v>usually positive</x:v>
      </x:c>
      <x:c r="H105" t="str">
        <x:v>3-4 prior purchases</x:v>
      </x:c>
      <x:c r="I105" s="17" t="str">
        <x:v>material | comfort | fit | durability</x:v>
      </x:c>
      <x:c r="J105" s="17" t="n">
        <x:v>4</x:v>
      </x:c>
      <x:c r="K105" s="17" t="str">
        <x:v>Medical Cargo Pants for Men Workwear Originals, Zipper Fly Scrubs for Men 4000</x:v>
      </x:c>
      <x:c r="L105" s="17" t="str">
        <x:v>Medical Scrub Bottoms</x:v>
      </x:c>
      <x:c r="M105" s="17" t="str">
        <x:v>I'm looking for Medical Scrub Bottoms. A key requirement is: polyester.</x:v>
      </x:c>
      <x:c r="N105" s="17" t="str"/>
      <x:c r="O105" s="17" t="str"/>
    </x:row>
    <x:row r="106">
      <x:c r="A106" t="str">
        <x:v>public_0102</x:v>
      </x:c>
      <x:c r="B106" t="str">
        <x:v>browsing</x:v>
      </x:c>
      <x:c r="C106" t="str">
        <x:v>medium</x:v>
      </x:c>
      <x:c r="D106" t="str">
        <x:v>clothing</x:v>
      </x:c>
      <x:c r="E106" t="str">
        <x:v>B07PWZXZVX</x:v>
      </x:c>
      <x:c r="F106" s="75" t="n">
        <x:v>2</x:v>
      </x:c>
      <x:c r="G106" t="str">
        <x:v>critical</x:v>
      </x:c>
      <x:c r="H106" t="str">
        <x:v>3-4 prior purchases</x:v>
      </x:c>
      <x:c r="I106" s="17" t="str">
        <x:v>comfort | style | fit | material</x:v>
      </x:c>
      <x:c r="J106" s="17" t="n">
        <x:v>4</x:v>
      </x:c>
      <x:c r="K106" s="17" t="str">
        <x:v>FallSweet Padded Push Up Lace Bras for 34A to 44C Underwire</x:v>
      </x:c>
      <x:c r="L106" s="17" t="str">
        <x:v>Bras Everyday Bras</x:v>
      </x:c>
      <x:c r="M106" s="17" t="str">
        <x:v>I'm looking for Bras Everyday Bras, but I'm still exploring.</x:v>
      </x:c>
      <x:c r="N106" s="17" t="str"/>
      <x:c r="O106" s="17" t="str"/>
    </x:row>
    <x:row r="107">
      <x:c r="A107" t="str">
        <x:v>public_0103</x:v>
      </x:c>
      <x:c r="B107" t="str">
        <x:v>intent_override</x:v>
      </x:c>
      <x:c r="C107" t="str">
        <x:v>hard</x:v>
      </x:c>
      <x:c r="D107" t="str">
        <x:v>clothing</x:v>
      </x:c>
      <x:c r="E107" t="str">
        <x:v>B0BT8T2FQ3</x:v>
      </x:c>
      <x:c r="F107" s="75" t="n">
        <x:v>1</x:v>
      </x:c>
      <x:c r="G107" t="str">
        <x:v>critical</x:v>
      </x:c>
      <x:c r="H107" t="str">
        <x:v>3-4 prior purchases</x:v>
      </x:c>
      <x:c r="I107" s="17" t="str">
        <x:v>material | comfort | fit | style</x:v>
      </x:c>
      <x:c r="J107" s="17" t="n">
        <x:v>4</x:v>
      </x:c>
      <x:c r="K107" s="17" t="str">
        <x:v>Fruit of the Loom Men's Eversoft Cotton Stay Tucked Crew T-Shirt</x:v>
      </x:c>
      <x:c r="L107" s="17" t="str">
        <x:v>Underwear Undershirts</x:v>
      </x:c>
      <x:c r="M107" s="17" t="str">
        <x:v>I'm looking for Underwear Undershirts. Imported</x:v>
      </x:c>
      <x:c r="N107" s="17" t="n">
        <x:v>4</x:v>
      </x:c>
      <x:c r="O107" s="17" t="str">
        <x:v>Imported -&gt; cotton</x:v>
      </x:c>
    </x:row>
    <x:row r="108">
      <x:c r="A108" t="str">
        <x:v>public_0104</x:v>
      </x:c>
      <x:c r="B108" t="str">
        <x:v>boundary</x:v>
      </x:c>
      <x:c r="C108" t="str">
        <x:v>medium</x:v>
      </x:c>
      <x:c r="D108" t="str">
        <x:v>clothing</x:v>
      </x:c>
      <x:c r="E108" t="str">
        <x:v>B00QSAICLU</x:v>
      </x:c>
      <x:c r="F108" s="75" t="n">
        <x:v>3</x:v>
      </x:c>
      <x:c r="G108" t="str">
        <x:v>critical</x:v>
      </x:c>
      <x:c r="H108" t="str">
        <x:v>3-4 prior purchases</x:v>
      </x:c>
      <x:c r="I108" s="17" t="str">
        <x:v>comfort | durability | fit | material</x:v>
      </x:c>
      <x:c r="J108" s="17" t="n">
        <x:v>4</x:v>
      </x:c>
      <x:c r="K108" s="17" t="str">
        <x:v>Black 1 Inch Wide Leather Like Headband Solid Hair band for Women and Girls</x:v>
      </x:c>
      <x:c r="L108" s="17" t="str">
        <x:v>Hats &amp; Caps Headbands</x:v>
      </x:c>
      <x:c r="M108" s="17" t="str">
        <x:v>I'm looking for Hats &amp; Caps Headbands, but I'm still exploring.</x:v>
      </x:c>
      <x:c r="N108" s="17" t="str"/>
      <x:c r="O108" s="17" t="str"/>
    </x:row>
    <x:row r="109">
      <x:c r="A109" t="str">
        <x:v>public_0105</x:v>
      </x:c>
      <x:c r="B109" t="str">
        <x:v>browsing</x:v>
      </x:c>
      <x:c r="C109" t="str">
        <x:v>medium</x:v>
      </x:c>
      <x:c r="D109" t="str">
        <x:v>clothing</x:v>
      </x:c>
      <x:c r="E109" t="str">
        <x:v>B07Q46M2J2</x:v>
      </x:c>
      <x:c r="F109" s="75" t="n">
        <x:v>5</x:v>
      </x:c>
      <x:c r="G109" t="str">
        <x:v>usually positive</x:v>
      </x:c>
      <x:c r="H109" t="str">
        <x:v>3-4 prior purchases</x:v>
      </x:c>
      <x:c r="I109" s="17" t="str">
        <x:v>comfort | weather | material | durability</x:v>
      </x:c>
      <x:c r="J109" s="17" t="n">
        <x:v>4</x:v>
      </x:c>
      <x:c r="K109" s="17" t="str">
        <x:v>IUGA High Waisted Yoga Pants for Women with Pockets Capri Leggings for Women Workout Leggings for Women Yoga Capris</x:v>
      </x:c>
      <x:c r="L109" s="17" t="str">
        <x:v>Women Leggings</x:v>
      </x:c>
      <x:c r="M109" s="17" t="str">
        <x:v>I'm looking for Women Leggings, but I'm still exploring.</x:v>
      </x:c>
      <x:c r="N109" s="17" t="str"/>
      <x:c r="O109" s="17" t="str"/>
    </x:row>
    <x:row r="110">
      <x:c r="A110" t="str">
        <x:v>public_0106</x:v>
      </x:c>
      <x:c r="B110" t="str">
        <x:v>buying</x:v>
      </x:c>
      <x:c r="C110" t="str">
        <x:v>easy</x:v>
      </x:c>
      <x:c r="D110" t="str">
        <x:v>clothing</x:v>
      </x:c>
      <x:c r="E110" t="str">
        <x:v>B0776SVXW9</x:v>
      </x:c>
      <x:c r="F110" s="75" t="n">
        <x:v>5</x:v>
      </x:c>
      <x:c r="G110" t="str">
        <x:v>usually positive</x:v>
      </x:c>
      <x:c r="H110" t="str">
        <x:v>3-4 prior purchases</x:v>
      </x:c>
      <x:c r="I110" s="17" t="str">
        <x:v>material | fit | style</x:v>
      </x:c>
      <x:c r="J110" s="17" t="n">
        <x:v>3</x:v>
      </x:c>
      <x:c r="K110" s="17" t="str">
        <x:v>Mens Socks Dress Cotton Socks Fashion Patterned Argyle Socks &amp;Formal Business Socks Classic Cotton Dress Casual Socks for Men</x:v>
      </x:c>
      <x:c r="L110" s="17" t="str">
        <x:v>Socks Calf Socks</x:v>
      </x:c>
      <x:c r="M110" s="17" t="str">
        <x:v>I'm looking for Socks Calf Socks. A key requirement is: cotton.</x:v>
      </x:c>
      <x:c r="N110" s="17" t="str"/>
      <x:c r="O110" s="17" t="str"/>
    </x:row>
    <x:row r="111">
      <x:c r="A111" t="str">
        <x:v>public_0107</x:v>
      </x:c>
      <x:c r="B111" t="str">
        <x:v>buying</x:v>
      </x:c>
      <x:c r="C111" t="str">
        <x:v>easy</x:v>
      </x:c>
      <x:c r="D111" t="str">
        <x:v>clothing</x:v>
      </x:c>
      <x:c r="E111" t="str">
        <x:v>B01KPFK9ZA</x:v>
      </x:c>
      <x:c r="F111" s="75" t="n">
        <x:v>2</x:v>
      </x:c>
      <x:c r="G111" t="str">
        <x:v>critical</x:v>
      </x:c>
      <x:c r="H111" t="str">
        <x:v>3-4 prior purchases</x:v>
      </x:c>
      <x:c r="I111" s="17" t="str">
        <x:v>material | fit</x:v>
      </x:c>
      <x:c r="J111" s="17" t="n">
        <x:v>2</x:v>
      </x:c>
      <x:c r="K111" s="17" t="str">
        <x:v>FASHION BOOMY Women's Zip Up Safari Military Anorak Jacket with Hood Drawstring - Regular and Plus Sizes</x:v>
      </x:c>
      <x:c r="L111" s="17" t="str">
        <x:v>Rain &amp; Anoraks Anoraks</x:v>
      </x:c>
      <x:c r="M111" s="17" t="str">
        <x:v>I'm looking for Rain &amp; Anoraks Anoraks. A key requirement is: cotton.</x:v>
      </x:c>
      <x:c r="N111" s="17" t="str"/>
      <x:c r="O111" s="17" t="str"/>
    </x:row>
    <x:row r="112">
      <x:c r="A112" t="str">
        <x:v>public_0108</x:v>
      </x:c>
      <x:c r="B112" t="str">
        <x:v>buying</x:v>
      </x:c>
      <x:c r="C112" t="str">
        <x:v>easy</x:v>
      </x:c>
      <x:c r="D112" t="str">
        <x:v>clothing</x:v>
      </x:c>
      <x:c r="E112" t="str">
        <x:v>B01I21CI7G</x:v>
      </x:c>
      <x:c r="F112" s="75" t="n">
        <x:v>5</x:v>
      </x:c>
      <x:c r="G112" t="str">
        <x:v>usually positive</x:v>
      </x:c>
      <x:c r="H112" t="str">
        <x:v>3-4 prior purchases</x:v>
      </x:c>
      <x:c r="I112" s="17" t="str">
        <x:v>material | comfort | fit | style</x:v>
      </x:c>
      <x:c r="J112" s="17" t="n">
        <x:v>4</x:v>
      </x:c>
      <x:c r="K112" s="17" t="str">
        <x:v>Hanes Women's Stretch Jersey Bike Shorts, Women’s Cotton Bike Shorts, Women’s Athletic Shorts, 7" Inseam</x:v>
      </x:c>
      <x:c r="L112" s="17" t="str">
        <x:v>Pants &amp; Shorts Shorts</x:v>
      </x:c>
      <x:c r="M112" s="17" t="str">
        <x:v>I'm looking for Pants &amp; Shorts Shorts. A key requirement is: cotton.</x:v>
      </x:c>
      <x:c r="N112" s="17" t="str"/>
      <x:c r="O112" s="17" t="str"/>
    </x:row>
    <x:row r="113">
      <x:c r="A113" t="str">
        <x:v>public_0109</x:v>
      </x:c>
      <x:c r="B113" t="str">
        <x:v>buying</x:v>
      </x:c>
      <x:c r="C113" t="str">
        <x:v>easy</x:v>
      </x:c>
      <x:c r="D113" t="str">
        <x:v>clothing</x:v>
      </x:c>
      <x:c r="E113" t="str">
        <x:v>B016OT9D3K</x:v>
      </x:c>
      <x:c r="F113" s="75" t="n">
        <x:v>5</x:v>
      </x:c>
      <x:c r="G113" t="str">
        <x:v>usually positive</x:v>
      </x:c>
      <x:c r="H113" t="str">
        <x:v>3-4 prior purchases</x:v>
      </x:c>
      <x:c r="I113" s="17" t="str">
        <x:v>material | fit</x:v>
      </x:c>
      <x:c r="J113" s="17" t="n">
        <x:v>2</x:v>
      </x:c>
      <x:c r="K113" s="17" t="str">
        <x:v>Hanes Men’s Short Sleeve Graphic T-shirt Collection</x:v>
      </x:c>
      <x:c r="L113" s="17" t="str">
        <x:v>Shirts T-Shirts</x:v>
      </x:c>
      <x:c r="M113" s="17" t="str">
        <x:v>I'm looking for Shirts T-Shirts. A key requirement is: fabric.</x:v>
      </x:c>
      <x:c r="N113" s="17" t="str"/>
      <x:c r="O113" s="17" t="str"/>
    </x:row>
    <x:row r="114">
      <x:c r="A114" t="str">
        <x:v>public_0110</x:v>
      </x:c>
      <x:c r="B114" t="str">
        <x:v>browsing</x:v>
      </x:c>
      <x:c r="C114" t="str">
        <x:v>medium</x:v>
      </x:c>
      <x:c r="D114" t="str">
        <x:v>clothing</x:v>
      </x:c>
      <x:c r="E114" t="str">
        <x:v>B0C277G9FW</x:v>
      </x:c>
      <x:c r="F114" s="75" t="n">
        <x:v>5</x:v>
      </x:c>
      <x:c r="G114" t="str">
        <x:v>usually positive</x:v>
      </x:c>
      <x:c r="H114" t="str">
        <x:v>3-4 prior purchases</x:v>
      </x:c>
      <x:c r="I114" s="17" t="str">
        <x:v>fit | comfort | style</x:v>
      </x:c>
      <x:c r="J114" s="17" t="n">
        <x:v>3</x:v>
      </x:c>
      <x:c r="K114" s="17" t="str">
        <x:v>Loritta 5 Pairs Womens Wool Socks Thick Knit Vintage Winter Warm Cozy Crew Socks Gifts</x:v>
      </x:c>
      <x:c r="L114" s="17" t="str">
        <x:v>Active Athletic Socks</x:v>
      </x:c>
      <x:c r="M114" s="17" t="str">
        <x:v>I'm looking for Active Athletic Socks, but I'm still exploring.</x:v>
      </x:c>
      <x:c r="N114" s="17" t="str"/>
      <x:c r="O114" s="17" t="str"/>
    </x:row>
    <x:row r="115">
      <x:c r="A115" t="str">
        <x:v>public_0111</x:v>
      </x:c>
      <x:c r="B115" t="str">
        <x:v>buying</x:v>
      </x:c>
      <x:c r="C115" t="str">
        <x:v>easy</x:v>
      </x:c>
      <x:c r="D115" t="str">
        <x:v>clothing</x:v>
      </x:c>
      <x:c r="E115" t="str">
        <x:v>B07H7BWMQF</x:v>
      </x:c>
      <x:c r="F115" s="75" t="n">
        <x:v>5</x:v>
      </x:c>
      <x:c r="G115" t="str">
        <x:v>usually positive</x:v>
      </x:c>
      <x:c r="H115" t="str">
        <x:v>3-4 prior purchases</x:v>
      </x:c>
      <x:c r="I115" s="17" t="str">
        <x:v>style | durability | material</x:v>
      </x:c>
      <x:c r="J115" s="17" t="n">
        <x:v>3</x:v>
      </x:c>
      <x:c r="K115" s="17" t="str">
        <x:v>Lacozy Women's Off Shoulder Long Sleeve Oversized Pullover Sweater Knit Jumper Loose Tunic Tops</x:v>
      </x:c>
      <x:c r="L115" s="17" t="str">
        <x:v>Sweaters Pullovers</x:v>
      </x:c>
      <x:c r="M115" s="17" t="str">
        <x:v>I'm looking for Sweaters Pullovers. A key requirement is: polyester.</x:v>
      </x:c>
      <x:c r="N115" s="17" t="str"/>
      <x:c r="O115" s="17" t="str"/>
    </x:row>
    <x:row r="116">
      <x:c r="A116" t="str">
        <x:v>public_0112</x:v>
      </x:c>
      <x:c r="B116" t="str">
        <x:v>boundary</x:v>
      </x:c>
      <x:c r="C116" t="str">
        <x:v>medium</x:v>
      </x:c>
      <x:c r="D116" t="str">
        <x:v>clothing</x:v>
      </x:c>
      <x:c r="E116" t="str">
        <x:v>B086ZNJY8K</x:v>
      </x:c>
      <x:c r="F116" s="75" t="n">
        <x:v>4</x:v>
      </x:c>
      <x:c r="G116" t="str">
        <x:v>mixed</x:v>
      </x:c>
      <x:c r="H116" t="str">
        <x:v>3-4 prior purchases</x:v>
      </x:c>
      <x:c r="I116" s="17" t="str">
        <x:v>warmth | weather | comfort | performance</x:v>
      </x:c>
      <x:c r="J116" s="17" t="n">
        <x:v>4</x:v>
      </x:c>
      <x:c r="K116" s="17" t="str">
        <x:v>Nautica Men's Casual Slip-On Fashion Sneakers-Walking Shoes-Lightweight Joggers</x:v>
      </x:c>
      <x:c r="L116" s="17" t="str">
        <x:v>Athletic Walking</x:v>
      </x:c>
      <x:c r="M116" s="17" t="str">
        <x:v>I'm looking for Athletic Walking, but I'm still exploring.</x:v>
      </x:c>
      <x:c r="N116" s="17" t="str"/>
      <x:c r="O116" s="17" t="str"/>
    </x:row>
    <x:row r="117">
      <x:c r="A117" t="str">
        <x:v>public_0113</x:v>
      </x:c>
      <x:c r="B117" t="str">
        <x:v>browsing</x:v>
      </x:c>
      <x:c r="C117" t="str">
        <x:v>medium</x:v>
      </x:c>
      <x:c r="D117" t="str">
        <x:v>clothing</x:v>
      </x:c>
      <x:c r="E117" t="str">
        <x:v>B08CTFPBN5</x:v>
      </x:c>
      <x:c r="F117" s="75" t="n">
        <x:v>5</x:v>
      </x:c>
      <x:c r="G117" t="str">
        <x:v>usually positive</x:v>
      </x:c>
      <x:c r="H117" t="str">
        <x:v>3-4 prior purchases</x:v>
      </x:c>
      <x:c r="I117" s="17" t="str">
        <x:v>material | fit</x:v>
      </x:c>
      <x:c r="J117" s="17" t="n">
        <x:v>2</x:v>
      </x:c>
      <x:c r="K117" s="17" t="str">
        <x:v>RockDove Women's Nomad Slipper with Memory Foam</x:v>
      </x:c>
      <x:c r="L117" s="17" t="str">
        <x:v>Shoes Slippers</x:v>
      </x:c>
      <x:c r="M117" s="17" t="str">
        <x:v>I'm looking for Shoes Slippers, but I'm still exploring.</x:v>
      </x:c>
      <x:c r="N117" s="17" t="str"/>
      <x:c r="O117" s="17" t="str"/>
    </x:row>
    <x:row r="118">
      <x:c r="A118" t="str">
        <x:v>public_0114</x:v>
      </x:c>
      <x:c r="B118" t="str">
        <x:v>buying</x:v>
      </x:c>
      <x:c r="C118" t="str">
        <x:v>easy</x:v>
      </x:c>
      <x:c r="D118" t="str">
        <x:v>clothing</x:v>
      </x:c>
      <x:c r="E118" t="str">
        <x:v>B07H34Z5V6</x:v>
      </x:c>
      <x:c r="F118" s="75" t="n">
        <x:v>5</x:v>
      </x:c>
      <x:c r="G118" t="str">
        <x:v>usually positive</x:v>
      </x:c>
      <x:c r="H118" t="str">
        <x:v>3-4 prior purchases</x:v>
      </x:c>
      <x:c r="I118" s="17" t="str">
        <x:v>fit | style | comfort | material</x:v>
      </x:c>
      <x:c r="J118" s="17" t="n">
        <x:v>4</x:v>
      </x:c>
      <x:c r="K118" s="17" t="str">
        <x:v>Athlefit Women's Wedge Sneakers Hidden Heel Platform Wedge Booties Hidden Wedgie Sneakers</x:v>
      </x:c>
      <x:c r="L118" s="17" t="str">
        <x:v>Shoes Fashion Sneakers</x:v>
      </x:c>
      <x:c r="M118" s="17" t="str">
        <x:v>I'm looking for Shoes Fashion Sneakers. A key requirement is: Rubber sole.</x:v>
      </x:c>
      <x:c r="N118" s="17" t="str"/>
      <x:c r="O118" s="17" t="str"/>
    </x:row>
    <x:row r="119">
      <x:c r="A119" t="str">
        <x:v>public_0115</x:v>
      </x:c>
      <x:c r="B119" t="str">
        <x:v>browsing</x:v>
      </x:c>
      <x:c r="C119" t="str">
        <x:v>medium</x:v>
      </x:c>
      <x:c r="D119" t="str">
        <x:v>clothing</x:v>
      </x:c>
      <x:c r="E119" t="str">
        <x:v>B08VWZBYPY</x:v>
      </x:c>
      <x:c r="F119" s="75" t="n">
        <x:v>5</x:v>
      </x:c>
      <x:c r="G119" t="str">
        <x:v>usually positive</x:v>
      </x:c>
      <x:c r="H119" t="str">
        <x:v>3-4 prior purchases</x:v>
      </x:c>
      <x:c r="I119" s="17" t="str">
        <x:v>comfort | fit | durability | style</x:v>
      </x:c>
      <x:c r="J119" s="17" t="n">
        <x:v>4</x:v>
      </x:c>
      <x:c r="K119" s="17" t="str">
        <x:v>PrinStory Womens Sleepwear Short Sleeve Nightgown Soft Sleepshirt Pleated Nightshirt Scoopneck Casual Loungewear</x:v>
      </x:c>
      <x:c r="L119" s="17" t="str">
        <x:v>Sleep &amp; Lounge Nightgowns &amp; Sleepshirts</x:v>
      </x:c>
      <x:c r="M119" s="17" t="str">
        <x:v>I'm looking for Sleep &amp; Lounge Nightgowns &amp; Sleepshirts, but I'm still exploring.</x:v>
      </x:c>
      <x:c r="N119" s="17" t="str"/>
      <x:c r="O119" s="17" t="str"/>
    </x:row>
    <x:row r="120">
      <x:c r="A120" t="str">
        <x:v>public_0116</x:v>
      </x:c>
      <x:c r="B120" t="str">
        <x:v>buying</x:v>
      </x:c>
      <x:c r="C120" t="str">
        <x:v>easy</x:v>
      </x:c>
      <x:c r="D120" t="str">
        <x:v>clothing</x:v>
      </x:c>
      <x:c r="E120" t="str">
        <x:v>B07S2Y3THP</x:v>
      </x:c>
      <x:c r="F120" s="75" t="n">
        <x:v>5</x:v>
      </x:c>
      <x:c r="G120" t="str">
        <x:v>usually positive</x:v>
      </x:c>
      <x:c r="H120" t="str">
        <x:v>3-4 prior purchases</x:v>
      </x:c>
      <x:c r="I120" s="17" t="str">
        <x:v>material | comfort</x:v>
      </x:c>
      <x:c r="J120" s="17" t="n">
        <x:v>2</x:v>
      </x:c>
      <x:c r="K120" s="17" t="str">
        <x:v>Lugz Men's Clipper Sneaker</x:v>
      </x:c>
      <x:c r="L120" s="17" t="str">
        <x:v>Shoes Fashion Sneakers</x:v>
      </x:c>
      <x:c r="M120" s="17" t="str">
        <x:v>I'm looking for Shoes Fashion Sneakers. A key requirement is: 100% Canvas.</x:v>
      </x:c>
      <x:c r="N120" s="17" t="str"/>
      <x:c r="O120" s="17" t="str"/>
    </x:row>
    <x:row r="121">
      <x:c r="A121" t="str">
        <x:v>public_0117</x:v>
      </x:c>
      <x:c r="B121" t="str">
        <x:v>buying</x:v>
      </x:c>
      <x:c r="C121" t="str">
        <x:v>easy</x:v>
      </x:c>
      <x:c r="D121" t="str">
        <x:v>clothing</x:v>
      </x:c>
      <x:c r="E121" t="str">
        <x:v>B07HJ18QRQ</x:v>
      </x:c>
      <x:c r="F121" s="75" t="n">
        <x:v>5</x:v>
      </x:c>
      <x:c r="G121" t="str">
        <x:v>usually positive</x:v>
      </x:c>
      <x:c r="H121" t="str">
        <x:v>3-4 prior purchases</x:v>
      </x:c>
      <x:c r="I121" s="17" t="str">
        <x:v>style | comfort | durability</x:v>
      </x:c>
      <x:c r="J121" s="17" t="n">
        <x:v>3</x:v>
      </x:c>
      <x:c r="K121" s="17" t="str">
        <x:v>Vionic Sadie Women's Adjustable Strap Orthotic Slippers</x:v>
      </x:c>
      <x:c r="L121" s="17" t="str">
        <x:v>Shoes Slippers</x:v>
      </x:c>
      <x:c r="M121" s="17" t="str">
        <x:v>I'm looking for Shoes Slippers. A key requirement is: Synthetic Rubber sole.</x:v>
      </x:c>
      <x:c r="N121" s="17" t="str"/>
      <x:c r="O121" s="17" t="str"/>
    </x:row>
    <x:row r="122">
      <x:c r="A122" t="str">
        <x:v>public_0118</x:v>
      </x:c>
      <x:c r="B122" t="str">
        <x:v>buying</x:v>
      </x:c>
      <x:c r="C122" t="str">
        <x:v>easy</x:v>
      </x:c>
      <x:c r="D122" t="str">
        <x:v>clothing</x:v>
      </x:c>
      <x:c r="E122" t="str">
        <x:v>B09M72C8PG</x:v>
      </x:c>
      <x:c r="F122" s="75" t="n">
        <x:v>3</x:v>
      </x:c>
      <x:c r="G122" t="str">
        <x:v>critical</x:v>
      </x:c>
      <x:c r="H122" t="str">
        <x:v>3-4 prior purchases</x:v>
      </x:c>
      <x:c r="I122" s="17" t="str">
        <x:v>comfort | fit | material | style</x:v>
      </x:c>
      <x:c r="J122" s="17" t="n">
        <x:v>4</x:v>
      </x:c>
      <x:c r="K122" s="17" t="str">
        <x:v>Angerella Women Vintage Polka Dot High Waisted Bathing Suits Bikini Set</x:v>
      </x:c>
      <x:c r="L122" s="17" t="str">
        <x:v>Bikinis Sets</x:v>
      </x:c>
      <x:c r="M122" s="17" t="str">
        <x:v>I'm looking for Bikinis Sets. A key requirement is: nylon.</x:v>
      </x:c>
      <x:c r="N122" s="17" t="str"/>
      <x:c r="O122" s="17" t="str"/>
    </x:row>
    <x:row r="123">
      <x:c r="A123" t="str">
        <x:v>public_0119</x:v>
      </x:c>
      <x:c r="B123" t="str">
        <x:v>buying</x:v>
      </x:c>
      <x:c r="C123" t="str">
        <x:v>easy</x:v>
      </x:c>
      <x:c r="D123" t="str">
        <x:v>clothing</x:v>
      </x:c>
      <x:c r="E123" t="str">
        <x:v>B0BBLR3QB2</x:v>
      </x:c>
      <x:c r="F123" s="75" t="n">
        <x:v>5</x:v>
      </x:c>
      <x:c r="G123" t="str">
        <x:v>usually positive</x:v>
      </x:c>
      <x:c r="H123" t="str">
        <x:v>3-4 prior purchases</x:v>
      </x:c>
      <x:c r="I123" s="17" t="str">
        <x:v>comfort | fit | style</x:v>
      </x:c>
      <x:c r="J123" s="17" t="n">
        <x:v>3</x:v>
      </x:c>
      <x:c r="K123" s="17" t="str">
        <x:v>MIFORINES Ladies Summer Jelly Pillow-shaped Top Handle Handbag Candy Color Transparent Crystal Purse</x:v>
      </x:c>
      <x:c r="L123" s="17" t="str">
        <x:v>Handbags &amp; Wallets Top-Handle Bags</x:v>
      </x:c>
      <x:c r="M123" s="17" t="str">
        <x:v>I'm looking for Handbags &amp; Wallets Top-Handle Bags. A key requirement is: Pvc,Resin.</x:v>
      </x:c>
      <x:c r="N123" s="17" t="str"/>
      <x:c r="O123" s="17" t="str"/>
    </x:row>
    <x:row r="124">
      <x:c r="A124" t="str">
        <x:v>public_0120</x:v>
      </x:c>
      <x:c r="B124" t="str">
        <x:v>browsing</x:v>
      </x:c>
      <x:c r="C124" t="str">
        <x:v>medium</x:v>
      </x:c>
      <x:c r="D124" t="str">
        <x:v>clothing</x:v>
      </x:c>
      <x:c r="E124" t="str">
        <x:v>B08GPGX2QG</x:v>
      </x:c>
      <x:c r="F124" s="75" t="n">
        <x:v>5</x:v>
      </x:c>
      <x:c r="G124" t="str">
        <x:v>usually positive</x:v>
      </x:c>
      <x:c r="H124" t="str">
        <x:v>3-4 prior purchases</x:v>
      </x:c>
      <x:c r="I124" s="17" t="str">
        <x:v>comfort</x:v>
      </x:c>
      <x:c r="J124" s="17" t="n">
        <x:v>1</x:v>
      </x:c>
      <x:c r="K124" s="17" t="str">
        <x:v>SENDEFN Wallets for Women Genuine Leather Credit Card Holder with RFID Blocking Large Capacity Wristlet</x:v>
      </x:c>
      <x:c r="L124" s="17" t="str">
        <x:v>Card Cases &amp; Money Organizers Wallets</x:v>
      </x:c>
      <x:c r="M124" s="17" t="str">
        <x:v>I'm looking for Card Cases &amp; Money Organizers Wallets, but I'm still exploring.</x:v>
      </x:c>
      <x:c r="N124" s="17" t="str"/>
      <x:c r="O124" s="17" t="str"/>
    </x:row>
    <x:row r="125">
      <x:c r="A125" t="str">
        <x:v>public_0121</x:v>
      </x:c>
      <x:c r="B125" t="str">
        <x:v>browsing</x:v>
      </x:c>
      <x:c r="C125" t="str">
        <x:v>medium</x:v>
      </x:c>
      <x:c r="D125" t="str">
        <x:v>clothing</x:v>
      </x:c>
      <x:c r="E125" t="str">
        <x:v>B08HS712ZB</x:v>
      </x:c>
      <x:c r="F125" s="75" t="n">
        <x:v>5</x:v>
      </x:c>
      <x:c r="G125" t="str">
        <x:v>usually positive</x:v>
      </x:c>
      <x:c r="H125" t="str">
        <x:v>3-4 prior purchases</x:v>
      </x:c>
      <x:c r="I125" s="17" t="str">
        <x:v>material | fit</x:v>
      </x:c>
      <x:c r="J125" s="17" t="n">
        <x:v>2</x:v>
      </x:c>
      <x:c r="K125" s="17" t="str">
        <x:v>Duufin 5 Pcs Lace Bralettes for Women Bralette Padded Lace Bandeau Bra</x:v>
      </x:c>
      <x:c r="L125" s="17" t="str">
        <x:v>Bras Everyday Bras</x:v>
      </x:c>
      <x:c r="M125" s="17" t="str">
        <x:v>I'm looking for Bras Everyday Bras, but I'm still exploring.</x:v>
      </x:c>
      <x:c r="N125" s="17" t="str"/>
      <x:c r="O125" s="17" t="str"/>
    </x:row>
    <x:row r="126">
      <x:c r="A126" t="str">
        <x:v>public_0122</x:v>
      </x:c>
      <x:c r="B126" t="str">
        <x:v>browsing</x:v>
      </x:c>
      <x:c r="C126" t="str">
        <x:v>medium</x:v>
      </x:c>
      <x:c r="D126" t="str">
        <x:v>clothing</x:v>
      </x:c>
      <x:c r="E126" t="str">
        <x:v>B074KJ49F2</x:v>
      </x:c>
      <x:c r="F126" s="75" t="n">
        <x:v>5</x:v>
      </x:c>
      <x:c r="G126" t="str">
        <x:v>usually positive</x:v>
      </x:c>
      <x:c r="H126" t="str">
        <x:v>3-4 prior purchases</x:v>
      </x:c>
      <x:c r="I126" s="17" t="str">
        <x:v>fit | comfort | style | material</x:v>
      </x:c>
      <x:c r="J126" s="17" t="n">
        <x:v>4</x:v>
      </x:c>
      <x:c r="K126" s="17" t="str">
        <x:v>Leggings Depot Premium Quality Women's Cotton Blend Stretch Pull-on Jeggings with Pockets</x:v>
      </x:c>
      <x:c r="L126" s="17" t="str">
        <x:v>Women Leggings</x:v>
      </x:c>
      <x:c r="M126" s="17" t="str">
        <x:v>I'm looking for Women Leggings, but I'm still exploring.</x:v>
      </x:c>
      <x:c r="N126" s="17" t="str"/>
      <x:c r="O126" s="17" t="str"/>
    </x:row>
    <x:row r="127">
      <x:c r="A127" t="str">
        <x:v>public_0123</x:v>
      </x:c>
      <x:c r="B127" t="str">
        <x:v>intent_override</x:v>
      </x:c>
      <x:c r="C127" t="str">
        <x:v>hard</x:v>
      </x:c>
      <x:c r="D127" t="str">
        <x:v>clothing</x:v>
      </x:c>
      <x:c r="E127" t="str">
        <x:v>B07CZ84YFJ</x:v>
      </x:c>
      <x:c r="F127" s="75" t="n">
        <x:v>3</x:v>
      </x:c>
      <x:c r="G127" t="str">
        <x:v>critical</x:v>
      </x:c>
      <x:c r="H127" t="str">
        <x:v>3-4 prior purchases</x:v>
      </x:c>
      <x:c r="I127" s="17" t="str">
        <x:v>style | fit | material | comfort</x:v>
      </x:c>
      <x:c r="J127" s="17" t="n">
        <x:v>4</x:v>
      </x:c>
      <x:c r="K127" s="17" t="str">
        <x:v>Lanzom Womens Classic Wide Brim Floppy Panama Hat Belt Buckle Wool Fedora Hat</x:v>
      </x:c>
      <x:c r="L127" s="17" t="str">
        <x:v>Hats &amp; Caps Fedoras</x:v>
      </x:c>
      <x:c r="M127" s="17" t="str">
        <x:v>I'm looking for Hats &amp; Caps Fedoras. Buckle closure</x:v>
      </x:c>
      <x:c r="N127" s="17" t="n">
        <x:v>3</x:v>
      </x:c>
      <x:c r="O127" s="17" t="str">
        <x:v>Buckle closure -&gt; wool</x:v>
      </x:c>
    </x:row>
    <x:row r="128">
      <x:c r="A128" t="str">
        <x:v>public_0124</x:v>
      </x:c>
      <x:c r="B128" t="str">
        <x:v>buying</x:v>
      </x:c>
      <x:c r="C128" t="str">
        <x:v>easy</x:v>
      </x:c>
      <x:c r="D128" t="str">
        <x:v>clothing</x:v>
      </x:c>
      <x:c r="E128" t="str">
        <x:v>B07TN1845M</x:v>
      </x:c>
      <x:c r="F128" s="75" t="n">
        <x:v>3</x:v>
      </x:c>
      <x:c r="G128" t="str">
        <x:v>critical</x:v>
      </x:c>
      <x:c r="H128" t="str">
        <x:v>3-4 prior purchases</x:v>
      </x:c>
      <x:c r="I128" s="17" t="str">
        <x:v>fit | weather | durability | comfort</x:v>
      </x:c>
      <x:c r="J128" s="17" t="n">
        <x:v>4</x:v>
      </x:c>
      <x:c r="K128" s="17" t="str">
        <x:v>Arctic Air Adjustable Sports Cap, Beige, Hat</x:v>
      </x:c>
      <x:c r="L128" s="17" t="str">
        <x:v>Hats &amp; Caps Baseball Caps</x:v>
      </x:c>
      <x:c r="M128" s="17" t="str">
        <x:v>I'm looking for Hats &amp; Caps Baseball Caps. A key requirement is: polyester.</x:v>
      </x:c>
      <x:c r="N128" s="17" t="str"/>
      <x:c r="O128" s="17" t="str"/>
    </x:row>
    <x:row r="129">
      <x:c r="A129" t="str">
        <x:v>public_0125</x:v>
      </x:c>
      <x:c r="B129" t="str">
        <x:v>intent_override</x:v>
      </x:c>
      <x:c r="C129" t="str">
        <x:v>hard</x:v>
      </x:c>
      <x:c r="D129" t="str">
        <x:v>clothing</x:v>
      </x:c>
      <x:c r="E129" t="str">
        <x:v>B07VCYFB5D</x:v>
      </x:c>
      <x:c r="F129" s="75" t="n">
        <x:v>5</x:v>
      </x:c>
      <x:c r="G129" t="str">
        <x:v>usually positive</x:v>
      </x:c>
      <x:c r="H129" t="str">
        <x:v>3-4 prior purchases</x:v>
      </x:c>
      <x:c r="I129" s="17" t="str">
        <x:v>material | fit</x:v>
      </x:c>
      <x:c r="J129" s="17" t="n">
        <x:v>2</x:v>
      </x:c>
      <x:c r="K129" s="17" t="str">
        <x:v>Baseball Cap Custom Personalized Text Dad Hats for Men &amp; Women Strap Closure</x:v>
      </x:c>
      <x:c r="L129" s="17" t="str">
        <x:v>Hats &amp; Caps Baseball Caps</x:v>
      </x:c>
      <x:c r="M129" s="17" t="str">
        <x:v>I'm looking for Hats &amp; Caps Baseball Caps. HOOK &amp; LOOP CLOSURE: Our hats for women and men feature a strap closure in the back letting you easily adjust the size for a perfect fit</x:v>
      </x:c>
      <x:c r="N129" s="17" t="n">
        <x:v>4</x:v>
      </x:c>
      <x:c r="O129" s="17" t="str">
        <x:v>HOOK &amp; LOOP CLOSURE: Our hats for women and men feature a strap closure in the back letting you easily adjust the size for a perfect fit -&gt; 100% Acrylic</x:v>
      </x:c>
    </x:row>
    <x:row r="130">
      <x:c r="A130" t="str">
        <x:v>public_0126</x:v>
      </x:c>
      <x:c r="B130" t="str">
        <x:v>browsing</x:v>
      </x:c>
      <x:c r="C130" t="str">
        <x:v>medium</x:v>
      </x:c>
      <x:c r="D130" t="str">
        <x:v>clothing</x:v>
      </x:c>
      <x:c r="E130" t="str">
        <x:v>B09M84R91V</x:v>
      </x:c>
      <x:c r="F130" s="75" t="n">
        <x:v>5</x:v>
      </x:c>
      <x:c r="G130" t="str">
        <x:v>usually positive</x:v>
      </x:c>
      <x:c r="H130" t="str">
        <x:v>3-4 prior purchases</x:v>
      </x:c>
      <x:c r="I130" s="17" t="str">
        <x:v>material | fit</x:v>
      </x:c>
      <x:c r="J130" s="17" t="n">
        <x:v>2</x:v>
      </x:c>
      <x:c r="K130" s="17" t="str">
        <x:v>Asvivid Womens Casual Boho Floral Print 3/4 Flare Sleeve Blouses Summer Off The Shoulder Tops Tie Knot Shirts</x:v>
      </x:c>
      <x:c r="L130" s="17" t="str">
        <x:v>Tees &amp; Blouses Blouses &amp; Button-Down Shirts</x:v>
      </x:c>
      <x:c r="M130" s="17" t="str">
        <x:v>I'm looking for Tees &amp; Blouses Blouses &amp; Button-Down Shirts, but I'm still exploring.</x:v>
      </x:c>
      <x:c r="N130" s="17" t="str"/>
      <x:c r="O130" s="17" t="str"/>
    </x:row>
    <x:row r="131">
      <x:c r="A131" t="str">
        <x:v>public_0127</x:v>
      </x:c>
      <x:c r="B131" t="str">
        <x:v>browsing</x:v>
      </x:c>
      <x:c r="C131" t="str">
        <x:v>medium</x:v>
      </x:c>
      <x:c r="D131" t="str">
        <x:v>clothing</x:v>
      </x:c>
      <x:c r="E131" t="str">
        <x:v>B0B8DX189T</x:v>
      </x:c>
      <x:c r="F131" s="75" t="n">
        <x:v>4</x:v>
      </x:c>
      <x:c r="G131" t="str">
        <x:v>mixed</x:v>
      </x:c>
      <x:c r="H131" t="str">
        <x:v>3-4 prior purchases</x:v>
      </x:c>
      <x:c r="I131" s="17" t="str">
        <x:v>material | fit | comfort | warmth</x:v>
      </x:c>
      <x:c r="J131" s="17" t="n">
        <x:v>4</x:v>
      </x:c>
      <x:c r="K131" s="17" t="str">
        <x:v>Under Armour Storm Fleece Gloves</x:v>
      </x:c>
      <x:c r="L131" s="17" t="str">
        <x:v>Gloves &amp; Mittens Cold Weather Gloves</x:v>
      </x:c>
      <x:c r="M131" s="17" t="str">
        <x:v>I'm looking for Gloves &amp; Mittens Cold Weather Gloves, but I'm still exploring.</x:v>
      </x:c>
      <x:c r="N131" s="17" t="str"/>
      <x:c r="O131" s="17" t="str"/>
    </x:row>
    <x:row r="132">
      <x:c r="A132" t="str">
        <x:v>public_0128</x:v>
      </x:c>
      <x:c r="B132" t="str">
        <x:v>browsing</x:v>
      </x:c>
      <x:c r="C132" t="str">
        <x:v>medium</x:v>
      </x:c>
      <x:c r="D132" t="str">
        <x:v>clothing</x:v>
      </x:c>
      <x:c r="E132" t="str">
        <x:v>B0BNP1RZ2W</x:v>
      </x:c>
      <x:c r="F132" s="75" t="n">
        <x:v>5</x:v>
      </x:c>
      <x:c r="G132" t="str">
        <x:v>usually positive</x:v>
      </x:c>
      <x:c r="H132" t="str">
        <x:v>3-4 prior purchases</x:v>
      </x:c>
      <x:c r="I132" s="17" t="str">
        <x:v>material | fit</x:v>
      </x:c>
      <x:c r="J132" s="17" t="n">
        <x:v>2</x:v>
      </x:c>
      <x:c r="K132" s="17" t="str">
        <x:v>PAVOI 14K Gold Plated Lightweight Chunky Open Hoops | Gold Hoop Earrings for Women</x:v>
      </x:c>
      <x:c r="L132" s="17" t="str">
        <x:v>Earrings Hoop</x:v>
      </x:c>
      <x:c r="M132" s="17" t="str">
        <x:v>I'm looking for Earrings Hoop, but I'm still exploring.</x:v>
      </x:c>
      <x:c r="N132" s="17" t="str"/>
      <x:c r="O132" s="17" t="str"/>
    </x:row>
    <x:row r="133">
      <x:c r="A133" t="str">
        <x:v>public_0129</x:v>
      </x:c>
      <x:c r="B133" t="str">
        <x:v>buying</x:v>
      </x:c>
      <x:c r="C133" t="str">
        <x:v>easy</x:v>
      </x:c>
      <x:c r="D133" t="str">
        <x:v>clothing</x:v>
      </x:c>
      <x:c r="E133" t="str">
        <x:v>B0936ZJJ68</x:v>
      </x:c>
      <x:c r="F133" s="75" t="n">
        <x:v>5</x:v>
      </x:c>
      <x:c r="G133" t="str">
        <x:v>usually positive</x:v>
      </x:c>
      <x:c r="H133" t="str">
        <x:v>3-4 prior purchases</x:v>
      </x:c>
      <x:c r="I133" s="17" t="str">
        <x:v>fit | material</x:v>
      </x:c>
      <x:c r="J133" s="17" t="n">
        <x:v>2</x:v>
      </x:c>
      <x:c r="K133" s="17" t="str">
        <x:v>MANGOPOP Women's Square Neck Short Sleeve Long Sleeve Tops Bodysuit Jumpsuit</x:v>
      </x:c>
      <x:c r="L133" s="17" t="str">
        <x:v>Women Bodysuits</x:v>
      </x:c>
      <x:c r="M133" s="17" t="str">
        <x:v>I'm looking for Women Bodysuits. A key requirement is: fabric.</x:v>
      </x:c>
      <x:c r="N133" s="17" t="str"/>
      <x:c r="O133" s="17" t="str"/>
    </x:row>
    <x:row r="134">
      <x:c r="A134" t="str">
        <x:v>public_0130</x:v>
      </x:c>
      <x:c r="B134" t="str">
        <x:v>intent_override</x:v>
      </x:c>
      <x:c r="C134" t="str">
        <x:v>hard</x:v>
      </x:c>
      <x:c r="D134" t="str">
        <x:v>clothing</x:v>
      </x:c>
      <x:c r="E134" t="str">
        <x:v>B07X9V6HZX</x:v>
      </x:c>
      <x:c r="F134" s="75" t="n">
        <x:v>3</x:v>
      </x:c>
      <x:c r="G134" t="str">
        <x:v>critical</x:v>
      </x:c>
      <x:c r="H134" t="str">
        <x:v>3-4 prior purchases</x:v>
      </x:c>
      <x:c r="I134" s="17" t="str">
        <x:v>material | fit</x:v>
      </x:c>
      <x:c r="J134" s="17" t="n">
        <x:v>2</x:v>
      </x:c>
      <x:c r="K134" s="17" t="str">
        <x:v>POKARLA Women's High Waisted Cotton Underwear Soft Breathable Panties Stretch Briefs Regular &amp; Plus Size 5-Pack</x:v>
      </x:c>
      <x:c r="L134" s="17" t="str">
        <x:v>Panties Briefs</x:v>
      </x:c>
      <x:c r="M134" s="17" t="str">
        <x:v>I'm looking for Panties Briefs. Hand Wash or Machine Wash with laundry bag (30°C Max)</x:v>
      </x:c>
      <x:c r="N134" s="17" t="n">
        <x:v>3</x:v>
      </x:c>
      <x:c r="O134" s="17" t="str">
        <x:v>Hand Wash or Machine Wash with laundry bag (30°C Max) -&gt; cotton</x:v>
      </x:c>
    </x:row>
    <x:row r="135">
      <x:c r="A135" t="str">
        <x:v>public_0131</x:v>
      </x:c>
      <x:c r="B135" t="str">
        <x:v>boundary</x:v>
      </x:c>
      <x:c r="C135" t="str">
        <x:v>medium</x:v>
      </x:c>
      <x:c r="D135" t="str">
        <x:v>clothing</x:v>
      </x:c>
      <x:c r="E135" t="str">
        <x:v>B07PQQQ8ZL</x:v>
      </x:c>
      <x:c r="F135" s="75" t="n">
        <x:v>5</x:v>
      </x:c>
      <x:c r="G135" t="str">
        <x:v>usually positive</x:v>
      </x:c>
      <x:c r="H135" t="str">
        <x:v>3-4 prior purchases</x:v>
      </x:c>
      <x:c r="I135" s="17" t="str">
        <x:v>weather | comfort | style</x:v>
      </x:c>
      <x:c r="J135" s="17" t="n">
        <x:v>3</x:v>
      </x:c>
      <x:c r="K135" s="17" t="str">
        <x:v>Women Thigh High Socks Extra Long Cotton Knit Warm Thick Tall Long Boot Stockings Leg Warmers</x:v>
      </x:c>
      <x:c r="L135" s="17" t="str">
        <x:v>Socks &amp; Hosiery Leg Warmers</x:v>
      </x:c>
      <x:c r="M135" s="17" t="str">
        <x:v>I'm looking for Socks &amp; Hosiery Leg Warmers, but I'm still exploring.</x:v>
      </x:c>
      <x:c r="N135" s="17" t="str"/>
      <x:c r="O135" s="17" t="str"/>
    </x:row>
    <x:row r="136">
      <x:c r="A136" t="str">
        <x:v>public_0132</x:v>
      </x:c>
      <x:c r="B136" t="str">
        <x:v>buying</x:v>
      </x:c>
      <x:c r="C136" t="str">
        <x:v>easy</x:v>
      </x:c>
      <x:c r="D136" t="str">
        <x:v>clothing</x:v>
      </x:c>
      <x:c r="E136" t="str">
        <x:v>B08X2X83DW</x:v>
      </x:c>
      <x:c r="F136" s="75" t="n">
        <x:v>3</x:v>
      </x:c>
      <x:c r="G136" t="str">
        <x:v>critical</x:v>
      </x:c>
      <x:c r="H136" t="str">
        <x:v>3-4 prior purchases</x:v>
      </x:c>
      <x:c r="I136" s="17" t="str">
        <x:v>comfort | warmth | style</x:v>
      </x:c>
      <x:c r="J136" s="17" t="n">
        <x:v>3</x:v>
      </x:c>
      <x:c r="K136" s="17" t="str">
        <x:v>isotoner Women's Terry Slip on Clog Slipper with Memory Foam for Indoor/Outdoor Comfort</x:v>
      </x:c>
      <x:c r="L136" s="17" t="str">
        <x:v>Shoes Slippers</x:v>
      </x:c>
      <x:c r="M136" s="17" t="str">
        <x:v>I'm looking for Shoes Slippers. A key requirement is: cotton.</x:v>
      </x:c>
      <x:c r="N136" s="17" t="str"/>
      <x:c r="O136" s="17" t="str"/>
    </x:row>
    <x:row r="137">
      <x:c r="A137" t="str">
        <x:v>public_0133</x:v>
      </x:c>
      <x:c r="B137" t="str">
        <x:v>buying</x:v>
      </x:c>
      <x:c r="C137" t="str">
        <x:v>easy</x:v>
      </x:c>
      <x:c r="D137" t="str">
        <x:v>clothing</x:v>
      </x:c>
      <x:c r="E137" t="str">
        <x:v>B01KILT64Q</x:v>
      </x:c>
      <x:c r="F137" s="75" t="n">
        <x:v>5</x:v>
      </x:c>
      <x:c r="G137" t="str">
        <x:v>usually positive</x:v>
      </x:c>
      <x:c r="H137" t="str">
        <x:v>3-4 prior purchases</x:v>
      </x:c>
      <x:c r="I137" s="17" t="str">
        <x:v>material | fit | style</x:v>
      </x:c>
      <x:c r="J137" s="17" t="n">
        <x:v>3</x:v>
      </x:c>
      <x:c r="K137" s="17" t="str">
        <x:v>Flying Fisherman womens 7719cs sunglasses, Camo Frames/Smoke Lenses, Medium US</x:v>
      </x:c>
      <x:c r="L137" s="17" t="str">
        <x:v>Sunglasses &amp; Eyewear Accessories Sunglasses</x:v>
      </x:c>
      <x:c r="M137" s="17" t="str">
        <x:v>I'm looking for Sunglasses &amp; Eyewear Accessories Sunglasses. A key requirement is: Imported.</x:v>
      </x:c>
      <x:c r="N137" s="17" t="str"/>
      <x:c r="O137" s="17" t="str"/>
    </x:row>
    <x:row r="138">
      <x:c r="A138" t="str">
        <x:v>public_0134</x:v>
      </x:c>
      <x:c r="B138" t="str">
        <x:v>browsing</x:v>
      </x:c>
      <x:c r="C138" t="str">
        <x:v>medium</x:v>
      </x:c>
      <x:c r="D138" t="str">
        <x:v>clothing</x:v>
      </x:c>
      <x:c r="E138" t="str">
        <x:v>B081SF3QRL</x:v>
      </x:c>
      <x:c r="F138" s="75" t="n">
        <x:v>5</x:v>
      </x:c>
      <x:c r="G138" t="str">
        <x:v>usually positive</x:v>
      </x:c>
      <x:c r="H138" t="str">
        <x:v>3-4 prior purchases</x:v>
      </x:c>
      <x:c r="I138" s="17" t="str">
        <x:v>style | fit | comfort</x:v>
      </x:c>
      <x:c r="J138" s="17" t="n">
        <x:v>3</x:v>
      </x:c>
      <x:c r="K138" s="17" t="str">
        <x:v>YOFANST 2pcs-12pcs Double Flare Stainless Steel Tunnels Gauges Screwed Gem Rhinestones Tunnels Plugs Stretcher Jewelry</x:v>
      </x:c>
      <x:c r="L138" s="17" t="str">
        <x:v>Piercing Jewelry Tunnels</x:v>
      </x:c>
      <x:c r="M138" s="17" t="str">
        <x:v>I'm looking for Piercing Jewelry Tunnels, but I'm still exploring.</x:v>
      </x:c>
      <x:c r="N138" s="17" t="str"/>
      <x:c r="O138" s="17" t="str"/>
    </x:row>
    <x:row r="139">
      <x:c r="A139" t="str">
        <x:v>public_0135</x:v>
      </x:c>
      <x:c r="B139" t="str">
        <x:v>buying</x:v>
      </x:c>
      <x:c r="C139" t="str">
        <x:v>easy</x:v>
      </x:c>
      <x:c r="D139" t="str">
        <x:v>clothing</x:v>
      </x:c>
      <x:c r="E139" t="str">
        <x:v>B0C6BL4RNN</x:v>
      </x:c>
      <x:c r="F139" s="75" t="n">
        <x:v>5</x:v>
      </x:c>
      <x:c r="G139" t="str">
        <x:v>usually positive</x:v>
      </x:c>
      <x:c r="H139" t="str">
        <x:v>3-4 prior purchases</x:v>
      </x:c>
      <x:c r="I139" s="17" t="str">
        <x:v>fit | comfort | material</x:v>
      </x:c>
      <x:c r="J139" s="17" t="n">
        <x:v>3</x:v>
      </x:c>
      <x:c r="K139" s="17" t="str">
        <x:v>Dearfoams Women's Rebecca Lightweight Cozy Memory Foam Closed Back Slipper with Wide Widths</x:v>
      </x:c>
      <x:c r="L139" s="17" t="str">
        <x:v>Shoes Slippers</x:v>
      </x:c>
      <x:c r="M139" s="17" t="str">
        <x:v>I'm looking for Shoes Slippers. A key requirement is: polyester.</x:v>
      </x:c>
      <x:c r="N139" s="17" t="str"/>
      <x:c r="O139" s="17" t="str"/>
    </x:row>
    <x:row r="140">
      <x:c r="A140" t="str">
        <x:v>public_0136</x:v>
      </x:c>
      <x:c r="B140" t="str">
        <x:v>buying</x:v>
      </x:c>
      <x:c r="C140" t="str">
        <x:v>easy</x:v>
      </x:c>
      <x:c r="D140" t="str">
        <x:v>clothing</x:v>
      </x:c>
      <x:c r="E140" t="str">
        <x:v>B091F54MWM</x:v>
      </x:c>
      <x:c r="F140" s="75" t="n">
        <x:v>5</x:v>
      </x:c>
      <x:c r="G140" t="str">
        <x:v>usually positive</x:v>
      </x:c>
      <x:c r="H140" t="str">
        <x:v>3-4 prior purchases</x:v>
      </x:c>
      <x:c r="I140" s="17" t="str">
        <x:v>comfort | style | material</x:v>
      </x:c>
      <x:c r="J140" s="17" t="n">
        <x:v>3</x:v>
      </x:c>
      <x:c r="K140" s="17" t="str">
        <x:v>CAMPSNAIL 4 Pack Biker Shorts for Women High Waist - 5" Soft Summer Womens Shorts Spandex Workout Shorts for Running Athletic</x:v>
      </x:c>
      <x:c r="L140" s="17" t="str">
        <x:v>Active Active Shorts</x:v>
      </x:c>
      <x:c r="M140" s="17" t="str">
        <x:v>I'm looking for Active Active Shorts. A key requirement is: spandex.</x:v>
      </x:c>
      <x:c r="N140" s="17" t="str"/>
      <x:c r="O140" s="17" t="str"/>
    </x:row>
    <x:row r="141">
      <x:c r="A141" t="str">
        <x:v>public_0137</x:v>
      </x:c>
      <x:c r="B141" t="str">
        <x:v>browsing</x:v>
      </x:c>
      <x:c r="C141" t="str">
        <x:v>medium</x:v>
      </x:c>
      <x:c r="D141" t="str">
        <x:v>clothing</x:v>
      </x:c>
      <x:c r="E141" t="str">
        <x:v>B01N67CJGX</x:v>
      </x:c>
      <x:c r="F141" s="75" t="n">
        <x:v>4</x:v>
      </x:c>
      <x:c r="G141" t="str">
        <x:v>mixed</x:v>
      </x:c>
      <x:c r="H141" t="str">
        <x:v>3-4 prior purchases</x:v>
      </x:c>
      <x:c r="I141" s="17" t="str">
        <x:v>comfort | weather | material | durability</x:v>
      </x:c>
      <x:c r="J141" s="17" t="n">
        <x:v>4</x:v>
      </x:c>
      <x:c r="K141" s="17" t="str">
        <x:v>DOUBLJU Lightweight Thin Zip-Up Hoodie Jacket for Women Girls Kids with Plus Size</x:v>
      </x:c>
      <x:c r="L141" s="17" t="str">
        <x:v>Women Fashion Hoodies &amp; Sweatshirts</x:v>
      </x:c>
      <x:c r="M141" s="17" t="str">
        <x:v>I'm looking for Women Fashion Hoodies &amp; Sweatshirts, but I'm still exploring.</x:v>
      </x:c>
      <x:c r="N141" s="17" t="str"/>
      <x:c r="O141" s="17" t="str"/>
    </x:row>
    <x:row r="142">
      <x:c r="A142" t="str">
        <x:v>public_0138</x:v>
      </x:c>
      <x:c r="B142" t="str">
        <x:v>browsing</x:v>
      </x:c>
      <x:c r="C142" t="str">
        <x:v>medium</x:v>
      </x:c>
      <x:c r="D142" t="str">
        <x:v>clothing</x:v>
      </x:c>
      <x:c r="E142" t="str">
        <x:v>B0B4BRW7JT</x:v>
      </x:c>
      <x:c r="F142" s="75" t="n">
        <x:v>2</x:v>
      </x:c>
      <x:c r="G142" t="str">
        <x:v>critical</x:v>
      </x:c>
      <x:c r="H142" t="str">
        <x:v>3-4 prior purchases</x:v>
      </x:c>
      <x:c r="I142" s="17" t="str">
        <x:v>performance | comfort | material | durability</x:v>
      </x:c>
      <x:c r="J142" s="17" t="n">
        <x:v>4</x:v>
      </x:c>
      <x:c r="K142" s="17" t="str">
        <x:v>KORSIS Summer Dresses For Women Casual T Shirt Dresses Swing Flowy Beach Vacation Sundress with Pockets</x:v>
      </x:c>
      <x:c r="L142" s="17" t="str">
        <x:v>Tees &amp; Blouses Tunics</x:v>
      </x:c>
      <x:c r="M142" s="17" t="str">
        <x:v>I'm looking for Tees &amp; Blouses Tunics, but I'm still exploring.</x:v>
      </x:c>
      <x:c r="N142" s="17" t="str"/>
      <x:c r="O142" s="17" t="str"/>
    </x:row>
    <x:row r="143">
      <x:c r="A143" t="str">
        <x:v>public_0139</x:v>
      </x:c>
      <x:c r="B143" t="str">
        <x:v>browsing</x:v>
      </x:c>
      <x:c r="C143" t="str">
        <x:v>medium</x:v>
      </x:c>
      <x:c r="D143" t="str">
        <x:v>clothing</x:v>
      </x:c>
      <x:c r="E143" t="str">
        <x:v>B09SGYPW3M</x:v>
      </x:c>
      <x:c r="F143" s="75" t="n">
        <x:v>5</x:v>
      </x:c>
      <x:c r="G143" t="str">
        <x:v>usually positive</x:v>
      </x:c>
      <x:c r="H143" t="str">
        <x:v>3-4 prior purchases</x:v>
      </x:c>
      <x:c r="I143" s="17" t="str">
        <x:v>material | fit | comfort | durability</x:v>
      </x:c>
      <x:c r="J143" s="17" t="n">
        <x:v>4</x:v>
      </x:c>
      <x:c r="K143" s="17" t="str">
        <x:v>OFEEFAN Womens Tops Ruffle Short Sleeve V Neck T-Shirts Casual Loose Fit</x:v>
      </x:c>
      <x:c r="L143" s="17" t="str">
        <x:v>Tees &amp; Blouses T-Shirts</x:v>
      </x:c>
      <x:c r="M143" s="17" t="str">
        <x:v>I'm looking for Tees &amp; Blouses T-Shirts, but I'm still exploring.</x:v>
      </x:c>
      <x:c r="N143" s="17" t="str"/>
      <x:c r="O143" s="17" t="str"/>
    </x:row>
    <x:row r="144">
      <x:c r="A144" t="str">
        <x:v>public_0140</x:v>
      </x:c>
      <x:c r="B144" t="str">
        <x:v>browsing</x:v>
      </x:c>
      <x:c r="C144" t="str">
        <x:v>medium</x:v>
      </x:c>
      <x:c r="D144" t="str">
        <x:v>clothing</x:v>
      </x:c>
      <x:c r="E144" t="str">
        <x:v>B09BT6LSJV</x:v>
      </x:c>
      <x:c r="F144" s="75" t="n">
        <x:v>3</x:v>
      </x:c>
      <x:c r="G144" t="str">
        <x:v>critical</x:v>
      </x:c>
      <x:c r="H144" t="str">
        <x:v>3-4 prior purchases</x:v>
      </x:c>
      <x:c r="I144" s="17" t="str">
        <x:v>fit | comfort | material | style</x:v>
      </x:c>
      <x:c r="J144" s="17" t="n">
        <x:v>4</x:v>
      </x:c>
      <x:c r="K144" s="17" t="str">
        <x:v>Grlasen Women's Casual Long Blazers Ruched 3/4 Sleeve Lapel Oversized Suit Jacket Elegant Work Office Blazer Jackets</x:v>
      </x:c>
      <x:c r="L144" s="17" t="str">
        <x:v>Suiting &amp; Blazers Blazers</x:v>
      </x:c>
      <x:c r="M144" s="17" t="str">
        <x:v>I'm looking for Suiting &amp; Blazers Blazers, but I'm still exploring.</x:v>
      </x:c>
      <x:c r="N144" s="17" t="str"/>
      <x:c r="O144" s="17" t="str"/>
    </x:row>
    <x:row r="145">
      <x:c r="A145" t="str">
        <x:v>public_0141</x:v>
      </x:c>
      <x:c r="B145" t="str">
        <x:v>browsing</x:v>
      </x:c>
      <x:c r="C145" t="str">
        <x:v>medium</x:v>
      </x:c>
      <x:c r="D145" t="str">
        <x:v>clothing</x:v>
      </x:c>
      <x:c r="E145" t="str">
        <x:v>B0BLH7JHG8</x:v>
      </x:c>
      <x:c r="F145" s="75" t="n">
        <x:v>5</x:v>
      </x:c>
      <x:c r="G145" t="str">
        <x:v>usually positive</x:v>
      </x:c>
      <x:c r="H145" t="str">
        <x:v>3-4 prior purchases</x:v>
      </x:c>
      <x:c r="I145" s="17" t="str">
        <x:v>material | fit</x:v>
      </x:c>
      <x:c r="J145" s="17" t="n">
        <x:v>2</x:v>
      </x:c>
      <x:c r="K145" s="17" t="str">
        <x:v>Fzroezz 6Pcs Nose Studs L Shaped 20 Gauge Nose Piercings Nose Rings Studs Nose Piercing Jewelry Nose Piercing Stud Surgical Steel Nose Ring Nose Rings Studs Jewelry for Women Men 20G 2mm 2.5mm 3mm CZ Gold Silver Rose Gold</x:v>
      </x:c>
      <x:c r="L145" s="17" t="str">
        <x:v>Piercing Jewelry Screws</x:v>
      </x:c>
      <x:c r="M145" s="17" t="str">
        <x:v>I'm looking for Piercing Jewelry Screws, but I'm still exploring.</x:v>
      </x:c>
      <x:c r="N145" s="17" t="str"/>
      <x:c r="O145" s="17" t="str"/>
    </x:row>
    <x:row r="146">
      <x:c r="A146" t="str">
        <x:v>public_0142</x:v>
      </x:c>
      <x:c r="B146" t="str">
        <x:v>intent_override</x:v>
      </x:c>
      <x:c r="C146" t="str">
        <x:v>hard</x:v>
      </x:c>
      <x:c r="D146" t="str">
        <x:v>clothing</x:v>
      </x:c>
      <x:c r="E146" t="str">
        <x:v>B07YRGC1Q1</x:v>
      </x:c>
      <x:c r="F146" s="75" t="n">
        <x:v>5</x:v>
      </x:c>
      <x:c r="G146" t="str">
        <x:v>usually positive</x:v>
      </x:c>
      <x:c r="H146" t="str">
        <x:v>3-4 prior purchases</x:v>
      </x:c>
      <x:c r="I146" s="17" t="str">
        <x:v>warmth | performance | material | fit</x:v>
      </x:c>
      <x:c r="J146" s="17" t="n">
        <x:v>4</x:v>
      </x:c>
      <x:c r="K146" s="17" t="str">
        <x:v>Feraco Mens Bikers Bracelet Stainless Steel Motorcycle Bike Chain Bracelets 8.4 Inch</x:v>
      </x:c>
      <x:c r="L146" s="17" t="str">
        <x:v>Bracelets Link</x:v>
      </x:c>
      <x:c r="M146" s="17" t="str">
        <x:v>I'm looking for Bracelets Link. Bracelet Size: Length-8.34 inch, width-0.4 inch, weight: 54g. smooth chain, lightweight and comfortable to wear, perfect for bike enthusiasts etc</x:v>
      </x:c>
      <x:c r="N146" s="17" t="n">
        <x:v>4</x:v>
      </x:c>
      <x:c r="O146" s="17" t="str">
        <x:v>Bracelet Size: Length-8.34 inch, width-0.4 inch, weight: 54g. smooth chain, lightweight and comfortable to wear, perfect for bike enthusiasts etc -&gt; Stainless Steel Bike Bracelet: Handcrafted with high quality material, 100% HYPOALLERGENIC, Lead &amp; Nickel Free, Stronger and very LOW MAINTENANCE Metal, long lasting IP vacuum Plat</x:v>
      </x:c>
    </x:row>
    <x:row r="147">
      <x:c r="A147" t="str">
        <x:v>public_0143</x:v>
      </x:c>
      <x:c r="B147" t="str">
        <x:v>buying</x:v>
      </x:c>
      <x:c r="C147" t="str">
        <x:v>easy</x:v>
      </x:c>
      <x:c r="D147" t="str">
        <x:v>clothing</x:v>
      </x:c>
      <x:c r="E147" t="str">
        <x:v>B01H54X6CM</x:v>
      </x:c>
      <x:c r="F147" s="75" t="n">
        <x:v>2</x:v>
      </x:c>
      <x:c r="G147" t="str">
        <x:v>critical</x:v>
      </x:c>
      <x:c r="H147" t="str">
        <x:v>3-4 prior purchases</x:v>
      </x:c>
      <x:c r="I147" s="17" t="str">
        <x:v>material | style | fit | comfort</x:v>
      </x:c>
      <x:c r="J147" s="17" t="n">
        <x:v>4</x:v>
      </x:c>
      <x:c r="K147" s="17" t="str">
        <x:v>MUXXN Women's Retro 1950s Style Sleeveless Slim Business Pencil Dress</x:v>
      </x:c>
      <x:c r="L147" s="17" t="str">
        <x:v>Dresses Work</x:v>
      </x:c>
      <x:c r="M147" s="17" t="str">
        <x:v>I'm looking for Dresses Work. A key requirement is: rayon.</x:v>
      </x:c>
      <x:c r="N147" s="17" t="str"/>
      <x:c r="O147" s="17" t="str"/>
    </x:row>
    <x:row r="148">
      <x:c r="A148" t="str">
        <x:v>public_0144</x:v>
      </x:c>
      <x:c r="B148" t="str">
        <x:v>intent_override</x:v>
      </x:c>
      <x:c r="C148" t="str">
        <x:v>hard</x:v>
      </x:c>
      <x:c r="D148" t="str">
        <x:v>clothing</x:v>
      </x:c>
      <x:c r="E148" t="str">
        <x:v>B08LMMDYV7</x:v>
      </x:c>
      <x:c r="F148" s="75" t="n">
        <x:v>2</x:v>
      </x:c>
      <x:c r="G148" t="str">
        <x:v>critical</x:v>
      </x:c>
      <x:c r="H148" t="str">
        <x:v>3-4 prior purchases</x:v>
      </x:c>
      <x:c r="I148" s="17" t="str">
        <x:v>comfort | material</x:v>
      </x:c>
      <x:c r="J148" s="17" t="n">
        <x:v>2</x:v>
      </x:c>
      <x:c r="K148" s="17" t="str">
        <x:v>URBAN REPUBLIC Women's Winter Jacket - Heavyweight Water Resistant Expedition Faux-Fur Lined Parka Jacket</x:v>
      </x:c>
      <x:c r="L148" s="17" t="str">
        <x:v>Jackets &amp; Vests Down Jackets &amp; Parkas</x:v>
      </x:c>
      <x:c r="M148" s="17" t="str">
        <x:v>I'm looking for Jackets &amp; Vests Down Jackets &amp; Parkas. Zipper closure</x:v>
      </x:c>
      <x:c r="N148" s="17" t="n">
        <x:v>4</x:v>
      </x:c>
      <x:c r="O148" s="17" t="str">
        <x:v>Zipper closure -&gt; polyester</x:v>
      </x:c>
    </x:row>
    <x:row r="149">
      <x:c r="A149" t="str">
        <x:v>public_0145</x:v>
      </x:c>
      <x:c r="B149" t="str">
        <x:v>buying</x:v>
      </x:c>
      <x:c r="C149" t="str">
        <x:v>easy</x:v>
      </x:c>
      <x:c r="D149" t="str">
        <x:v>clothing</x:v>
      </x:c>
      <x:c r="E149" t="str">
        <x:v>B00IJZZWGA</x:v>
      </x:c>
      <x:c r="F149" s="75" t="n">
        <x:v>3</x:v>
      </x:c>
      <x:c r="G149" t="str">
        <x:v>critical</x:v>
      </x:c>
      <x:c r="H149" t="str">
        <x:v>3-4 prior purchases</x:v>
      </x:c>
      <x:c r="I149" s="17" t="str">
        <x:v>style | comfort | durability</x:v>
      </x:c>
      <x:c r="J149" s="17" t="n">
        <x:v>3</x:v>
      </x:c>
      <x:c r="K149" s="17" t="str">
        <x:v>BRIGHT STAR Low Cut Ankle Socks For Women - 30 Pairs of Athletic Socks For Running, Workout, Sports</x:v>
      </x:c>
      <x:c r="L149" s="17" t="str">
        <x:v>Active Athletic Socks</x:v>
      </x:c>
      <x:c r="M149" s="17" t="str">
        <x:v>I'm looking for Active Athletic Socks. A key requirement is: cotton.</x:v>
      </x:c>
      <x:c r="N149" s="17" t="str"/>
      <x:c r="O149" s="17" t="str"/>
    </x:row>
    <x:row r="150">
      <x:c r="A150" t="str">
        <x:v>public_0146</x:v>
      </x:c>
      <x:c r="B150" t="str">
        <x:v>buying</x:v>
      </x:c>
      <x:c r="C150" t="str">
        <x:v>easy</x:v>
      </x:c>
      <x:c r="D150" t="str">
        <x:v>clothing</x:v>
      </x:c>
      <x:c r="E150" t="str">
        <x:v>B0BCQWYQLQ</x:v>
      </x:c>
      <x:c r="F150" s="75" t="n">
        <x:v>3</x:v>
      </x:c>
      <x:c r="G150" t="str">
        <x:v>critical</x:v>
      </x:c>
      <x:c r="H150" t="str">
        <x:v>3-4 prior purchases</x:v>
      </x:c>
      <x:c r="I150" s="17" t="str">
        <x:v>style | comfort | material | fit</x:v>
      </x:c>
      <x:c r="J150" s="17" t="n">
        <x:v>4</x:v>
      </x:c>
      <x:c r="K150" s="17" t="str">
        <x:v>Sarin Mathews Womens One Shoulder Ruched Bodycon Dress Sexy Sleeveless Slit Midi Party Cocktail Wedding Guest Dresses</x:v>
      </x:c>
      <x:c r="L150" s="17" t="str">
        <x:v>Women Dresses</x:v>
      </x:c>
      <x:c r="M150" s="17" t="str">
        <x:v>I'm looking for Women Dresses. A key requirement is: rayon.</x:v>
      </x:c>
      <x:c r="N150" s="17" t="str"/>
      <x:c r="O150" s="17" t="str"/>
    </x:row>
    <x:row r="151">
      <x:c r="A151" t="str">
        <x:v>public_0147</x:v>
      </x:c>
      <x:c r="B151" t="str">
        <x:v>browsing</x:v>
      </x:c>
      <x:c r="C151" t="str">
        <x:v>medium</x:v>
      </x:c>
      <x:c r="D151" t="str">
        <x:v>clothing</x:v>
      </x:c>
      <x:c r="E151" t="str">
        <x:v>B077276QGC</x:v>
      </x:c>
      <x:c r="F151" s="75" t="n">
        <x:v>4</x:v>
      </x:c>
      <x:c r="G151" t="str">
        <x:v>mixed</x:v>
      </x:c>
      <x:c r="H151" t="str">
        <x:v>3-4 prior purchases</x:v>
      </x:c>
      <x:c r="I151" s="17" t="str">
        <x:v>material | comfort | fit | style</x:v>
      </x:c>
      <x:c r="J151" s="17" t="n">
        <x:v>4</x:v>
      </x:c>
      <x:c r="K151" s="17" t="str">
        <x:v>wirarpa Women's High Waisted Cotton Underwear Ladies Soft Full Briefs Panties Multipack</x:v>
      </x:c>
      <x:c r="L151" s="17" t="str">
        <x:v>Sleep &amp; Lounge Lingerie</x:v>
      </x:c>
      <x:c r="M151" s="17" t="str">
        <x:v>I'm looking for Sleep &amp; Lounge Lingerie, but I'm still exploring.</x:v>
      </x:c>
      <x:c r="N151" s="17" t="str"/>
      <x:c r="O151" s="17" t="str"/>
    </x:row>
    <x:row r="152">
      <x:c r="A152" t="str">
        <x:v>public_0148</x:v>
      </x:c>
      <x:c r="B152" t="str">
        <x:v>buying</x:v>
      </x:c>
      <x:c r="C152" t="str">
        <x:v>easy</x:v>
      </x:c>
      <x:c r="D152" t="str">
        <x:v>clothing</x:v>
      </x:c>
      <x:c r="E152" t="str">
        <x:v>B0BQC2NRG2</x:v>
      </x:c>
      <x:c r="F152" s="75" t="n">
        <x:v>3</x:v>
      </x:c>
      <x:c r="G152" t="str">
        <x:v>critical</x:v>
      </x:c>
      <x:c r="H152" t="str">
        <x:v>3-4 prior purchases</x:v>
      </x:c>
      <x:c r="I152" s="17" t="str">
        <x:v>fit | comfort | material | performance</x:v>
      </x:c>
      <x:c r="J152" s="17" t="n">
        <x:v>4</x:v>
      </x:c>
      <x:c r="K152" s="17" t="str">
        <x:v>Fruit of the Loom Women's Eversoft Cotton Bikini Underwear, Tag Free &amp; Breathable</x:v>
      </x:c>
      <x:c r="L152" s="17" t="str">
        <x:v>Panties Bikinis</x:v>
      </x:c>
      <x:c r="M152" s="17" t="str">
        <x:v>I'm looking for Panties Bikinis. A key requirement is: cotton.</x:v>
      </x:c>
      <x:c r="N152" s="17" t="str"/>
      <x:c r="O152" s="17" t="str"/>
    </x:row>
    <x:row r="153">
      <x:c r="A153" t="str">
        <x:v>public_0149</x:v>
      </x:c>
      <x:c r="B153" t="str">
        <x:v>buying</x:v>
      </x:c>
      <x:c r="C153" t="str">
        <x:v>easy</x:v>
      </x:c>
      <x:c r="D153" t="str">
        <x:v>clothing</x:v>
      </x:c>
      <x:c r="E153" t="str">
        <x:v>B07CBYYHTL</x:v>
      </x:c>
      <x:c r="F153" s="75" t="n">
        <x:v>5</x:v>
      </x:c>
      <x:c r="G153" t="str">
        <x:v>usually positive</x:v>
      </x:c>
      <x:c r="H153" t="str">
        <x:v>3-4 prior purchases</x:v>
      </x:c>
      <x:c r="I153" s="17" t="str">
        <x:v>fit | performance | material</x:v>
      </x:c>
      <x:c r="J153" s="17" t="n">
        <x:v>3</x:v>
      </x:c>
      <x:c r="K153" s="17" t="str">
        <x:v>SDIYABOLO Small Black Sling Crossbody Backpack Shoulder Bag for Men Women Vintage PU Leather Sling Backpack Cycling</x:v>
      </x:c>
      <x:c r="L153" s="17" t="str">
        <x:v>Backpacks Casual Daypacks</x:v>
      </x:c>
      <x:c r="M153" s="17" t="str">
        <x:v>I'm looking for Backpacks Casual Daypacks. A key requirement is: leather.</x:v>
      </x:c>
      <x:c r="N153" s="17" t="str"/>
      <x:c r="O153" s="17" t="str"/>
    </x:row>
    <x:row r="154">
      <x:c r="A154" t="str">
        <x:v>public_0150</x:v>
      </x:c>
      <x:c r="B154" t="str">
        <x:v>browsing</x:v>
      </x:c>
      <x:c r="C154" t="str">
        <x:v>medium</x:v>
      </x:c>
      <x:c r="D154" t="str">
        <x:v>clothing</x:v>
      </x:c>
      <x:c r="E154" t="str">
        <x:v>B07P6MPQY5</x:v>
      </x:c>
      <x:c r="F154" s="75" t="n">
        <x:v>3</x:v>
      </x:c>
      <x:c r="G154" t="str">
        <x:v>critical</x:v>
      </x:c>
      <x:c r="H154" t="str">
        <x:v>3-4 prior purchases</x:v>
      </x:c>
      <x:c r="I154" s="17" t="str">
        <x:v>material | fit</x:v>
      </x:c>
      <x:c r="J154" s="17" t="n">
        <x:v>2</x:v>
      </x:c>
      <x:c r="K154" s="17" t="str">
        <x:v>Sivvan Scrubs for Men - Zippered Short Sleeve Jacket</x:v>
      </x:c>
      <x:c r="L154" s="17" t="str">
        <x:v>Medical Scrub Jackets</x:v>
      </x:c>
      <x:c r="M154" s="17" t="str">
        <x:v>I'm looking for Medical Scrub Jackets, but I'm still exploring.</x:v>
      </x:c>
      <x:c r="N154" s="17" t="str"/>
      <x:c r="O154" s="17" t="str"/>
    </x:row>
    <x:row r="155">
      <x:c r="A155" t="str">
        <x:v>public_0151</x:v>
      </x:c>
      <x:c r="B155" t="str">
        <x:v>browsing</x:v>
      </x:c>
      <x:c r="C155" t="str">
        <x:v>medium</x:v>
      </x:c>
      <x:c r="D155" t="str">
        <x:v>clothing</x:v>
      </x:c>
      <x:c r="E155" t="str">
        <x:v>B08CFNQNJK</x:v>
      </x:c>
      <x:c r="F155" s="75" t="n">
        <x:v>5</x:v>
      </x:c>
      <x:c r="G155" t="str">
        <x:v>usually positive</x:v>
      </x:c>
      <x:c r="H155" t="str">
        <x:v>3-4 prior purchases</x:v>
      </x:c>
      <x:c r="I155" s="17" t="str">
        <x:v>comfort | fit | durability | material</x:v>
      </x:c>
      <x:c r="J155" s="17" t="n">
        <x:v>4</x:v>
      </x:c>
      <x:c r="K155" s="17" t="str">
        <x:v>Under Armour Men's Micro G Valsetz Mid Military and Tactical Boot</x:v>
      </x:c>
      <x:c r="L155" s="17" t="str">
        <x:v>Outdoor &amp; Work Work &amp; Safety</x:v>
      </x:c>
      <x:c r="M155" s="17" t="str">
        <x:v>I'm looking for Outdoor &amp; Work Work &amp; Safety, but I'm still exploring.</x:v>
      </x:c>
      <x:c r="N155" s="17" t="str"/>
      <x:c r="O155" s="17" t="str"/>
    </x:row>
    <x:row r="156">
      <x:c r="A156" t="str">
        <x:v>public_0152</x:v>
      </x:c>
      <x:c r="B156" t="str">
        <x:v>buying</x:v>
      </x:c>
      <x:c r="C156" t="str">
        <x:v>easy</x:v>
      </x:c>
      <x:c r="D156" t="str">
        <x:v>clothing</x:v>
      </x:c>
      <x:c r="E156" t="str">
        <x:v>B000EQU0NW</x:v>
      </x:c>
      <x:c r="F156" s="75" t="n">
        <x:v>5</x:v>
      </x:c>
      <x:c r="G156" t="str">
        <x:v>usually positive</x:v>
      </x:c>
      <x:c r="H156" t="str">
        <x:v>3-4 prior purchases</x:v>
      </x:c>
      <x:c r="I156" s="17" t="str">
        <x:v>comfort | fit | durability | style</x:v>
      </x:c>
      <x:c r="J156" s="17" t="n">
        <x:v>4</x:v>
      </x:c>
      <x:c r="K156" s="17" t="str">
        <x:v>Citizen Eco-Drive Corso Quartz Mens Watch, Stainless Steel with Leather strap, Classic, Brown (Model: BM8242-08E)</x:v>
      </x:c>
      <x:c r="L156" s="17" t="str">
        <x:v>Watches Wrist Watches</x:v>
      </x:c>
      <x:c r="M156" s="17" t="str">
        <x:v>I'm looking for Watches Wrist Watches. A key requirement is: leather.</x:v>
      </x:c>
      <x:c r="N156" s="17" t="str"/>
      <x:c r="O156" s="17" t="str"/>
    </x:row>
    <x:row r="157">
      <x:c r="A157" t="str">
        <x:v>public_0153</x:v>
      </x:c>
      <x:c r="B157" t="str">
        <x:v>browsing</x:v>
      </x:c>
      <x:c r="C157" t="str">
        <x:v>medium</x:v>
      </x:c>
      <x:c r="D157" t="str">
        <x:v>clothing</x:v>
      </x:c>
      <x:c r="E157" t="str">
        <x:v>B07BMJ77FR</x:v>
      </x:c>
      <x:c r="F157" s="75" t="n">
        <x:v>2</x:v>
      </x:c>
      <x:c r="G157" t="str">
        <x:v>critical</x:v>
      </x:c>
      <x:c r="H157" t="str">
        <x:v>3-4 prior purchases</x:v>
      </x:c>
      <x:c r="I157" s="17" t="str">
        <x:v>comfort | fit | style | durability</x:v>
      </x:c>
      <x:c r="J157" s="17" t="n">
        <x:v>4</x:v>
      </x:c>
      <x:c r="K157" s="17" t="str">
        <x:v>Susanny High Heel Boots for Women,Womens Platform Boot Heels Sexy Round Toe Lace UP High Heels Mid Calf Boots</x:v>
      </x:c>
      <x:c r="L157" s="17" t="str">
        <x:v>Boots Ankle &amp; Bootie</x:v>
      </x:c>
      <x:c r="M157" s="17" t="str">
        <x:v>I'm looking for Boots Ankle &amp; Bootie, but I'm still exploring.</x:v>
      </x:c>
      <x:c r="N157" s="17" t="str"/>
      <x:c r="O157" s="17" t="str"/>
    </x:row>
    <x:row r="158">
      <x:c r="A158" t="str">
        <x:v>public_0154</x:v>
      </x:c>
      <x:c r="B158" t="str">
        <x:v>buying</x:v>
      </x:c>
      <x:c r="C158" t="str">
        <x:v>easy</x:v>
      </x:c>
      <x:c r="D158" t="str">
        <x:v>clothing</x:v>
      </x:c>
      <x:c r="E158" t="str">
        <x:v>B00CYNKSTE</x:v>
      </x:c>
      <x:c r="F158" s="75" t="n">
        <x:v>1</x:v>
      </x:c>
      <x:c r="G158" t="str">
        <x:v>critical</x:v>
      </x:c>
      <x:c r="H158" t="str">
        <x:v>3-4 prior purchases</x:v>
      </x:c>
      <x:c r="I158" s="17" t="str">
        <x:v>material | comfort | fit | style</x:v>
      </x:c>
      <x:c r="J158" s="17" t="n">
        <x:v>4</x:v>
      </x:c>
      <x:c r="K158" s="17" t="str">
        <x:v>Bestform Women's Wire Free Bra</x:v>
      </x:c>
      <x:c r="L158" s="17" t="str">
        <x:v>Bras Everyday Bras</x:v>
      </x:c>
      <x:c r="M158" s="17" t="str">
        <x:v>I'm looking for Bras Everyday Bras. A key requirement is: cotton.</x:v>
      </x:c>
      <x:c r="N158" s="17" t="str"/>
      <x:c r="O158" s="17" t="str"/>
    </x:row>
    <x:row r="159">
      <x:c r="A159" t="str">
        <x:v>public_0155</x:v>
      </x:c>
      <x:c r="B159" t="str">
        <x:v>buying</x:v>
      </x:c>
      <x:c r="C159" t="str">
        <x:v>easy</x:v>
      </x:c>
      <x:c r="D159" t="str">
        <x:v>clothing</x:v>
      </x:c>
      <x:c r="E159" t="str">
        <x:v>B0C4VLWWYY</x:v>
      </x:c>
      <x:c r="F159" s="75" t="n">
        <x:v>5</x:v>
      </x:c>
      <x:c r="G159" t="str">
        <x:v>usually positive</x:v>
      </x:c>
      <x:c r="H159" t="str">
        <x:v>3-4 prior purchases</x:v>
      </x:c>
      <x:c r="I159" s="17" t="str">
        <x:v>style | fit | comfort | material</x:v>
      </x:c>
      <x:c r="J159" s="17" t="n">
        <x:v>4</x:v>
      </x:c>
      <x:c r="K159" s="17" t="str">
        <x:v>GearTOP Net Hat UV Protection Sun Hat Head Net Hat Fishing Hat for Men &amp; Women Wide Brim Hat w/Removable Net</x:v>
      </x:c>
      <x:c r="L159" s="17" t="str">
        <x:v>Hats &amp; Caps Sun Hats</x:v>
      </x:c>
      <x:c r="M159" s="17" t="str">
        <x:v>I'm looking for Hats &amp; Caps Sun Hats. A key requirement is: polyester.</x:v>
      </x:c>
      <x:c r="N159" s="17" t="str"/>
      <x:c r="O159" s="17" t="str"/>
    </x:row>
    <x:row r="160">
      <x:c r="A160" t="str">
        <x:v>public_0156</x:v>
      </x:c>
      <x:c r="B160" t="str">
        <x:v>buying</x:v>
      </x:c>
      <x:c r="C160" t="str">
        <x:v>easy</x:v>
      </x:c>
      <x:c r="D160" t="str">
        <x:v>clothing</x:v>
      </x:c>
      <x:c r="E160" t="str">
        <x:v>B0C3KZXV4B</x:v>
      </x:c>
      <x:c r="F160" s="75" t="n">
        <x:v>4</x:v>
      </x:c>
      <x:c r="G160" t="str">
        <x:v>mixed</x:v>
      </x:c>
      <x:c r="H160" t="str">
        <x:v>3-4 prior purchases</x:v>
      </x:c>
      <x:c r="I160" s="17" t="str">
        <x:v>fit | comfort | style</x:v>
      </x:c>
      <x:c r="J160" s="17" t="n">
        <x:v>3</x:v>
      </x:c>
      <x:c r="K160" s="17" t="str">
        <x:v>adidas Alliance II Sackpack, Shadow Navy/Snowglobe/Dash Grey, One Size</x:v>
      </x:c>
      <x:c r="L160" s="17" t="str">
        <x:v>Gym Bags Drawstring Bags</x:v>
      </x:c>
      <x:c r="M160" s="17" t="str">
        <x:v>I'm looking for Gym Bags Drawstring Bags. A key requirement is: Easy cinch opening with durable cording.</x:v>
      </x:c>
      <x:c r="N160" s="17" t="str"/>
      <x:c r="O160" s="17" t="str"/>
    </x:row>
    <x:row r="161">
      <x:c r="A161" t="str">
        <x:v>public_0157</x:v>
      </x:c>
      <x:c r="B161" t="str">
        <x:v>buying</x:v>
      </x:c>
      <x:c r="C161" t="str">
        <x:v>easy</x:v>
      </x:c>
      <x:c r="D161" t="str">
        <x:v>clothing</x:v>
      </x:c>
      <x:c r="E161" t="str">
        <x:v>B00BCHDM14</x:v>
      </x:c>
      <x:c r="F161" s="75" t="n">
        <x:v>5</x:v>
      </x:c>
      <x:c r="G161" t="str">
        <x:v>usually positive</x:v>
      </x:c>
      <x:c r="H161" t="str">
        <x:v>3-4 prior purchases</x:v>
      </x:c>
      <x:c r="I161" s="17" t="str">
        <x:v>comfort | fit | material | warmth</x:v>
      </x:c>
      <x:c r="J161" s="17" t="n">
        <x:v>4</x:v>
      </x:c>
      <x:c r="K161" s="17" t="str">
        <x:v>Kamik Women's Momentum Snow Boot</x:v>
      </x:c>
      <x:c r="L161" s="17" t="str">
        <x:v>Outdoor &amp; Work Snow &amp; Cold Weather</x:v>
      </x:c>
      <x:c r="M161" s="17" t="str">
        <x:v>I'm looking for Outdoor &amp; Work Snow &amp; Cold Weather. A key requirement is: nylon.</x:v>
      </x:c>
      <x:c r="N161" s="17" t="str"/>
      <x:c r="O161" s="17" t="str"/>
    </x:row>
    <x:row r="162">
      <x:c r="A162" t="str">
        <x:v>public_0158</x:v>
      </x:c>
      <x:c r="B162" t="str">
        <x:v>browsing</x:v>
      </x:c>
      <x:c r="C162" t="str">
        <x:v>medium</x:v>
      </x:c>
      <x:c r="D162" t="str">
        <x:v>clothing</x:v>
      </x:c>
      <x:c r="E162" t="str">
        <x:v>B012ZM6RGQ</x:v>
      </x:c>
      <x:c r="F162" s="75" t="n">
        <x:v>1</x:v>
      </x:c>
      <x:c r="G162" t="str">
        <x:v>critical</x:v>
      </x:c>
      <x:c r="H162" t="str">
        <x:v>3-4 prior purchases</x:v>
      </x:c>
      <x:c r="I162" s="17" t="str">
        <x:v>warmth | comfort | material | fit</x:v>
      </x:c>
      <x:c r="J162" s="17" t="n">
        <x:v>4</x:v>
      </x:c>
      <x:c r="K162" s="17" t="str">
        <x:v>CreepyParty Novelty Halloween Costume Party Animal Head Mask - King Lion</x:v>
      </x:c>
      <x:c r="L162" s="17" t="str">
        <x:v>Men Masks</x:v>
      </x:c>
      <x:c r="M162" s="17" t="str">
        <x:v>I'm looking for Men Masks, but I'm still exploring.</x:v>
      </x:c>
      <x:c r="N162" s="17" t="str"/>
      <x:c r="O162" s="17" t="str"/>
    </x:row>
    <x:row r="163">
      <x:c r="A163" t="str">
        <x:v>public_0159</x:v>
      </x:c>
      <x:c r="B163" t="str">
        <x:v>buying</x:v>
      </x:c>
      <x:c r="C163" t="str">
        <x:v>easy</x:v>
      </x:c>
      <x:c r="D163" t="str">
        <x:v>clothing</x:v>
      </x:c>
      <x:c r="E163" t="str">
        <x:v>B00UHLFR32</x:v>
      </x:c>
      <x:c r="F163" s="75" t="n">
        <x:v>4</x:v>
      </x:c>
      <x:c r="G163" t="str">
        <x:v>mixed</x:v>
      </x:c>
      <x:c r="H163" t="str">
        <x:v>3-4 prior purchases</x:v>
      </x:c>
      <x:c r="I163" s="17" t="str">
        <x:v>material | comfort | fit | style</x:v>
      </x:c>
      <x:c r="J163" s="17" t="n">
        <x:v>4</x:v>
      </x:c>
      <x:c r="K163" s="17" t="str">
        <x:v>Fruit of the Loom Men's Extended Sizes Jersey Knit Sleep Pant (1 &amp; 2 Packs)</x:v>
      </x:c>
      <x:c r="L163" s="17" t="str">
        <x:v>Sleep &amp; Lounge Sleep Bottoms</x:v>
      </x:c>
      <x:c r="M163" s="17" t="str">
        <x:v>I'm looking for Sleep &amp; Lounge Sleep Bottoms. A key requirement is: cotton.</x:v>
      </x:c>
      <x:c r="N163" s="17" t="str"/>
      <x:c r="O163" s="17" t="str"/>
    </x:row>
    <x:row r="164">
      <x:c r="A164" t="str">
        <x:v>public_0160</x:v>
      </x:c>
      <x:c r="B164" t="str">
        <x:v>buying</x:v>
      </x:c>
      <x:c r="C164" t="str">
        <x:v>easy</x:v>
      </x:c>
      <x:c r="D164" t="str">
        <x:v>clothing</x:v>
      </x:c>
      <x:c r="E164" t="str">
        <x:v>B01AAANF2Y</x:v>
      </x:c>
      <x:c r="F164" s="75" t="n">
        <x:v>5</x:v>
      </x:c>
      <x:c r="G164" t="str">
        <x:v>usually positive</x:v>
      </x:c>
      <x:c r="H164" t="str">
        <x:v>3-4 prior purchases</x:v>
      </x:c>
      <x:c r="I164" s="17" t="str">
        <x:v>material | fit</x:v>
      </x:c>
      <x:c r="J164" s="17" t="n">
        <x:v>2</x:v>
      </x:c>
      <x:c r="K164" s="17" t="str">
        <x:v>Amazon Basics 4 Piece Packing Travel Organizer Cubes Set - Slim, Black</x:v>
      </x:c>
      <x:c r="L164" s="17" t="str">
        <x:v>Travel Accessories Packing Organizers</x:v>
      </x:c>
      <x:c r="M164" s="17" t="str">
        <x:v>I'm looking for Travel Accessories Packing Organizers. A key requirement is: fabric.</x:v>
      </x:c>
      <x:c r="N164" s="17" t="str"/>
      <x:c r="O164" s="17" t="str"/>
    </x:row>
    <x:row r="165">
      <x:c r="A165" t="str">
        <x:v>public_0161</x:v>
      </x:c>
      <x:c r="B165" t="str">
        <x:v>buying</x:v>
      </x:c>
      <x:c r="C165" t="str">
        <x:v>easy</x:v>
      </x:c>
      <x:c r="D165" t="str">
        <x:v>clothing</x:v>
      </x:c>
      <x:c r="E165" t="str">
        <x:v>B0B6N6TJ6V</x:v>
      </x:c>
      <x:c r="F165" s="75" t="n">
        <x:v>5</x:v>
      </x:c>
      <x:c r="G165" t="str">
        <x:v>usually positive</x:v>
      </x:c>
      <x:c r="H165" t="str">
        <x:v>3-4 prior purchases</x:v>
      </x:c>
      <x:c r="I165" s="17" t="str">
        <x:v>style | fit | comfort | material</x:v>
      </x:c>
      <x:c r="J165" s="17" t="n">
        <x:v>4</x:v>
      </x:c>
      <x:c r="K165" s="17" t="str">
        <x:v>Thankful Grateful Blessed Shirt for Women Plaid Pumpkin Long Sleeve Tshirts Leopard Stripe Striped Thanksgiving Fall Tee Tops</x:v>
      </x:c>
      <x:c r="L165" s="17" t="str">
        <x:v>Tees &amp; Blouses T-Shirts</x:v>
      </x:c>
      <x:c r="M165" s="17" t="str">
        <x:v>I'm looking for Tees &amp; Blouses T-Shirts. A key requirement is: cotton.</x:v>
      </x:c>
      <x:c r="N165" s="17" t="str"/>
      <x:c r="O165" s="17" t="str"/>
    </x:row>
    <x:row r="166">
      <x:c r="A166" t="str">
        <x:v>public_0162</x:v>
      </x:c>
      <x:c r="B166" t="str">
        <x:v>browsing</x:v>
      </x:c>
      <x:c r="C166" t="str">
        <x:v>medium</x:v>
      </x:c>
      <x:c r="D166" t="str">
        <x:v>clothing</x:v>
      </x:c>
      <x:c r="E166" t="str">
        <x:v>B0B71JNMQY</x:v>
      </x:c>
      <x:c r="F166" s="75" t="n">
        <x:v>5</x:v>
      </x:c>
      <x:c r="G166" t="str">
        <x:v>usually positive</x:v>
      </x:c>
      <x:c r="H166" t="str">
        <x:v>3-4 prior purchases</x:v>
      </x:c>
      <x:c r="I166" s="17" t="str">
        <x:v>material | fit</x:v>
      </x:c>
      <x:c r="J166" s="17" t="n">
        <x:v>2</x:v>
      </x:c>
      <x:c r="K166" s="17" t="str">
        <x:v>Satin Silk Slip Maxi Dress for Wedding Guest Women- Cowl Neck Pleated Bust Split Wedding Guest Cocktail Midi Dresses</x:v>
      </x:c>
      <x:c r="L166" s="17" t="str">
        <x:v>Women Dresses</x:v>
      </x:c>
      <x:c r="M166" s="17" t="str">
        <x:v>I'm looking for Women Dresses, but I'm still exploring.</x:v>
      </x:c>
      <x:c r="N166" s="17" t="str"/>
      <x:c r="O166" s="17" t="str"/>
    </x:row>
    <x:row r="167">
      <x:c r="A167" t="str">
        <x:v>public_0163</x:v>
      </x:c>
      <x:c r="B167" t="str">
        <x:v>buying</x:v>
      </x:c>
      <x:c r="C167" t="str">
        <x:v>easy</x:v>
      </x:c>
      <x:c r="D167" t="str">
        <x:v>clothing</x:v>
      </x:c>
      <x:c r="E167" t="str">
        <x:v>B0834T68X3</x:v>
      </x:c>
      <x:c r="F167" s="75" t="n">
        <x:v>5</x:v>
      </x:c>
      <x:c r="G167" t="str">
        <x:v>usually positive</x:v>
      </x:c>
      <x:c r="H167" t="str">
        <x:v>3-4 prior purchases</x:v>
      </x:c>
      <x:c r="I167" s="17" t="str">
        <x:v>fit | comfort | material | performance</x:v>
      </x:c>
      <x:c r="J167" s="17" t="n">
        <x:v>4</x:v>
      </x:c>
      <x:c r="K167" s="17" t="str">
        <x:v>DOUSSPRT Womens Walking Shoes Slip on Sock Sneakers Lady Girls Nurse Mesh Air Cushion Platform Loafers Fashion Casual</x:v>
      </x:c>
      <x:c r="L167" s="17" t="str">
        <x:v>Athletic Walking</x:v>
      </x:c>
      <x:c r="M167" s="17" t="str">
        <x:v>I'm looking for Athletic Walking. A key requirement is: fabric.</x:v>
      </x:c>
      <x:c r="N167" s="17" t="str"/>
      <x:c r="O167" s="17" t="str"/>
    </x:row>
    <x:row r="168">
      <x:c r="A168" t="str">
        <x:v>public_0164</x:v>
      </x:c>
      <x:c r="B168" t="str">
        <x:v>browsing</x:v>
      </x:c>
      <x:c r="C168" t="str">
        <x:v>medium</x:v>
      </x:c>
      <x:c r="D168" t="str">
        <x:v>clothing</x:v>
      </x:c>
      <x:c r="E168" t="str">
        <x:v>B0C61FG7GL</x:v>
      </x:c>
      <x:c r="F168" s="75" t="n">
        <x:v>5</x:v>
      </x:c>
      <x:c r="G168" t="str">
        <x:v>usually positive</x:v>
      </x:c>
      <x:c r="H168" t="str">
        <x:v>3-4 prior purchases</x:v>
      </x:c>
      <x:c r="I168" s="17" t="str">
        <x:v>material | fit | style | weather</x:v>
      </x:c>
      <x:c r="J168" s="17" t="n">
        <x:v>4</x:v>
      </x:c>
      <x:c r="K168" s="17" t="str">
        <x:v>BARTON Elite Silicone Watch Bands - Quick Release - Choose Strap Color &amp; Buckle Color (Stainless Steel, Black PVD or Gunmetal Grey) - (ODD SIZE LUG WIDTHS ONLY 19mm, 21mm, 23mm - MOST WATCHES HAVE EVEN SIZED LUG WIDTHS, PLEASE MEASURE CAREFULLY)</x:v>
      </x:c>
      <x:c r="L168" s="17" t="str">
        <x:v>Watches Watch Bands</x:v>
      </x:c>
      <x:c r="M168" s="17" t="str">
        <x:v>I'm looking for Watches Watch Bands, but I'm still exploring.</x:v>
      </x:c>
      <x:c r="N168" s="17" t="str"/>
      <x:c r="O168" s="17" t="str"/>
    </x:row>
    <x:row r="169">
      <x:c r="A169" t="str">
        <x:v>public_0165</x:v>
      </x:c>
      <x:c r="B169" t="str">
        <x:v>buying</x:v>
      </x:c>
      <x:c r="C169" t="str">
        <x:v>easy</x:v>
      </x:c>
      <x:c r="D169" t="str">
        <x:v>clothing</x:v>
      </x:c>
      <x:c r="E169" t="str">
        <x:v>B09XHSLX4X</x:v>
      </x:c>
      <x:c r="F169" s="75" t="n">
        <x:v>5</x:v>
      </x:c>
      <x:c r="G169" t="str">
        <x:v>usually positive</x:v>
      </x:c>
      <x:c r="H169" t="str">
        <x:v>3-4 prior purchases</x:v>
      </x:c>
      <x:c r="I169" s="17" t="str">
        <x:v>material | comfort | fit | style</x:v>
      </x:c>
      <x:c r="J169" s="17" t="n">
        <x:v>4</x:v>
      </x:c>
      <x:c r="K169" s="17" t="str">
        <x:v>WOCCI Leather Watch Band, Vintage Replacement Strap, Stainless Steel Buckle, Choice of Width 14mm 16mm 18mm 19mm 20mm 21mm 22mm 23mm 24mm</x:v>
      </x:c>
      <x:c r="L169" s="17" t="str">
        <x:v>Watches Watch Bands</x:v>
      </x:c>
      <x:c r="M169" s="17" t="str">
        <x:v>I'm looking for Watches Watch Bands. A key requirement is: leather.</x:v>
      </x:c>
      <x:c r="N169" s="17" t="str"/>
      <x:c r="O169" s="17" t="str"/>
    </x:row>
    <x:row r="170">
      <x:c r="A170" t="str">
        <x:v>public_0166</x:v>
      </x:c>
      <x:c r="B170" t="str">
        <x:v>intent_override</x:v>
      </x:c>
      <x:c r="C170" t="str">
        <x:v>hard</x:v>
      </x:c>
      <x:c r="D170" t="str">
        <x:v>clothing</x:v>
      </x:c>
      <x:c r="E170" t="str">
        <x:v>B00IHW88W0</x:v>
      </x:c>
      <x:c r="F170" s="75" t="n">
        <x:v>5</x:v>
      </x:c>
      <x:c r="G170" t="str">
        <x:v>usually positive</x:v>
      </x:c>
      <x:c r="H170" t="str">
        <x:v>3-4 prior purchases</x:v>
      </x:c>
      <x:c r="I170" s="17" t="str">
        <x:v>comfort | fit | style</x:v>
      </x:c>
      <x:c r="J170" s="17" t="n">
        <x:v>3</x:v>
      </x:c>
      <x:c r="K170" s="17" t="str">
        <x:v>Muck Boots Hale Multi-Season Women's Rubber Boot</x:v>
      </x:c>
      <x:c r="L170" s="17" t="str">
        <x:v>Boots Rain</x:v>
      </x:c>
      <x:c r="M170" s="17" t="str">
        <x:v>I'm looking for Boots Rain. Women's-specific last is designed to match the contours of women's feet</x:v>
      </x:c>
      <x:c r="N170" s="17" t="n">
        <x:v>4</x:v>
      </x:c>
      <x:c r="O170" s="17" t="str">
        <x:v>Women's-specific last is designed to match the contours of women's feet -&gt; 100% waterproof women's boots are suitable for any season and any outdoor activity</x:v>
      </x:c>
    </x:row>
    <x:row r="171">
      <x:c r="A171" t="str">
        <x:v>public_0167</x:v>
      </x:c>
      <x:c r="B171" t="str">
        <x:v>browsing</x:v>
      </x:c>
      <x:c r="C171" t="str">
        <x:v>medium</x:v>
      </x:c>
      <x:c r="D171" t="str">
        <x:v>clothing</x:v>
      </x:c>
      <x:c r="E171" t="str">
        <x:v>B07357B79L</x:v>
      </x:c>
      <x:c r="F171" s="75" t="n">
        <x:v>5</x:v>
      </x:c>
      <x:c r="G171" t="str">
        <x:v>usually positive</x:v>
      </x:c>
      <x:c r="H171" t="str">
        <x:v>3-4 prior purchases</x:v>
      </x:c>
      <x:c r="I171" s="17" t="str">
        <x:v>comfort | fit | style | durability</x:v>
      </x:c>
      <x:c r="J171" s="17" t="n">
        <x:v>4</x:v>
      </x:c>
      <x:c r="K171" s="17" t="str">
        <x:v>Champion Women's Absolute Sports Bra with SmoothTec Band, Graphic</x:v>
      </x:c>
      <x:c r="L171" s="17" t="str">
        <x:v>Bras Sports Bras</x:v>
      </x:c>
      <x:c r="M171" s="17" t="str">
        <x:v>I'm looking for Bras Sports Bras, but I'm still exploring.</x:v>
      </x:c>
      <x:c r="N171" s="17" t="str"/>
      <x:c r="O171" s="17" t="str"/>
    </x:row>
    <x:row r="172">
      <x:c r="A172" t="str">
        <x:v>public_0168</x:v>
      </x:c>
      <x:c r="B172" t="str">
        <x:v>buying</x:v>
      </x:c>
      <x:c r="C172" t="str">
        <x:v>easy</x:v>
      </x:c>
      <x:c r="D172" t="str">
        <x:v>clothing</x:v>
      </x:c>
      <x:c r="E172" t="str">
        <x:v>B08YYHDJD1</x:v>
      </x:c>
      <x:c r="F172" s="75" t="n">
        <x:v>5</x:v>
      </x:c>
      <x:c r="G172" t="str">
        <x:v>usually positive</x:v>
      </x:c>
      <x:c r="H172" t="str">
        <x:v>3-4 prior purchases</x:v>
      </x:c>
      <x:c r="I172" s="17" t="str">
        <x:v>comfort | warmth | durability | fit</x:v>
      </x:c>
      <x:c r="J172" s="17" t="n">
        <x:v>4</x:v>
      </x:c>
      <x:c r="K172" s="17" t="str">
        <x:v>Desimtion Mothers Day Gifts,Mother Daughter Bracelets Set for 2,3,4,5,6.Matching Heart Back to School Bracelets for Mommy and Me Easter Gifts for Girl</x:v>
      </x:c>
      <x:c r="L172" s="17" t="str">
        <x:v>Necklaces &amp; Pendants Pendants</x:v>
      </x:c>
      <x:c r="M172" s="17" t="str">
        <x:v>I'm looking for Necklaces &amp; Pendants Pendants. A key requirement is: Mother Daughter Bracelets - Heart bracelet on card meaning “Never Truly Part,Maybe in Distance,But Never in Heart”. All daughters love their mom, but sometimes we just forget to sa.</x:v>
      </x:c>
      <x:c r="N172" s="17" t="str"/>
      <x:c r="O172" s="17" t="str"/>
    </x:row>
    <x:row r="173">
      <x:c r="A173" t="str">
        <x:v>public_0169</x:v>
      </x:c>
      <x:c r="B173" t="str">
        <x:v>boundary</x:v>
      </x:c>
      <x:c r="C173" t="str">
        <x:v>medium</x:v>
      </x:c>
      <x:c r="D173" t="str">
        <x:v>clothing</x:v>
      </x:c>
      <x:c r="E173" t="str">
        <x:v>B0829R9M5G</x:v>
      </x:c>
      <x:c r="F173" s="75" t="n">
        <x:v>5</x:v>
      </x:c>
      <x:c r="G173" t="str">
        <x:v>usually positive</x:v>
      </x:c>
      <x:c r="H173" t="str">
        <x:v>3-4 prior purchases</x:v>
      </x:c>
      <x:c r="I173" s="17" t="str">
        <x:v>material | comfort</x:v>
      </x:c>
      <x:c r="J173" s="17" t="n">
        <x:v>2</x:v>
      </x:c>
      <x:c r="K173" s="17" t="str">
        <x:v>Amazon Essentials Women's Pull-On Knit Jegging (Available in Plus Size)</x:v>
      </x:c>
      <x:c r="L173" s="17" t="str">
        <x:v>Women Jeans</x:v>
      </x:c>
      <x:c r="M173" s="17" t="str">
        <x:v>I'm looking for Women Jeans, but I'm still exploring.</x:v>
      </x:c>
      <x:c r="N173" s="17" t="str"/>
      <x:c r="O173" s="17" t="str"/>
    </x:row>
    <x:row r="174">
      <x:c r="A174" t="str">
        <x:v>public_0170</x:v>
      </x:c>
      <x:c r="B174" t="str">
        <x:v>browsing</x:v>
      </x:c>
      <x:c r="C174" t="str">
        <x:v>medium</x:v>
      </x:c>
      <x:c r="D174" t="str">
        <x:v>clothing</x:v>
      </x:c>
      <x:c r="E174" t="str">
        <x:v>B08LRQX5RH</x:v>
      </x:c>
      <x:c r="F174" s="75" t="n">
        <x:v>5</x:v>
      </x:c>
      <x:c r="G174" t="str">
        <x:v>usually positive</x:v>
      </x:c>
      <x:c r="H174" t="str">
        <x:v>3-4 prior purchases</x:v>
      </x:c>
      <x:c r="I174" s="17" t="str">
        <x:v>material | fit</x:v>
      </x:c>
      <x:c r="J174" s="17" t="n">
        <x:v>2</x:v>
      </x:c>
      <x:c r="K174" s="17" t="str">
        <x:v>UGG Women's Harrison Lace Fashion Boot</x:v>
      </x:c>
      <x:c r="L174" s="17" t="str">
        <x:v>Fashion Combat</x:v>
      </x:c>
      <x:c r="M174" s="17" t="str">
        <x:v>I'm looking for Fashion Combat, but I'm still exploring.</x:v>
      </x:c>
      <x:c r="N174" s="17" t="str"/>
      <x:c r="O174" s="17" t="str"/>
    </x:row>
    <x:row r="175">
      <x:c r="A175" t="str">
        <x:v>public_0171</x:v>
      </x:c>
      <x:c r="B175" t="str">
        <x:v>buying</x:v>
      </x:c>
      <x:c r="C175" t="str">
        <x:v>easy</x:v>
      </x:c>
      <x:c r="D175" t="str">
        <x:v>clothing</x:v>
      </x:c>
      <x:c r="E175" t="str">
        <x:v>B0BFVFFHKS</x:v>
      </x:c>
      <x:c r="F175" s="75" t="n">
        <x:v>3</x:v>
      </x:c>
      <x:c r="G175" t="str">
        <x:v>critical</x:v>
      </x:c>
      <x:c r="H175" t="str">
        <x:v>3-4 prior purchases</x:v>
      </x:c>
      <x:c r="I175" s="17" t="str">
        <x:v>fit | material | comfort | warmth</x:v>
      </x:c>
      <x:c r="J175" s="17" t="n">
        <x:v>4</x:v>
      </x:c>
      <x:c r="K175" s="17" t="str">
        <x:v>ZAFUL Bikini Set for Women Solid V Neck Knot Front Push Up High Leg Thong Two Piece Swimsuit</x:v>
      </x:c>
      <x:c r="L175" s="17" t="str">
        <x:v>Bikinis Sets</x:v>
      </x:c>
      <x:c r="M175" s="17" t="str">
        <x:v>I'm looking for Bikinis Sets. A key requirement is: nylon.</x:v>
      </x:c>
      <x:c r="N175" s="17" t="str"/>
      <x:c r="O175" s="17" t="str"/>
    </x:row>
    <x:row r="176">
      <x:c r="A176" t="str">
        <x:v>public_0172</x:v>
      </x:c>
      <x:c r="B176" t="str">
        <x:v>browsing</x:v>
      </x:c>
      <x:c r="C176" t="str">
        <x:v>medium</x:v>
      </x:c>
      <x:c r="D176" t="str">
        <x:v>clothing</x:v>
      </x:c>
      <x:c r="E176" t="str">
        <x:v>B0829PZGBB</x:v>
      </x:c>
      <x:c r="F176" s="75" t="n">
        <x:v>5</x:v>
      </x:c>
      <x:c r="G176" t="str">
        <x:v>usually positive</x:v>
      </x:c>
      <x:c r="H176" t="str">
        <x:v>3-4 prior purchases</x:v>
      </x:c>
      <x:c r="I176" s="17" t="str">
        <x:v>style | fit | material | comfort</x:v>
      </x:c>
      <x:c r="J176" s="17" t="n">
        <x:v>4</x:v>
      </x:c>
      <x:c r="K176" s="17" t="str">
        <x:v>Skechers Women's Sneaker</x:v>
      </x:c>
      <x:c r="L176" s="17" t="str">
        <x:v>Shoes Fashion Sneakers</x:v>
      </x:c>
      <x:c r="M176" s="17" t="str">
        <x:v>I'm looking for Shoes Fashion Sneakers, but I'm still exploring.</x:v>
      </x:c>
      <x:c r="N176" s="17" t="str"/>
      <x:c r="O176" s="17" t="str"/>
    </x:row>
    <x:row r="177">
      <x:c r="A177" t="str">
        <x:v>public_0173</x:v>
      </x:c>
      <x:c r="B177" t="str">
        <x:v>browsing</x:v>
      </x:c>
      <x:c r="C177" t="str">
        <x:v>medium</x:v>
      </x:c>
      <x:c r="D177" t="str">
        <x:v>clothing</x:v>
      </x:c>
      <x:c r="E177" t="str">
        <x:v>B07THT4G8N</x:v>
      </x:c>
      <x:c r="F177" s="75" t="n">
        <x:v>5</x:v>
      </x:c>
      <x:c r="G177" t="str">
        <x:v>usually positive</x:v>
      </x:c>
      <x:c r="H177" t="str">
        <x:v>3-4 prior purchases</x:v>
      </x:c>
      <x:c r="I177" s="17" t="str">
        <x:v>fit | comfort | durability | style</x:v>
      </x:c>
      <x:c r="J177" s="17" t="n">
        <x:v>4</x:v>
      </x:c>
      <x:c r="K177" s="17" t="str">
        <x:v>Aqua Socks Beach Water Shoes Barefoot Yoga Socks Quick-Dry Surf Pool Swim Shoes for Women Men</x:v>
      </x:c>
      <x:c r="L177" s="17" t="str">
        <x:v>Athletic Water Shoes</x:v>
      </x:c>
      <x:c r="M177" s="17" t="str">
        <x:v>I'm looking for Athletic Water Shoes, but I'm still exploring.</x:v>
      </x:c>
      <x:c r="N177" s="17" t="str"/>
      <x:c r="O177" s="17" t="str"/>
    </x:row>
    <x:row r="178">
      <x:c r="A178" t="str">
        <x:v>public_0174</x:v>
      </x:c>
      <x:c r="B178" t="str">
        <x:v>buying</x:v>
      </x:c>
      <x:c r="C178" t="str">
        <x:v>easy</x:v>
      </x:c>
      <x:c r="D178" t="str">
        <x:v>clothing</x:v>
      </x:c>
      <x:c r="E178" t="str">
        <x:v>B0794VPVBH</x:v>
      </x:c>
      <x:c r="F178" s="75" t="n">
        <x:v>5</x:v>
      </x:c>
      <x:c r="G178" t="str">
        <x:v>usually positive</x:v>
      </x:c>
      <x:c r="H178" t="str">
        <x:v>3-4 prior purchases</x:v>
      </x:c>
      <x:c r="I178" s="17" t="str">
        <x:v>fit | comfort | material | durability</x:v>
      </x:c>
      <x:c r="J178" s="17" t="n">
        <x:v>4</x:v>
      </x:c>
      <x:c r="K178" s="17" t="str">
        <x:v>NY Threads Luxurious Mens Shawl Collar Fleece Bathrobe Spa Robe</x:v>
      </x:c>
      <x:c r="L178" s="17" t="str">
        <x:v>Sleep &amp; Lounge Robes</x:v>
      </x:c>
      <x:c r="M178" s="17" t="str">
        <x:v>I'm looking for Sleep &amp; Lounge Robes. A key requirement is: polyester.</x:v>
      </x:c>
      <x:c r="N178" s="17" t="str"/>
      <x:c r="O178" s="17" t="str"/>
    </x:row>
    <x:row r="179">
      <x:c r="A179" t="str">
        <x:v>public_0175</x:v>
      </x:c>
      <x:c r="B179" t="str">
        <x:v>browsing</x:v>
      </x:c>
      <x:c r="C179" t="str">
        <x:v>medium</x:v>
      </x:c>
      <x:c r="D179" t="str">
        <x:v>clothing</x:v>
      </x:c>
      <x:c r="E179" t="str">
        <x:v>B07D5M61T2</x:v>
      </x:c>
      <x:c r="F179" s="75" t="n">
        <x:v>5</x:v>
      </x:c>
      <x:c r="G179" t="str">
        <x:v>usually positive</x:v>
      </x:c>
      <x:c r="H179" t="str">
        <x:v>3-4 prior purchases</x:v>
      </x:c>
      <x:c r="I179" s="17" t="str">
        <x:v>fit | style | material | comfort</x:v>
      </x:c>
      <x:c r="J179" s="17" t="n">
        <x:v>4</x:v>
      </x:c>
      <x:c r="K179" s="17" t="str">
        <x:v>Ariat Men’s M2 Relaxed Boot Cut Jean</x:v>
      </x:c>
      <x:c r="L179" s="17" t="str">
        <x:v>Men Jeans</x:v>
      </x:c>
      <x:c r="M179" s="17" t="str">
        <x:v>I'm looking for Men Jeans, but I'm still exploring.</x:v>
      </x:c>
      <x:c r="N179" s="17" t="str"/>
      <x:c r="O179" s="17" t="str"/>
    </x:row>
    <x:row r="180">
      <x:c r="A180" t="str">
        <x:v>public_0176</x:v>
      </x:c>
      <x:c r="B180" t="str">
        <x:v>browsing</x:v>
      </x:c>
      <x:c r="C180" t="str">
        <x:v>medium</x:v>
      </x:c>
      <x:c r="D180" t="str">
        <x:v>clothing</x:v>
      </x:c>
      <x:c r="E180" t="str">
        <x:v>B0C3MKNZJN</x:v>
      </x:c>
      <x:c r="F180" s="75" t="n">
        <x:v>5</x:v>
      </x:c>
      <x:c r="G180" t="str">
        <x:v>usually positive</x:v>
      </x:c>
      <x:c r="H180" t="str">
        <x:v>3-4 prior purchases</x:v>
      </x:c>
      <x:c r="I180" s="17" t="str">
        <x:v>fit | style | material | comfort</x:v>
      </x:c>
      <x:c r="J180" s="17" t="n">
        <x:v>4</x:v>
      </x:c>
      <x:c r="K180" s="17" t="str">
        <x:v>adidas Originals Originals Sport Waist Pack</x:v>
      </x:c>
      <x:c r="L180" s="17" t="str">
        <x:v>Luggage &amp; Travel Gear Waist Packs</x:v>
      </x:c>
      <x:c r="M180" s="17" t="str">
        <x:v>I'm looking for Luggage &amp; Travel Gear Waist Packs, but I'm still exploring.</x:v>
      </x:c>
      <x:c r="N180" s="17" t="str"/>
      <x:c r="O180" s="17" t="str"/>
    </x:row>
    <x:row r="181">
      <x:c r="A181" t="str">
        <x:v>public_0177</x:v>
      </x:c>
      <x:c r="B181" t="str">
        <x:v>intent_override</x:v>
      </x:c>
      <x:c r="C181" t="str">
        <x:v>hard</x:v>
      </x:c>
      <x:c r="D181" t="str">
        <x:v>clothing</x:v>
      </x:c>
      <x:c r="E181" t="str">
        <x:v>B07HV9WW6Q</x:v>
      </x:c>
      <x:c r="F181" s="75" t="n">
        <x:v>3</x:v>
      </x:c>
      <x:c r="G181" t="str">
        <x:v>critical</x:v>
      </x:c>
      <x:c r="H181" t="str">
        <x:v>3-4 prior purchases</x:v>
      </x:c>
      <x:c r="I181" s="17" t="str">
        <x:v>style | fit | comfort | material</x:v>
      </x:c>
      <x:c r="J181" s="17" t="n">
        <x:v>4</x:v>
      </x:c>
      <x:c r="K181" s="17" t="str">
        <x:v>ANIXAY Women's Short/Long Sleeve Henley Button up T Shirt Casual Basic Tops Blouse</x:v>
      </x:c>
      <x:c r="L181" s="17" t="str">
        <x:v>Tops Tees &amp; Blouses</x:v>
      </x:c>
      <x:c r="M181" s="17" t="str">
        <x:v>I'm looking for Tops Tees &amp; Blouses. Button closure</x:v>
      </x:c>
      <x:c r="N181" s="17" t="n">
        <x:v>4</x:v>
      </x:c>
      <x:c r="O181" s="17" t="str">
        <x:v>Button closure -&gt; cotton</x:v>
      </x:c>
    </x:row>
    <x:row r="182">
      <x:c r="A182" t="str">
        <x:v>public_0178</x:v>
      </x:c>
      <x:c r="B182" t="str">
        <x:v>buying</x:v>
      </x:c>
      <x:c r="C182" t="str">
        <x:v>easy</x:v>
      </x:c>
      <x:c r="D182" t="str">
        <x:v>clothing</x:v>
      </x:c>
      <x:c r="E182" t="str">
        <x:v>B01FWQ8NH8</x:v>
      </x:c>
      <x:c r="F182" s="75" t="n">
        <x:v>5</x:v>
      </x:c>
      <x:c r="G182" t="str">
        <x:v>usually positive</x:v>
      </x:c>
      <x:c r="H182" t="str">
        <x:v>3-4 prior purchases</x:v>
      </x:c>
      <x:c r="I182" s="17" t="str">
        <x:v>comfort | material | fit</x:v>
      </x:c>
      <x:c r="J182" s="17" t="n">
        <x:v>3</x:v>
      </x:c>
      <x:c r="K182" s="17" t="str">
        <x:v>Red Hot Chili Peppers Distressed Men's T-Shirt Black</x:v>
      </x:c>
      <x:c r="L182" s="17" t="str">
        <x:v>Shirts T-Shirts</x:v>
      </x:c>
      <x:c r="M182" s="17" t="str">
        <x:v>I'm looking for Shirts T-Shirts. A key requirement is: cotton.</x:v>
      </x:c>
      <x:c r="N182" s="17" t="str"/>
      <x:c r="O182" s="17" t="str"/>
    </x:row>
    <x:row r="183">
      <x:c r="A183" t="str">
        <x:v>public_0179</x:v>
      </x:c>
      <x:c r="B183" t="str">
        <x:v>buying</x:v>
      </x:c>
      <x:c r="C183" t="str">
        <x:v>easy</x:v>
      </x:c>
      <x:c r="D183" t="str">
        <x:v>clothing</x:v>
      </x:c>
      <x:c r="E183" t="str">
        <x:v>B08JK818ZD</x:v>
      </x:c>
      <x:c r="F183" s="75" t="n">
        <x:v>3</x:v>
      </x:c>
      <x:c r="G183" t="str">
        <x:v>critical</x:v>
      </x:c>
      <x:c r="H183" t="str">
        <x:v>3-4 prior purchases</x:v>
      </x:c>
      <x:c r="I183" s="17" t="str">
        <x:v>warmth | comfort | material | fit</x:v>
      </x:c>
      <x:c r="J183" s="17" t="n">
        <x:v>4</x:v>
      </x:c>
      <x:c r="K183" s="17" t="str">
        <x:v>Azules Women's Long Sleeve Flowy Tunic</x:v>
      </x:c>
      <x:c r="L183" s="17" t="str">
        <x:v>Tees &amp; Blouses Tunics</x:v>
      </x:c>
      <x:c r="M183" s="17" t="str">
        <x:v>I'm looking for Tees &amp; Blouses Tunics. A key requirement is: spandex.</x:v>
      </x:c>
      <x:c r="N183" s="17" t="str"/>
      <x:c r="O183" s="17" t="str"/>
    </x:row>
    <x:row r="184">
      <x:c r="A184" t="str">
        <x:v>public_0180</x:v>
      </x:c>
      <x:c r="B184" t="str">
        <x:v>boundary</x:v>
      </x:c>
      <x:c r="C184" t="str">
        <x:v>medium</x:v>
      </x:c>
      <x:c r="D184" t="str">
        <x:v>clothing</x:v>
      </x:c>
      <x:c r="E184" t="str">
        <x:v>B01HSMYV8E</x:v>
      </x:c>
      <x:c r="F184" s="75" t="n">
        <x:v>3</x:v>
      </x:c>
      <x:c r="G184" t="str">
        <x:v>critical</x:v>
      </x:c>
      <x:c r="H184" t="str">
        <x:v>3-4 prior purchases</x:v>
      </x:c>
      <x:c r="I184" s="17" t="str">
        <x:v>material | comfort | fit | style</x:v>
      </x:c>
      <x:c r="J184" s="17" t="n">
        <x:v>4</x:v>
      </x:c>
      <x:c r="K184" s="17" t="str">
        <x:v>Saucony Women's Cohesion 10 Running Shoe</x:v>
      </x:c>
      <x:c r="L184" s="17" t="str">
        <x:v>Shoes Fashion Sneakers</x:v>
      </x:c>
      <x:c r="M184" s="17" t="str">
        <x:v>I'm looking for Shoes Fashion Sneakers, but I'm still exploring.</x:v>
      </x:c>
      <x:c r="N184" s="17" t="str"/>
      <x:c r="O184" s="17" t="str"/>
    </x:row>
    <x:row r="185">
      <x:c r="A185" t="str">
        <x:v>public_0181</x:v>
      </x:c>
      <x:c r="B185" t="str">
        <x:v>browsing</x:v>
      </x:c>
      <x:c r="C185" t="str">
        <x:v>medium</x:v>
      </x:c>
      <x:c r="D185" t="str">
        <x:v>clothing</x:v>
      </x:c>
      <x:c r="E185" t="str">
        <x:v>B08M3WKDFJ</x:v>
      </x:c>
      <x:c r="F185" s="75" t="n">
        <x:v>5</x:v>
      </x:c>
      <x:c r="G185" t="str">
        <x:v>usually positive</x:v>
      </x:c>
      <x:c r="H185" t="str">
        <x:v>3-4 prior purchases</x:v>
      </x:c>
      <x:c r="I185" s="17" t="str">
        <x:v>warmth | comfort | material | fit</x:v>
      </x:c>
      <x:c r="J185" s="17" t="n">
        <x:v>4</x:v>
      </x:c>
      <x:c r="K185" s="17" t="str">
        <x:v>Fixmatti Women's 2 Piece Outfits Long Sleeve Pullover Sweatshirt Jogger Pants Sweatsuit</x:v>
      </x:c>
      <x:c r="L185" s="17" t="str">
        <x:v>Sets Tracksuits</x:v>
      </x:c>
      <x:c r="M185" s="17" t="str">
        <x:v>I'm looking for Sets Tracksuits, but I'm still exploring.</x:v>
      </x:c>
      <x:c r="N185" s="17" t="str"/>
      <x:c r="O185" s="17" t="str"/>
    </x:row>
    <x:row r="186">
      <x:c r="A186" t="str">
        <x:v>public_0182</x:v>
      </x:c>
      <x:c r="B186" t="str">
        <x:v>browsing</x:v>
      </x:c>
      <x:c r="C186" t="str">
        <x:v>medium</x:v>
      </x:c>
      <x:c r="D186" t="str">
        <x:v>clothing</x:v>
      </x:c>
      <x:c r="E186" t="str">
        <x:v>B0C5XBLB2P</x:v>
      </x:c>
      <x:c r="F186" s="75" t="n">
        <x:v>1</x:v>
      </x:c>
      <x:c r="G186" t="str">
        <x:v>critical</x:v>
      </x:c>
      <x:c r="H186" t="str">
        <x:v>3-4 prior purchases</x:v>
      </x:c>
      <x:c r="I186" s="17" t="str">
        <x:v>comfort | material</x:v>
      </x:c>
      <x:c r="J186" s="17" t="n">
        <x:v>2</x:v>
      </x:c>
      <x:c r="K186" s="17" t="str">
        <x:v>ELFISH Mini RFID Aluminum Wallet Credit Cards Holder Business Card Case Metal ID Case for Men Women (Black Marble)</x:v>
      </x:c>
      <x:c r="L186" s="17" t="str">
        <x:v>Card &amp; ID Cases Card Cases</x:v>
      </x:c>
      <x:c r="M186" s="17" t="str">
        <x:v>I'm looking for Card &amp; ID Cases Card Cases, but I'm still exploring.</x:v>
      </x:c>
      <x:c r="N186" s="17" t="str"/>
      <x:c r="O186" s="17" t="str"/>
    </x:row>
    <x:row r="187">
      <x:c r="A187" t="str">
        <x:v>public_0183</x:v>
      </x:c>
      <x:c r="B187" t="str">
        <x:v>intent_override</x:v>
      </x:c>
      <x:c r="C187" t="str">
        <x:v>hard</x:v>
      </x:c>
      <x:c r="D187" t="str">
        <x:v>clothing</x:v>
      </x:c>
      <x:c r="E187" t="str">
        <x:v>B07Z2KSZR3</x:v>
      </x:c>
      <x:c r="F187" s="75" t="n">
        <x:v>4</x:v>
      </x:c>
      <x:c r="G187" t="str">
        <x:v>mixed</x:v>
      </x:c>
      <x:c r="H187" t="str">
        <x:v>3-4 prior purchases</x:v>
      </x:c>
      <x:c r="I187" s="17" t="str">
        <x:v>material | fit</x:v>
      </x:c>
      <x:c r="J187" s="17" t="n">
        <x:v>2</x:v>
      </x:c>
      <x:c r="K187" s="17" t="str">
        <x:v>SheIn Women's Double Breasted Long Vest Jacket Casual Sleeveless Pocket Outerwear Longline</x:v>
      </x:c>
      <x:c r="L187" s="17" t="str">
        <x:v>Jackets &amp; Vests Vests</x:v>
      </x:c>
      <x:c r="M187" s="17" t="str">
        <x:v>I'm looking for Jackets &amp; Vests Vests. Hand Wash Only</x:v>
      </x:c>
      <x:c r="N187" s="17" t="n">
        <x:v>4</x:v>
      </x:c>
      <x:c r="O187" s="17" t="str">
        <x:v>Hand Wash Only -&gt; polyester</x:v>
      </x:c>
    </x:row>
    <x:row r="188">
      <x:c r="A188" t="str">
        <x:v>public_0184</x:v>
      </x:c>
      <x:c r="B188" t="str">
        <x:v>browsing</x:v>
      </x:c>
      <x:c r="C188" t="str">
        <x:v>medium</x:v>
      </x:c>
      <x:c r="D188" t="str">
        <x:v>clothing</x:v>
      </x:c>
      <x:c r="E188" t="str">
        <x:v>B0BWLFCTTF</x:v>
      </x:c>
      <x:c r="F188" s="75" t="n">
        <x:v>5</x:v>
      </x:c>
      <x:c r="G188" t="str">
        <x:v>usually positive</x:v>
      </x:c>
      <x:c r="H188" t="str">
        <x:v>3-4 prior purchases</x:v>
      </x:c>
      <x:c r="I188" s="17" t="str">
        <x:v>fit | material | comfort | style</x:v>
      </x:c>
      <x:c r="J188" s="17" t="n">
        <x:v>4</x:v>
      </x:c>
      <x:c r="K188" s="17" t="str">
        <x:v>Ray-Ban Woman Sunglasses Black Frame, Green Classic G-15 Lenses, 57MM</x:v>
      </x:c>
      <x:c r="L188" s="17" t="str">
        <x:v>Sunglasses &amp; Eyewear Accessories Sunglasses</x:v>
      </x:c>
      <x:c r="M188" s="17" t="str">
        <x:v>I'm looking for Sunglasses &amp; Eyewear Accessories Sunglasses, but I'm still exploring.</x:v>
      </x:c>
      <x:c r="N188" s="17" t="str"/>
      <x:c r="O188" s="17" t="str"/>
    </x:row>
    <x:row r="189">
      <x:c r="A189" t="str">
        <x:v>public_0185</x:v>
      </x:c>
      <x:c r="B189" t="str">
        <x:v>buying</x:v>
      </x:c>
      <x:c r="C189" t="str">
        <x:v>easy</x:v>
      </x:c>
      <x:c r="D189" t="str">
        <x:v>clothing</x:v>
      </x:c>
      <x:c r="E189" t="str">
        <x:v>B0BCW4QKV5</x:v>
      </x:c>
      <x:c r="F189" s="75" t="n">
        <x:v>3</x:v>
      </x:c>
      <x:c r="G189" t="str">
        <x:v>critical</x:v>
      </x:c>
      <x:c r="H189" t="str">
        <x:v>3-4 prior purchases</x:v>
      </x:c>
      <x:c r="I189" s="17" t="str">
        <x:v>comfort | style | material | fit</x:v>
      </x:c>
      <x:c r="J189" s="17" t="n">
        <x:v>4</x:v>
      </x:c>
      <x:c r="K189" s="17" t="str">
        <x:v>MIOTAN Boy Shorts Underwear for Women High Waisted Panties Cotton Boxer Briefs 4 Pack</x:v>
      </x:c>
      <x:c r="L189" s="17" t="str">
        <x:v>Panties Boy Shorts</x:v>
      </x:c>
      <x:c r="M189" s="17" t="str">
        <x:v>I'm looking for Panties Boy Shorts. A key requirement is: cotton.</x:v>
      </x:c>
      <x:c r="N189" s="17" t="str"/>
      <x:c r="O189" s="17" t="str"/>
    </x:row>
    <x:row r="190">
      <x:c r="A190" t="str">
        <x:v>public_0186</x:v>
      </x:c>
      <x:c r="B190" t="str">
        <x:v>intent_override</x:v>
      </x:c>
      <x:c r="C190" t="str">
        <x:v>hard</x:v>
      </x:c>
      <x:c r="D190" t="str">
        <x:v>clothing</x:v>
      </x:c>
      <x:c r="E190" t="str">
        <x:v>B07XPLHXC1</x:v>
      </x:c>
      <x:c r="F190" s="75" t="n">
        <x:v>5</x:v>
      </x:c>
      <x:c r="G190" t="str">
        <x:v>usually positive</x:v>
      </x:c>
      <x:c r="H190" t="str">
        <x:v>3-4 prior purchases</x:v>
      </x:c>
      <x:c r="I190" s="17" t="str">
        <x:v>material | comfort | fit | style</x:v>
      </x:c>
      <x:c r="J190" s="17" t="n">
        <x:v>4</x:v>
      </x:c>
      <x:c r="K190" s="17" t="str">
        <x:v>ASICS Women's Gel-Contend 6 Running Shoes</x:v>
      </x:c>
      <x:c r="L190" s="17" t="str">
        <x:v>Running Road Running</x:v>
      </x:c>
      <x:c r="M190" s="17" t="str">
        <x:v>I'm looking for Running Road Running. Ortholite Sockliner: Moisture management (Ortholite is a registered trademark of O2 Partners LLC)</x:v>
      </x:c>
      <x:c r="N190" s="17" t="n">
        <x:v>3</x:v>
      </x:c>
      <x:c r="O190" s="17" t="str">
        <x:v>Ortholite Sockliner: Moisture management (Ortholite is a registered trademark of O2 Partners LLC) -&gt; 100% Synthetic</x:v>
      </x:c>
    </x:row>
    <x:row r="191">
      <x:c r="A191" t="str">
        <x:v>public_0187</x:v>
      </x:c>
      <x:c r="B191" t="str">
        <x:v>boundary</x:v>
      </x:c>
      <x:c r="C191" t="str">
        <x:v>medium</x:v>
      </x:c>
      <x:c r="D191" t="str">
        <x:v>clothing</x:v>
      </x:c>
      <x:c r="E191" t="str">
        <x:v>B000GQ1F3O</x:v>
      </x:c>
      <x:c r="F191" s="75" t="n">
        <x:v>5</x:v>
      </x:c>
      <x:c r="G191" t="str">
        <x:v>usually positive</x:v>
      </x:c>
      <x:c r="H191" t="str">
        <x:v>3-4 prior purchases</x:v>
      </x:c>
      <x:c r="I191" s="17" t="str">
        <x:v>weather | comfort | style</x:v>
      </x:c>
      <x:c r="J191" s="17" t="n">
        <x:v>3</x:v>
      </x:c>
      <x:c r="K191" s="17" t="str">
        <x:v>Eastland Men's Newport Slip-On Shoe</x:v>
      </x:c>
      <x:c r="L191" s="17" t="str">
        <x:v>Shoes Loafers &amp; Slip-Ons</x:v>
      </x:c>
      <x:c r="M191" s="17" t="str">
        <x:v>I'm looking for Shoes Loafers &amp; Slip-Ons, but I'm still exploring.</x:v>
      </x:c>
      <x:c r="N191" s="17" t="str"/>
      <x:c r="O191" s="17" t="str"/>
    </x:row>
    <x:row r="192">
      <x:c r="A192" t="str">
        <x:v>public_0188</x:v>
      </x:c>
      <x:c r="B192" t="str">
        <x:v>buying</x:v>
      </x:c>
      <x:c r="C192" t="str">
        <x:v>easy</x:v>
      </x:c>
      <x:c r="D192" t="str">
        <x:v>clothing</x:v>
      </x:c>
      <x:c r="E192" t="str">
        <x:v>B0B5ZS2J2W</x:v>
      </x:c>
      <x:c r="F192" s="75" t="n">
        <x:v>5</x:v>
      </x:c>
      <x:c r="G192" t="str">
        <x:v>usually positive</x:v>
      </x:c>
      <x:c r="H192" t="str">
        <x:v>3-4 prior purchases</x:v>
      </x:c>
      <x:c r="I192" s="17" t="str">
        <x:v>material | fit</x:v>
      </x:c>
      <x:c r="J192" s="17" t="n">
        <x:v>2</x:v>
      </x:c>
      <x:c r="K192" s="17" t="str">
        <x:v>CLUCI Crossbody Purses for Women, Medium Size Zipper Pocket Adjustable Strap, Soft Leather Women's Shoulder Handbags</x:v>
      </x:c>
      <x:c r="L192" s="17" t="str">
        <x:v>Handbags &amp; Wallets Crossbody Bags</x:v>
      </x:c>
      <x:c r="M192" s="17" t="str">
        <x:v>I'm looking for Handbags &amp; Wallets Crossbody Bags. A key requirement is: leather.</x:v>
      </x:c>
      <x:c r="N192" s="17" t="str"/>
      <x:c r="O192" s="17" t="str"/>
    </x:row>
    <x:row r="193">
      <x:c r="A193" t="str">
        <x:v>public_0189</x:v>
      </x:c>
      <x:c r="B193" t="str">
        <x:v>buying</x:v>
      </x:c>
      <x:c r="C193" t="str">
        <x:v>easy</x:v>
      </x:c>
      <x:c r="D193" t="str">
        <x:v>clothing</x:v>
      </x:c>
      <x:c r="E193" t="str">
        <x:v>B0C614ZPK3</x:v>
      </x:c>
      <x:c r="F193" s="75" t="n">
        <x:v>5</x:v>
      </x:c>
      <x:c r="G193" t="str">
        <x:v>usually positive</x:v>
      </x:c>
      <x:c r="H193" t="str">
        <x:v>3-4 prior purchases</x:v>
      </x:c>
      <x:c r="I193" s="17" t="str">
        <x:v>comfort | material</x:v>
      </x:c>
      <x:c r="J193" s="17" t="n">
        <x:v>2</x:v>
      </x:c>
      <x:c r="K193" s="17" t="str">
        <x:v>Levi's Men's 505 Regular Fit Shorts (Also Available in Big &amp; Tall)</x:v>
      </x:c>
      <x:c r="L193" s="17" t="str">
        <x:v>Shorts Denim</x:v>
      </x:c>
      <x:c r="M193" s="17" t="str">
        <x:v>I'm looking for Shorts Denim. A key requirement is: cotton.</x:v>
      </x:c>
      <x:c r="N193" s="17" t="str"/>
      <x:c r="O193" s="17" t="str"/>
    </x:row>
    <x:row r="194">
      <x:c r="A194" t="str">
        <x:v>public_0190</x:v>
      </x:c>
      <x:c r="B194" t="str">
        <x:v>buying</x:v>
      </x:c>
      <x:c r="C194" t="str">
        <x:v>easy</x:v>
      </x:c>
      <x:c r="D194" t="str">
        <x:v>clothing</x:v>
      </x:c>
      <x:c r="E194" t="str">
        <x:v>B01MQUDPPO</x:v>
      </x:c>
      <x:c r="F194" s="75" t="n">
        <x:v>5</x:v>
      </x:c>
      <x:c r="G194" t="str">
        <x:v>usually positive</x:v>
      </x:c>
      <x:c r="H194" t="str">
        <x:v>3-4 prior purchases</x:v>
      </x:c>
      <x:c r="I194" s="17" t="str">
        <x:v>material | fit</x:v>
      </x:c>
      <x:c r="J194" s="17" t="n">
        <x:v>2</x:v>
      </x:c>
      <x:c r="K194" s="17" t="str">
        <x:v>Iflex Scrubs for Women, Yoga-Inspired Knit Waistband Scrub Pants CK002</x:v>
      </x:c>
      <x:c r="L194" s="17" t="str">
        <x:v>Medical Scrub Bottoms</x:v>
      </x:c>
      <x:c r="M194" s="17" t="str">
        <x:v>I'm looking for Medical Scrub Bottoms. A key requirement is: polyester.</x:v>
      </x:c>
      <x:c r="N194" s="17" t="str"/>
      <x:c r="O194" s="17" t="str"/>
    </x:row>
    <x:row r="195">
      <x:c r="A195" t="str">
        <x:v>public_0191</x:v>
      </x:c>
      <x:c r="B195" t="str">
        <x:v>browsing</x:v>
      </x:c>
      <x:c r="C195" t="str">
        <x:v>medium</x:v>
      </x:c>
      <x:c r="D195" t="str">
        <x:v>clothing</x:v>
      </x:c>
      <x:c r="E195" t="str">
        <x:v>B083TB1NDK</x:v>
      </x:c>
      <x:c r="F195" s="75" t="n">
        <x:v>5</x:v>
      </x:c>
      <x:c r="G195" t="str">
        <x:v>usually positive</x:v>
      </x:c>
      <x:c r="H195" t="str">
        <x:v>3-4 prior purchases</x:v>
      </x:c>
      <x:c r="I195" s="17" t="str">
        <x:v>performance | comfort | material | fit</x:v>
      </x:c>
      <x:c r="J195" s="17" t="n">
        <x:v>4</x:v>
      </x:c>
      <x:c r="K195" s="17" t="str">
        <x:v>CS CELERSPORT 3 Pairs Compression Socks for Men and Women 20-30 mmHg Running Support Socks</x:v>
      </x:c>
      <x:c r="L195" s="17" t="str">
        <x:v>Men Active</x:v>
      </x:c>
      <x:c r="M195" s="17" t="str">
        <x:v>I'm looking for Men Active, but I'm still exploring.</x:v>
      </x:c>
      <x:c r="N195" s="17" t="str"/>
      <x:c r="O195" s="17" t="str"/>
    </x:row>
    <x:row r="196">
      <x:c r="A196" t="str">
        <x:v>public_0192</x:v>
      </x:c>
      <x:c r="B196" t="str">
        <x:v>boundary</x:v>
      </x:c>
      <x:c r="C196" t="str">
        <x:v>medium</x:v>
      </x:c>
      <x:c r="D196" t="str">
        <x:v>clothing</x:v>
      </x:c>
      <x:c r="E196" t="str">
        <x:v>B0C62MF2HV</x:v>
      </x:c>
      <x:c r="F196" s="75" t="n">
        <x:v>5</x:v>
      </x:c>
      <x:c r="G196" t="str">
        <x:v>usually positive</x:v>
      </x:c>
      <x:c r="H196" t="str">
        <x:v>3-4 prior purchases</x:v>
      </x:c>
      <x:c r="I196" s="17" t="str">
        <x:v>comfort | fit | style</x:v>
      </x:c>
      <x:c r="J196" s="17" t="n">
        <x:v>3</x:v>
      </x:c>
      <x:c r="K196" s="17" t="str">
        <x:v>adidas unisex adult Adilette Clog Slide Sandal, Pink Tint/White/Pink Tint, 12 Women Men US</x:v>
      </x:c>
      <x:c r="L196" s="17" t="str">
        <x:v>Athletic Sport Sandals &amp; Slides</x:v>
      </x:c>
      <x:c r="M196" s="17" t="str">
        <x:v>I'm looking for Athletic Sport Sandals &amp; Slides, but I'm still exploring.</x:v>
      </x:c>
      <x:c r="N196" s="17" t="str"/>
      <x:c r="O196" s="17" t="str"/>
    </x:row>
    <x:row r="197">
      <x:c r="A197" t="str">
        <x:v>public_0193</x:v>
      </x:c>
      <x:c r="B197" t="str">
        <x:v>buying</x:v>
      </x:c>
      <x:c r="C197" t="str">
        <x:v>easy</x:v>
      </x:c>
      <x:c r="D197" t="str">
        <x:v>clothing</x:v>
      </x:c>
      <x:c r="E197" t="str">
        <x:v>B07YM55NLW</x:v>
      </x:c>
      <x:c r="F197" s="75" t="n">
        <x:v>5</x:v>
      </x:c>
      <x:c r="G197" t="str">
        <x:v>usually positive</x:v>
      </x:c>
      <x:c r="H197" t="str">
        <x:v>3-4 prior purchases</x:v>
      </x:c>
      <x:c r="I197" s="17" t="str">
        <x:v>material | fit</x:v>
      </x:c>
      <x:c r="J197" s="17" t="n">
        <x:v>2</x:v>
      </x:c>
      <x:c r="K197" s="17" t="str">
        <x:v>Shimmer Anna Shine USA American Flag Patriotic Scarf</x:v>
      </x:c>
      <x:c r="L197" s="17" t="str">
        <x:v>Scarves &amp; Wraps Fashion Scarves</x:v>
      </x:c>
      <x:c r="M197" s="17" t="str">
        <x:v>I'm looking for Scarves &amp; Wraps Fashion Scarves. A key requirement is: fabric.</x:v>
      </x:c>
      <x:c r="N197" s="17" t="str"/>
      <x:c r="O197" s="17" t="str"/>
    </x:row>
    <x:row r="198">
      <x:c r="A198" t="str">
        <x:v>public_0194</x:v>
      </x:c>
      <x:c r="B198" t="str">
        <x:v>buying</x:v>
      </x:c>
      <x:c r="C198" t="str">
        <x:v>easy</x:v>
      </x:c>
      <x:c r="D198" t="str">
        <x:v>clothing</x:v>
      </x:c>
      <x:c r="E198" t="str">
        <x:v>B09WR1NZ48</x:v>
      </x:c>
      <x:c r="F198" s="75" t="n">
        <x:v>5</x:v>
      </x:c>
      <x:c r="G198" t="str">
        <x:v>usually positive</x:v>
      </x:c>
      <x:c r="H198" t="str">
        <x:v>3-4 prior purchases</x:v>
      </x:c>
      <x:c r="I198" s="17" t="str">
        <x:v>warmth | weather | comfort | fit</x:v>
      </x:c>
      <x:c r="J198" s="17" t="n">
        <x:v>4</x:v>
      </x:c>
      <x:c r="K198" s="17" t="str">
        <x:v>Graphic Tees for Women Short Sleeve Tshirts,Womens Summer Tops Crewneck Shirt Blouse</x:v>
      </x:c>
      <x:c r="L198" s="17" t="str">
        <x:v>Tees &amp; Blouses T-Shirts</x:v>
      </x:c>
      <x:c r="M198" s="17" t="str">
        <x:v>I'm looking for Tees &amp; Blouses T-Shirts. A key requirement is: rayon.</x:v>
      </x:c>
      <x:c r="N198" s="17" t="str"/>
      <x:c r="O198" s="17" t="str"/>
    </x:row>
    <x:row r="199">
      <x:c r="A199" t="str">
        <x:v>public_0195</x:v>
      </x:c>
      <x:c r="B199" t="str">
        <x:v>browsing</x:v>
      </x:c>
      <x:c r="C199" t="str">
        <x:v>medium</x:v>
      </x:c>
      <x:c r="D199" t="str">
        <x:v>clothing</x:v>
      </x:c>
      <x:c r="E199" t="str">
        <x:v>B072M4K5LF</x:v>
      </x:c>
      <x:c r="F199" s="75" t="n">
        <x:v>3</x:v>
      </x:c>
      <x:c r="G199" t="str">
        <x:v>critical</x:v>
      </x:c>
      <x:c r="H199" t="str">
        <x:v>3-4 prior purchases</x:v>
      </x:c>
      <x:c r="I199" s="17" t="str">
        <x:v>material | fit</x:v>
      </x:c>
      <x:c r="J199" s="17" t="n">
        <x:v>2</x:v>
      </x:c>
      <x:c r="K199" s="17" t="str">
        <x:v>Floerns Women's Ruffle Off Shoulder Rose Embroidery Loose Blouse Top</x:v>
      </x:c>
      <x:c r="L199" s="17" t="str">
        <x:v>Tees &amp; Blouses Blouses &amp; Button-Down Shirts</x:v>
      </x:c>
      <x:c r="M199" s="17" t="str">
        <x:v>I'm looking for Tees &amp; Blouses Blouses &amp; Button-Down Shirts, but I'm still exploring.</x:v>
      </x:c>
      <x:c r="N199" s="17" t="str"/>
      <x:c r="O199" s="17" t="str"/>
    </x:row>
    <x:row r="200">
      <x:c r="A200" t="str">
        <x:v>public_0196</x:v>
      </x:c>
      <x:c r="B200" t="str">
        <x:v>browsing</x:v>
      </x:c>
      <x:c r="C200" t="str">
        <x:v>medium</x:v>
      </x:c>
      <x:c r="D200" t="str">
        <x:v>clothing</x:v>
      </x:c>
      <x:c r="E200" t="str">
        <x:v>B073T364MM</x:v>
      </x:c>
      <x:c r="F200" s="75" t="n">
        <x:v>5</x:v>
      </x:c>
      <x:c r="G200" t="str">
        <x:v>usually positive</x:v>
      </x:c>
      <x:c r="H200" t="str">
        <x:v>3-4 prior purchases</x:v>
      </x:c>
      <x:c r="I200" s="17" t="str">
        <x:v>material | fit | comfort | style</x:v>
      </x:c>
      <x:c r="J200" s="17" t="n">
        <x:v>4</x:v>
      </x:c>
      <x:c r="K200" s="17" t="str">
        <x:v>DREAM PAIRS Women's Sole-Simple Ballerina Walking Flats Shoes</x:v>
      </x:c>
      <x:c r="L200" s="17" t="str">
        <x:v>Shoes Flats</x:v>
      </x:c>
      <x:c r="M200" s="17" t="str">
        <x:v>I'm looking for Shoes Flats, but I'm still exploring.</x:v>
      </x:c>
      <x:c r="N200" s="17" t="str"/>
      <x:c r="O200" s="17" t="str"/>
    </x:row>
    <x:row r="201">
      <x:c r="A201" t="str">
        <x:v>public_0197</x:v>
      </x:c>
      <x:c r="B201" t="str">
        <x:v>intent_override</x:v>
      </x:c>
      <x:c r="C201" t="str">
        <x:v>hard</x:v>
      </x:c>
      <x:c r="D201" t="str">
        <x:v>clothing</x:v>
      </x:c>
      <x:c r="E201" t="str">
        <x:v>B07FDNP55K</x:v>
      </x:c>
      <x:c r="F201" s="75" t="n">
        <x:v>5</x:v>
      </x:c>
      <x:c r="G201" t="str">
        <x:v>usually positive</x:v>
      </x:c>
      <x:c r="H201" t="str">
        <x:v>3-4 prior purchases</x:v>
      </x:c>
      <x:c r="I201" s="17" t="str">
        <x:v>material | fit</x:v>
      </x:c>
      <x:c r="J201" s="17" t="n">
        <x:v>2</x:v>
      </x:c>
      <x:c r="K201" s="17" t="str">
        <x:v>Watch Band Strap Link Pins Remover Repair Tool,24 in 1 Kit with 6 Extra Tips Replacement,20PCS Cotter Pin,Spring Bar Tool Set,1PCS Head Hammer</x:v>
      </x:c>
      <x:c r="L201" s="17" t="str">
        <x:v>Watch Accessories Repair Tools &amp; Kits</x:v>
      </x:c>
      <x:c r="M201" s="17" t="str">
        <x:v>I'm looking for Watch Accessories Repair Tools &amp; Kits. VALUE KIT FOR MONEY SAVING - This watch band link remover is great for removing and inserting spring bars straps, and widely used in up to 30mm wide watch band replace, watch repai</x:v>
      </x:c>
      <x:c r="N201" s="17" t="n">
        <x:v>4</x:v>
      </x:c>
      <x:c r="O201" s="17" t="str">
        <x:v>VALUE KIT FOR MONEY SAVING - This watch band link remover is great for removing and inserting spring bars straps, and widely used in up to 30mm wide watch band replace, watch repai -&gt; What is in the package?EFIXTK watch band tool kit comes with a watch band link pin remover with 6 extra tips, a plastic watch holder, a dual head hammer, 4 pin punches,20pcs cotter</x:v>
      </x:c>
    </x:row>
    <x:row r="202">
      <x:c r="A202" t="str">
        <x:v>public_0198</x:v>
      </x:c>
      <x:c r="B202" t="str">
        <x:v>intent_override</x:v>
      </x:c>
      <x:c r="C202" t="str">
        <x:v>hard</x:v>
      </x:c>
      <x:c r="D202" t="str">
        <x:v>clothing</x:v>
      </x:c>
      <x:c r="E202" t="str">
        <x:v>B08K1ZJZ4N</x:v>
      </x:c>
      <x:c r="F202" s="75" t="n">
        <x:v>5</x:v>
      </x:c>
      <x:c r="G202" t="str">
        <x:v>usually positive</x:v>
      </x:c>
      <x:c r="H202" t="str">
        <x:v>3-4 prior purchases</x:v>
      </x:c>
      <x:c r="I202" s="17" t="str">
        <x:v>material | durability | fit | comfort</x:v>
      </x:c>
      <x:c r="J202" s="17" t="n">
        <x:v>4</x:v>
      </x:c>
      <x:c r="K202" s="17" t="str">
        <x:v>lola mae Quilted Crossbody Bag, Medium Lightweight Shoulder Purse Top Zipper Tassel Accent</x:v>
      </x:c>
      <x:c r="L202" s="17" t="str">
        <x:v>Handbags &amp; Wallets Crossbody Bags</x:v>
      </x:c>
      <x:c r="M202" s="17" t="str">
        <x:v>I'm looking for Handbags &amp; Wallets Crossbody Bags. Imported</x:v>
      </x:c>
      <x:c r="N202" s="17" t="n">
        <x:v>4</x:v>
      </x:c>
      <x:c r="O202" s="17" t="str">
        <x:v>Imported -&gt; leather</x:v>
      </x:c>
    </x:row>
    <x:row r="203">
      <x:c r="A203" t="str">
        <x:v>public_0199</x:v>
      </x:c>
      <x:c r="B203" t="str">
        <x:v>buying</x:v>
      </x:c>
      <x:c r="C203" t="str">
        <x:v>easy</x:v>
      </x:c>
      <x:c r="D203" t="str">
        <x:v>clothing</x:v>
      </x:c>
      <x:c r="E203" t="str">
        <x:v>B089M57PSQ</x:v>
      </x:c>
      <x:c r="F203" s="75" t="n">
        <x:v>5</x:v>
      </x:c>
      <x:c r="G203" t="str">
        <x:v>usually positive</x:v>
      </x:c>
      <x:c r="H203" t="str">
        <x:v>3-4 prior purchases</x:v>
      </x:c>
      <x:c r="I203" s="17" t="str">
        <x:v>material | fit</x:v>
      </x:c>
      <x:c r="J203" s="17" t="n">
        <x:v>2</x:v>
      </x:c>
      <x:c r="K203" s="17" t="str">
        <x:v>Boboking 100% Cotton Little Boys Briefs Soft Dinosaur Truck Toddler Underwear</x:v>
      </x:c>
      <x:c r="L203" s="17" t="str">
        <x:v>Underwear Briefs</x:v>
      </x:c>
      <x:c r="M203" s="17" t="str">
        <x:v>I'm looking for Underwear Briefs. A key requirement is: cotton.</x:v>
      </x:c>
      <x:c r="N203" s="17" t="str"/>
      <x:c r="O203" s="17" t="str"/>
    </x:row>
    <x:row r="204">
      <x:c r="A204" t="str">
        <x:v>public_0200</x:v>
      </x:c>
      <x:c r="B204" t="str">
        <x:v>buying</x:v>
      </x:c>
      <x:c r="C204" t="str">
        <x:v>easy</x:v>
      </x:c>
      <x:c r="D204" t="str">
        <x:v>clothing</x:v>
      </x:c>
      <x:c r="E204" t="str">
        <x:v>B07VFZ2FC2</x:v>
      </x:c>
      <x:c r="F204" s="75" t="n">
        <x:v>4</x:v>
      </x:c>
      <x:c r="G204" t="str">
        <x:v>mixed</x:v>
      </x:c>
      <x:c r="H204" t="str">
        <x:v>3-4 prior purchases</x:v>
      </x:c>
      <x:c r="I204" s="17" t="str">
        <x:v>material | comfort | fit | style</x:v>
      </x:c>
      <x:c r="J204" s="17" t="n">
        <x:v>4</x:v>
      </x:c>
      <x:c r="K204" s="17" t="str">
        <x:v>FUNKYMONKEY Mens Bathroom Shower Slippers Indoor Home Beach Non Slip Sandal</x:v>
      </x:c>
      <x:c r="L204" s="17" t="str">
        <x:v>Shoes &amp; Jewelry Men</x:v>
      </x:c>
      <x:c r="M204" s="17" t="str">
        <x:v>I'm looking for Shoes &amp; Jewelry Men. A key requirement is: Ethylene Vinyl Acetate sole.</x:v>
      </x:c>
      <x:c r="N204" s="17" t="str"/>
      <x:c r="O204" s="17" t="str"/>
    </x:row>
  </x:sheetData>
  <x:mergeCells>
    <x:mergeCell ref="A1:O1"/>
    <x:mergeCell ref="A2:O2"/>
  </x:mergeCells>
  <x:pageMargins left="0.7" right="0.7" top="0.75" bottom="0.75" header="0.3" footer="0.3"/>
  <x:tableParts count="1">
    <x:tablePart xmlns:r="http://schemas.openxmlformats.org/officeDocument/2006/relationships" r:id="Rc7f870a73bad44b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48" hidden="0" customWidth="1"/>
    <x:col min="4" max="4" width="45" hidden="0" customWidth="1"/>
    <x:col min="5" max="5" width="24" hidden="0" customWidth="1"/>
    <x:col min="6" max="6" width="65" hidden="0" customWidth="1"/>
    <x:col min="7" max="7" width="65" hidden="0" customWidth="1"/>
    <x:col min="8" max="8" width="65" hidden="0" customWidth="1"/>
    <x:col min="9" max="9" width="12" hidden="0" customWidth="1"/>
    <x:col min="10" max="10" width="12" hidden="0" customWidth="1"/>
    <x:col min="11" max="11" width="15" hidden="0" customWidth="1"/>
    <x:col min="12" max="12" width="24" hidden="0" customWidth="1"/>
    <x:col min="13" max="13" width="12" hidden="0" customWidth="1"/>
    <x:col min="14" max="14" width="12" hidden="0" customWidth="1"/>
    <x:col min="15" max="15" width="12" hidden="0" customWidth="1"/>
    <x:col min="16" max="16" width="14" hidden="0" customWidth="1"/>
    <x:col min="17" max="17" width="12" hidden="0" customWidth="1"/>
    <x:col min="18" max="18" width="16" hidden="0" customWidth="1"/>
  </x:cols>
  <x:sheetData>
    <x:row r="1" ht="34" customHeight="1">
      <x:c r="A1" s="4" t="str">
        <x:v>Target Products</x:v>
      </x:c>
    </x:row>
    <x:row r="2" ht="30" customHeight="1">
      <x:c r="A2" s="8" t="str">
        <x:v>The catalog records linked by the 200 public ground-truth ASINs; one row per session for direct traceability.</x:v>
      </x:c>
      <x:c r="B2" s="8" t="str">
        <x:v>The catalog records linked by the 200 public ground-truth ASINs; one row per session for direct traceability.</x:v>
      </x:c>
      <x:c r="C2" s="8" t="str">
        <x:v>The catalog records linked by the 200 public ground-truth ASINs; one row per session for direct traceability.</x:v>
      </x:c>
      <x:c r="D2" s="8" t="str">
        <x:v>The catalog records linked by the 200 public ground-truth ASINs; one row per session for direct traceability.</x:v>
      </x:c>
      <x:c r="E2" s="8" t="str">
        <x:v>The catalog records linked by the 200 public ground-truth ASINs; one row per session for direct traceability.</x:v>
      </x:c>
      <x:c r="F2" s="8" t="str">
        <x:v>The catalog records linked by the 200 public ground-truth ASINs; one row per session for direct traceability.</x:v>
      </x:c>
      <x:c r="G2" s="8" t="str">
        <x:v>The catalog records linked by the 200 public ground-truth ASINs; one row per session for direct traceability.</x:v>
      </x:c>
      <x:c r="H2" s="8" t="str">
        <x:v>The catalog records linked by the 200 public ground-truth ASINs; one row per session for direct traceability.</x:v>
      </x:c>
      <x:c r="I2" s="8" t="str">
        <x:v>The catalog records linked by the 200 public ground-truth ASINs; one row per session for direct traceability.</x:v>
      </x:c>
      <x:c r="J2" s="8" t="str">
        <x:v>The catalog records linked by the 200 public ground-truth ASINs; one row per session for direct traceability.</x:v>
      </x:c>
      <x:c r="K2" s="8" t="str">
        <x:v>The catalog records linked by the 200 public ground-truth ASINs; one row per session for direct traceability.</x:v>
      </x:c>
      <x:c r="L2" s="8" t="str">
        <x:v>The catalog records linked by the 200 public ground-truth ASINs; one row per session for direct traceability.</x:v>
      </x:c>
      <x:c r="M2" s="8" t="str">
        <x:v>The catalog records linked by the 200 public ground-truth ASINs; one row per session for direct traceability.</x:v>
      </x:c>
      <x:c r="N2" s="8" t="str">
        <x:v>The catalog records linked by the 200 public ground-truth ASINs; one row per session for direct traceability.</x:v>
      </x:c>
      <x:c r="O2" s="8" t="str">
        <x:v>The catalog records linked by the 200 public ground-truth ASINs; one row per session for direct traceability.</x:v>
      </x:c>
      <x:c r="P2" s="8" t="str">
        <x:v>The catalog records linked by the 200 public ground-truth ASINs; one row per session for direct traceability.</x:v>
      </x:c>
      <x:c r="Q2" s="8" t="str">
        <x:v>The catalog records linked by the 200 public ground-truth ASINs; one row per session for direct traceability.</x:v>
      </x:c>
      <x:c r="R2" s="8" t="str">
        <x:v>The catalog records linked by the 200 public ground-truth ASINs; one row per session for direct traceability.</x:v>
      </x:c>
    </x:row>
    <x:row r="4" ht="28" customHeight="1">
      <x:c r="A4" s="40" t="str">
        <x:v>sample_id</x:v>
      </x:c>
      <x:c r="B4" s="41" t="str">
        <x:v>parent_asin</x:v>
      </x:c>
      <x:c r="C4" s="41" t="str">
        <x:v>title</x:v>
      </x:c>
      <x:c r="D4" s="41" t="str">
        <x:v>categories</x:v>
      </x:c>
      <x:c r="E4" s="41" t="str">
        <x:v>leaf_category</x:v>
      </x:c>
      <x:c r="F4" s="41" t="str">
        <x:v>features</x:v>
      </x:c>
      <x:c r="G4" s="41" t="str">
        <x:v>details</x:v>
      </x:c>
      <x:c r="H4" s="41" t="str">
        <x:v>description</x:v>
      </x:c>
      <x:c r="I4" s="41" t="str">
        <x:v>price</x:v>
      </x:c>
      <x:c r="J4" s="41" t="str">
        <x:v>average_rating</x:v>
      </x:c>
      <x:c r="K4" s="41" t="str">
        <x:v>rating_number</x:v>
      </x:c>
      <x:c r="L4" s="41" t="str">
        <x:v>store</x:v>
      </x:c>
      <x:c r="M4" s="41" t="str">
        <x:v>title_chars</x:v>
      </x:c>
      <x:c r="N4" s="41" t="str">
        <x:v>features_chars</x:v>
      </x:c>
      <x:c r="O4" s="41" t="str">
        <x:v>details_chars</x:v>
      </x:c>
      <x:c r="P4" s="41" t="str">
        <x:v>description_chars</x:v>
      </x:c>
      <x:c r="Q4" s="41" t="str">
        <x:v>fields_present</x:v>
      </x:c>
      <x:c r="R4" s="42" t="str">
        <x:v>embedding_readiness</x:v>
      </x:c>
    </x:row>
    <x:row r="5" ht="72" customHeight="1">
      <x:c r="A5" t="str">
        <x:v>public_0001</x:v>
      </x:c>
      <x:c r="B5" t="str">
        <x:v>B09PYB7B6Z</x:v>
      </x:c>
      <x:c r="C5" s="17" t="str">
        <x:v>QIAN0813 Celttic Knot Triple Moon Pentagram Pentacle Star Wicca Pendant Necklace Round Pagan Jewelry</x:v>
      </x:c>
      <x:c r="D5" s="17" t="str">
        <x:v>Clothing, Shoes &amp; Jewelry | Boys | Jewelry | Necklaces</x:v>
      </x:c>
      <x:c r="E5" s="17" t="str">
        <x:v>Necklaces</x:v>
      </x:c>
      <x:c r="F5" s="17" t="str">
        <x:v>Material:alloy | Triple Moon Pentagram Symbol | The Triple Moon represents the Phases of the Moon which are linked to the three aspects of the Goddess and the phases of the Life of Women.The Pentagram representing the holistic relationship between human spirituality and physical universe. A master piece to hang in your wiccan or pagan altar. | ♥ a special gift to your wife/mom/girlfriend/daughter/grandmother/best friend/kids on St. Valentine’s Day, Easter， Christmas day,Birthday,Anniversary ,Independence Day,Labor Day,Thanksgiving Day,New Year's Day and mother's day to celebrate those holiday. We prepare a jewelry gift box for every club party banquet wedding office engagement celebration gift | 100% Quality controlled manually before packaging,Your bracelet will come packaged in one of my logo gift boxes, perfect for gift giving and safe keeping.</x:v>
      </x:c>
      <x:c r="G5" s="17" t="str">
        <x:v>Package Dimensions: 1.97 x 1.97 x 0.59 inches; 1.06 Ounces | Department: unisex-child | Date First Available: January 7, 2022 | Manufacturer: MIXIA</x:v>
      </x:c>
      <x:c r="H5" s="17" t="str">
        <x:v>Item name:Celttic Knot Triple Moon Pentagram Pentacle Star Wicca Pendant Necklace Round Pagan Jewelry | Item type:necklace   Style: FashionSpecial design and unique structure, a popular item.Charming and attractive on all occasions. It is a good gift for your family, friends and coworkers.Method of Jewelry Maintenance and Protection  1.Please don't wear for long time.Don't wear jewelry while sleep. Should often replace jewelry . Avoid wearing a long time, especially in hot summer.  2. Please do not touch chemicals, otherwise will erode jewelry. 3. Please do not try to touch water and Avoid wear it whenbathing or swimming. these are all damaged for jewelry, will affect glossiness. . 4. Frequent cleaning is necessary. Please use a soft brush to wipe the surface of the accessory and remove surface stains. 5.it is not real gold and silver products andIt will fade away slowly, So we often wipe itto extend the use of it. liquid will encounter discoloration for a long time. | Choose our reason:1. We have an independentfactory. 2. We are committed to provide the best jewelry and the bestservices to our customers, your feedback is our motivations to improve. In case of HELP, please feel free to contact us through Amazon. MIXIA care every customer</x:v>
      </x:c>
      <x:c r="I5" s="76" t="n">
        <x:v>9.99</x:v>
      </x:c>
      <x:c r="J5" s="75" t="n">
        <x:v>4.5</x:v>
      </x:c>
      <x:c r="K5" s="77" t="n">
        <x:v>490</x:v>
      </x:c>
      <x:c r="L5" s="77" t="str">
        <x:v>QIAN0813</x:v>
      </x:c>
      <x:c r="M5" s="77" t="n">
        <x:f>LEN(C5)</x:f>
        <x:v>100</x:v>
      </x:c>
      <x:c r="N5" s="77" t="n">
        <x:f>LEN(F5)</x:f>
        <x:v>859</x:v>
      </x:c>
      <x:c r="O5" s="77" t="n">
        <x:f>LEN(G5)</x:f>
        <x:v>147</x:v>
      </x:c>
      <x:c r="P5" s="77" t="n">
        <x:f>LEN(H5)</x:f>
        <x:v>1257</x:v>
      </x:c>
      <x:c r="Q5" s="77" t="n">
        <x:f>IF(LEN(C5)&gt;0,1,0)+IF(LEN(D5)&gt;0,1,0)+IF(LEN(F5)&gt;0,1,0)+IF(LEN(G5)&gt;0,1,0)+IF(LEN(H5)&gt;0,1,0)+IF(ISNUMBER(I5),1,0)+IF(ISNUMBER(J5),1,0)+IF(ISNUMBER(K5),1,0)+IF(LEN(L5)&gt;0,1,0)</x:f>
        <x:v>9</x:v>
      </x:c>
      <x:c r="R5" s="78" t="n">
        <x:f>Q5/9</x:f>
        <x:v>1</x:v>
      </x:c>
    </x:row>
    <x:row r="6" ht="72" customHeight="1">
      <x:c r="A6" t="str">
        <x:v>public_0002</x:v>
      </x:c>
      <x:c r="B6" t="str">
        <x:v>B071X54486</x:v>
      </x:c>
      <x:c r="C6" s="17" t="str">
        <x:v>Hide &amp; Drink, Rustic Handmade Full Grain Leather Men's Belt, Two Row Stitch Stylish Design - Everyday Belts for Men</x:v>
      </x:c>
      <x:c r="D6" s="17" t="str">
        <x:v>Clothing, Shoes &amp; Jewelry | Men | Accessories | Belts</x:v>
      </x:c>
      <x:c r="E6" s="17" t="str">
        <x:v>Belts</x:v>
      </x:c>
      <x:c r="F6" s="17" t="str">
        <x:v>100% Leather | Imported | Buckle closure | Dry Cloth Clean | HIDE &amp; DRINK’S 101 YEAR WARRANTY: Each of Hide &amp; Drink’s rustic, durable belts is made with care and craftsmanship, with every belt handmade to the highest standard. Our confidence in our belts knows no bounds, so we include each belt that you purchase with a 101 Year Warranty. We aim for nothing but 100% satisfaction when it comes to our products, so if you’re not satisfied, just get in touch with us and we’ll help you as quickly as possible. | HANDMADE FROM SOFT &amp; ATTRACTIVE FULL GRAIN LEATHER: Hide &amp; Drink’s belts are hand cut and handcrafted using the highest quality of leather that you will find, namely Full Grain Leather. The quality of this leather ensures a long-lasting life and durability. After time and use, the leather will attain a beautiful and unique patina. Each belt is made with a width of 1.5 inches and the leather used is 3.5mm thick. | CLASSIC NICKEL BUCKLE: The belt is adorned with a classy nickel buckle that shouts style and charm. Combined with the elegantly hand cut and hand sewn Full Grain Leather, it will serve as a fine accessory to any jeans or pants, suitable for any occasion. | DOUBLE ROW STITCHING: The belt is handmade by expert local artisans of Pastores, Guatemala. The belt is hand cut and finished with a double row stitching method than not only looks good, but also makes for a durable belt that will give you a lifetime of use. | MAKES A GREAT GIFT: Hide &amp; Drink swears by its leather, and knows that this fine, rustic Full Grain Leather belt will make an excellent gift for friends, family and loved ones. Built to last a lifetime, this belt will make a thoughtful, long-lasting gift for anyone and everyone.</x:v>
      </x:c>
      <x:c r="G6" s="17" t="str">
        <x:v>Is Discontinued By Manufacturer: No | Product Dimensions: 42 x 1.6 x 0.2 inches; 6.5 Ounces | Department: Mens | Date First Available: August 22, 2016</x:v>
      </x:c>
      <x:c r="H6" s="17" t="str"/>
      <x:c r="I6" s="76" t="n">
        <x:v>46.99</x:v>
      </x:c>
      <x:c r="J6" s="75" t="n">
        <x:v>4.3</x:v>
      </x:c>
      <x:c r="K6" s="77" t="n">
        <x:v>6614</x:v>
      </x:c>
      <x:c r="L6" s="77" t="str">
        <x:v>Hide &amp; Drink</x:v>
      </x:c>
      <x:c r="M6" s="77" t="n">
        <x:f>LEN(C6)</x:f>
        <x:v>115</x:v>
      </x:c>
      <x:c r="N6" s="77" t="n">
        <x:f>LEN(F6)</x:f>
        <x:v>1725</x:v>
      </x:c>
      <x:c r="O6" s="77" t="n">
        <x:f>LEN(G6)</x:f>
        <x:v>150</x:v>
      </x:c>
      <x:c r="P6" s="77" t="n">
        <x:f>LEN(H6)</x:f>
        <x:v>0</x:v>
      </x:c>
      <x:c r="Q6" s="77" t="n">
        <x:f>IF(LEN(C6)&gt;0,1,0)+IF(LEN(D6)&gt;0,1,0)+IF(LEN(F6)&gt;0,1,0)+IF(LEN(G6)&gt;0,1,0)+IF(LEN(H6)&gt;0,1,0)+IF(ISNUMBER(I6),1,0)+IF(ISNUMBER(J6),1,0)+IF(ISNUMBER(K6),1,0)+IF(LEN(L6)&gt;0,1,0)</x:f>
        <x:v>8</x:v>
      </x:c>
      <x:c r="R6" s="78" t="n">
        <x:f>Q6/9</x:f>
        <x:v>0.8888888888888888</x:v>
      </x:c>
    </x:row>
    <x:row r="7" ht="72" customHeight="1">
      <x:c r="A7" t="str">
        <x:v>public_0003</x:v>
      </x:c>
      <x:c r="B7" t="str">
        <x:v>B09YMTWDXJ</x:v>
      </x:c>
      <x:c r="C7" s="17" t="str">
        <x:v>Casio Men's Wrist Watch AQ-800E-7A</x:v>
      </x:c>
      <x:c r="D7" s="17" t="str">
        <x:v>Clothing, Shoes &amp; Jewelry | Men | Watches | Wrist Watches</x:v>
      </x:c>
      <x:c r="E7" s="17" t="str">
        <x:v>Wrist Watches</x:v>
      </x:c>
      <x:c r="F7" s="17" t="str">
        <x:v>Water Resistant | 3 Year Battery | Day / Date Indicator | Stainless Steel Band | Alarm | Chronograph</x:v>
      </x:c>
      <x:c r="G7" s="17" t="str">
        <x:v>Package Dimensions: 4.37 x 3.39 x 2.83 inches; 5.29 Ounces | Item model number: AQ-800E-7ACF | Department: mens | Batteries: 1 Lithium Ion batteries required. (included) | Date First Available: April 22, 2022 | Manufacturer: Casio | Country of Origin: Japan</x:v>
      </x:c>
      <x:c r="H7" s="17" t="str">
        <x:v>Reboot your retro vintage style with a contemporary update on the 1980s AQ-450 design. This brand-new vintage style watch is a beautiful blend of retro and stylish. A separate dial and LCD serve up analog beauty alongside digital performance. The LCD angles gently to follow the lines of the lugs, while the analog dial features simple bar index marks. The watch face adorned in a grid pattern adds the final touch for a real retro feel. The combination of the angular case and the straight links of the metal band is a simple and stylish celebration of structural beauty. More than just a fashion statement, these timepieces deliver practical functions like dual time, stopwatch, and alarm, as well as water resistance for daily use to free you from worry, even on rainy days.</x:v>
      </x:c>
      <x:c r="I7" s="76" t="n">
        <x:v>47.95</x:v>
      </x:c>
      <x:c r="J7" s="75" t="n">
        <x:v>4.6</x:v>
      </x:c>
      <x:c r="K7" s="77" t="n">
        <x:v>110</x:v>
      </x:c>
      <x:c r="L7" s="77" t="str">
        <x:v>Casio</x:v>
      </x:c>
      <x:c r="M7" s="77" t="n">
        <x:f>LEN(C7)</x:f>
        <x:v>34</x:v>
      </x:c>
      <x:c r="N7" s="77" t="n">
        <x:f>LEN(F7)</x:f>
        <x:v>100</x:v>
      </x:c>
      <x:c r="O7" s="77" t="n">
        <x:f>LEN(G7)</x:f>
        <x:v>257</x:v>
      </x:c>
      <x:c r="P7" s="77" t="n">
        <x:f>LEN(H7)</x:f>
        <x:v>777</x:v>
      </x:c>
      <x:c r="Q7" s="77" t="n">
        <x:f>IF(LEN(C7)&gt;0,1,0)+IF(LEN(D7)&gt;0,1,0)+IF(LEN(F7)&gt;0,1,0)+IF(LEN(G7)&gt;0,1,0)+IF(LEN(H7)&gt;0,1,0)+IF(ISNUMBER(I7),1,0)+IF(ISNUMBER(J7),1,0)+IF(ISNUMBER(K7),1,0)+IF(LEN(L7)&gt;0,1,0)</x:f>
        <x:v>9</x:v>
      </x:c>
      <x:c r="R7" s="78" t="n">
        <x:f>Q7/9</x:f>
        <x:v>1</x:v>
      </x:c>
    </x:row>
    <x:row r="8" ht="72" customHeight="1">
      <x:c r="A8" t="str">
        <x:v>public_0004</x:v>
      </x:c>
      <x:c r="B8" t="str">
        <x:v>B07C2XPZ6D</x:v>
      </x:c>
      <x:c r="C8" s="17" t="str">
        <x:v>Emmalise Women's Basic Casual Long Camisole Adjustable Strap Cami Layering Top</x:v>
      </x:c>
      <x:c r="D8" s="17" t="str">
        <x:v>Clothing, Shoes &amp; Jewelry | Novelty &amp; More | Clothing | Novelty | Women | Tops &amp; Tees | Tanks &amp; Camis</x:v>
      </x:c>
      <x:c r="E8" s="17" t="str">
        <x:v>Tanks &amp; Camis</x:v>
      </x:c>
      <x:c r="F8" s="17" t="str">
        <x:v>Polyester,Cotton,Spandex | Quality soft cottonblend camisole, 95% cotton, 5% spandex, Neon Colors 57% cotton 38% polyester 5% spandex | Long torso camisole for extra coverage with spagetti adjustable strap for perfect fit | Stretchy comfortable fabric for extra comfort and movement | Perfect for layering and wearing under other clothing | Junior and plus sizes for every body type</x:v>
      </x:c>
      <x:c r="G8" s="17" t="str">
        <x:v>Department: Womens | Date First Available: August 19, 2015</x:v>
      </x:c>
      <x:c r="H8" s="17" t="str">
        <x:v>Great basic layering cami tank top in junior and plus sizes. Great for exercising, going to the gym, working out, jogging, cycling, and any activity. Must have! Emmalise is a progressive active basic apparel line designed in Los Angeles, California. Our focus is to create high quality, comfortable everyday clothing for women, men, children, and infants. Our design collection includes high quality every day long and short sleeves t-shirts, basic camisole and tank tops for easy layering, cute easy to wear children and women dresses. Our shirts and tank tops are perfect for workout, gym, running, jogging, and exercising. All of Emmalise products uses great quality, comfortable fabrics. Our focus is on great fitting fashionable cute designs. A camisole is a sleeveless undergarment for women, normally extending to the waist. The camisole is usually made of satin, nylon, or cotton. In modern usage a camisole or cami is a loose-fitting sleeveless woman's undergarment which covers the top part of the body but is shorter than a chemise. A camisole normally extends to the waist but is sometimes cropped to expose the midriff, or extended to cover the entire pelvic region. Camisoles are manufactured from light materials, commonly cotton-based, occasionally satin or silk, or stretch fabrics such as lycra, nylon, or spandex. A camisole typically has thin "spaghetti straps" and can be worn over a brassiere or without one. Since 1989, some camisoles have come with a built-in underwire bra or other support which eliminates the need for a bra among those who prefer one. Recently, camisoles have been known to be used as outerwear. A variety of sleeveless body shaping undergarments have been derived from the camisole shape, offering medium control of the bust, waist and/or abdomen. Such control camisoles are the most casual of shaping garments, covering the torso from above the chest to at or below the waist.</x:v>
      </x:c>
      <x:c r="I8" s="76" t="n">
        <x:v>10.97</x:v>
      </x:c>
      <x:c r="J8" s="75" t="n">
        <x:v>4.4</x:v>
      </x:c>
      <x:c r="K8" s="77" t="n">
        <x:v>15247</x:v>
      </x:c>
      <x:c r="L8" s="77" t="str">
        <x:v>Emmalise</x:v>
      </x:c>
      <x:c r="M8" s="77" t="n">
        <x:f>LEN(C8)</x:f>
        <x:v>78</x:v>
      </x:c>
      <x:c r="N8" s="77" t="n">
        <x:f>LEN(F8)</x:f>
        <x:v>382</x:v>
      </x:c>
      <x:c r="O8" s="77" t="n">
        <x:f>LEN(G8)</x:f>
        <x:v>58</x:v>
      </x:c>
      <x:c r="P8" s="77" t="n">
        <x:f>LEN(H8)</x:f>
        <x:v>1922</x:v>
      </x:c>
      <x:c r="Q8" s="77" t="n">
        <x:f>IF(LEN(C8)&gt;0,1,0)+IF(LEN(D8)&gt;0,1,0)+IF(LEN(F8)&gt;0,1,0)+IF(LEN(G8)&gt;0,1,0)+IF(LEN(H8)&gt;0,1,0)+IF(ISNUMBER(I8),1,0)+IF(ISNUMBER(J8),1,0)+IF(ISNUMBER(K8),1,0)+IF(LEN(L8)&gt;0,1,0)</x:f>
        <x:v>9</x:v>
      </x:c>
      <x:c r="R8" s="78" t="n">
        <x:f>Q8/9</x:f>
        <x:v>1</x:v>
      </x:c>
    </x:row>
    <x:row r="9" ht="72" customHeight="1">
      <x:c r="A9" t="str">
        <x:v>public_0005</x:v>
      </x:c>
      <x:c r="B9" t="str">
        <x:v>B074G1JP8Z</x:v>
      </x:c>
      <x:c r="C9" s="17" t="str">
        <x:v>GLOBALWIN Women's Waterproof Winter Boots Snow Boots For Women</x:v>
      </x:c>
      <x:c r="D9" s="17" t="str">
        <x:v>Clothing, Shoes &amp; Jewelry | Boot Shop | Women | Outdoor &amp; Work | Snow &amp; Cold Weather</x:v>
      </x:c>
      <x:c r="E9" s="17" t="str">
        <x:v>Snow &amp; Cold Weather</x:v>
      </x:c>
      <x:c r="F9" s="17" t="str">
        <x:v>Rubber sole | Shaft measures approximately 8.37" from arch | Warm And Comfortable Women’s Winter Boots: These Women Winter Boots Featuring Thermolite Insulation Rated To -15F. Fully Lined With Soft Faux Fur To Keep The Feet Warm All Day Long In Winter . | Fashionable And Functional Cold Weather Winter Boots Women: Snow Boots For Women Are Perfect For Outdoor Activities In Winter. Ankle To Mid-Calf Fit. And You Will Definitely Find A Color Combination To Match Your Winter Outfits. Made Of High Quality Italian Faux Leather. We Try To Use The Best Material Meanwhile Reducing Pressure On Our Environment. | Vegan Water Resistant PU Leather Upper: Our Womens Snow Boots Featuing Waterproof Seam-Sealed Construction To Keep Out The Wet Elements So Your Feet Will Stay Warm And Dry. | Snow Boots Women With Slip Resistant Soles: Rubber Sole Provides Good Traction On Snow. | Fashionable Winter Boos For All Occasions: Wear These Cute Boots With Your Jeans To Office Or Do Winter Activities!</x:v>
      </x:c>
      <x:c r="G9" s="17" t="str">
        <x:v>Item model number: GW-W1910 | Department: womens | Date First Available: July 31, 2017</x:v>
      </x:c>
      <x:c r="H9" s="17" t="str"/>
      <x:c r="I9" s="76" t="n">
        <x:v>60.99</x:v>
      </x:c>
      <x:c r="J9" s="75" t="n">
        <x:v>4.4</x:v>
      </x:c>
      <x:c r="K9" s="77" t="n">
        <x:v>6290</x:v>
      </x:c>
      <x:c r="L9" s="77" t="str">
        <x:v>GLOBALWIN</x:v>
      </x:c>
      <x:c r="M9" s="77" t="n">
        <x:f>LEN(C9)</x:f>
        <x:v>62</x:v>
      </x:c>
      <x:c r="N9" s="77" t="n">
        <x:f>LEN(F9)</x:f>
        <x:v>990</x:v>
      </x:c>
      <x:c r="O9" s="77" t="n">
        <x:f>LEN(G9)</x:f>
        <x:v>86</x:v>
      </x:c>
      <x:c r="P9" s="77" t="n">
        <x:f>LEN(H9)</x:f>
        <x:v>0</x:v>
      </x:c>
      <x:c r="Q9" s="77" t="n">
        <x:f>IF(LEN(C9)&gt;0,1,0)+IF(LEN(D9)&gt;0,1,0)+IF(LEN(F9)&gt;0,1,0)+IF(LEN(G9)&gt;0,1,0)+IF(LEN(H9)&gt;0,1,0)+IF(ISNUMBER(I9),1,0)+IF(ISNUMBER(J9),1,0)+IF(ISNUMBER(K9),1,0)+IF(LEN(L9)&gt;0,1,0)</x:f>
        <x:v>8</x:v>
      </x:c>
      <x:c r="R9" s="78" t="n">
        <x:f>Q9/9</x:f>
        <x:v>0.8888888888888888</x:v>
      </x:c>
    </x:row>
    <x:row r="10" ht="72" customHeight="1">
      <x:c r="A10" t="str">
        <x:v>public_0006</x:v>
      </x:c>
      <x:c r="B10" t="str">
        <x:v>B071F2Z7JG</x:v>
      </x:c>
      <x:c r="C10" s="17" t="str">
        <x:v>Pro Club Men's Heavyweight Mesh Basketball Shorts</x:v>
      </x:c>
      <x:c r="D10" s="17" t="str">
        <x:v>Clothing, Shoes &amp; Jewelry | Sport Specific Clothing | Basketball | Men</x:v>
      </x:c>
      <x:c r="E10" s="17" t="str">
        <x:v>Men</x:v>
      </x:c>
      <x:c r="F10" s="17" t="str">
        <x:v>100% Polyester | Drawstring closure | High quality mesh for maximum breathability to keep you cool | Superior comfortable with sports activity | Right rear pocket with Zipper | Elastic Waistband with drawstring | Solid stripe down each side</x:v>
      </x:c>
      <x:c r="G10" s="17" t="str">
        <x:v>Item Weight: 10 Ounces | Item model number: 161 | Department: mens | Date First Available: March 23, 2015</x:v>
      </x:c>
      <x:c r="H10" s="17" t="str">
        <x:v>Pro Club Heavyweight MESH Shorts are great for playing basketball and gym workouts. Features two front pockets, double needle stitching throughout right rear pocket with zipper. | Size Chart | S (28"~30" WAIST, 12.25" Inseam) | S (28"~30" WAIST, 12.25" Inseam) | M (32"~34" WAIST, 12.50" Inseam) | M (32"~34" WAIST, 12.50" Inseam) | L (36"~38" WAIST, 12.75" Inseam) | L (36"~38" WAIST, 12.75" Inseam) | XL (40"~42" WAIST, 13" Inseam) | XL (40"~42" WAIST, 13" Inseam) | 2XL(44"~46" WAIST, 13.25" Inseam) | 2XL(44"~46" WAIST, 13.25" Inseam) | 3XL (48"~50" WAIST, 13.50" Inseam) | 3XL (48"~50" WAIST, 13.50" Inseam) | 4XL (52"~54" WAIST, 13.75" Inseam) | 4XL (52"~54" WAIST, 13.75" Inseam) | 5XL(56"~58" WAIST, 14" Inseam) | 5XL(56"~58" WAIST, 14" Inseam)</x:v>
      </x:c>
      <x:c r="I10" s="76" t="n">
        <x:v>36.5</x:v>
      </x:c>
      <x:c r="J10" s="75" t="n">
        <x:v>4.6</x:v>
      </x:c>
      <x:c r="K10" s="77" t="n">
        <x:v>3042</x:v>
      </x:c>
      <x:c r="L10" s="77" t="str">
        <x:v>Pro Club</x:v>
      </x:c>
      <x:c r="M10" s="77" t="n">
        <x:f>LEN(C10)</x:f>
        <x:v>49</x:v>
      </x:c>
      <x:c r="N10" s="77" t="n">
        <x:f>LEN(F10)</x:f>
        <x:v>240</x:v>
      </x:c>
      <x:c r="O10" s="77" t="n">
        <x:f>LEN(G10)</x:f>
        <x:v>105</x:v>
      </x:c>
      <x:c r="P10" s="77" t="n">
        <x:f>LEN(H10)</x:f>
        <x:v>752</x:v>
      </x:c>
      <x:c r="Q10" s="77" t="n">
        <x:f>IF(LEN(C10)&gt;0,1,0)+IF(LEN(D10)&gt;0,1,0)+IF(LEN(F10)&gt;0,1,0)+IF(LEN(G10)&gt;0,1,0)+IF(LEN(H10)&gt;0,1,0)+IF(ISNUMBER(I10),1,0)+IF(ISNUMBER(J10),1,0)+IF(ISNUMBER(K10),1,0)+IF(LEN(L10)&gt;0,1,0)</x:f>
        <x:v>9</x:v>
      </x:c>
      <x:c r="R10" s="78" t="n">
        <x:f>Q10/9</x:f>
        <x:v>1</x:v>
      </x:c>
    </x:row>
    <x:row r="11" ht="72" customHeight="1">
      <x:c r="A11" t="str">
        <x:v>public_0007</x:v>
      </x:c>
      <x:c r="B11" t="str">
        <x:v>B08PF98BV4</x:v>
      </x:c>
      <x:c r="C11" s="17" t="str">
        <x:v>RITERA Plus Size Tops for Women Off the Shoulder Cold Shoulder Tops Short Sleeve Shirts Summer Blouses Sexy Tunics Tee XL-5XL</x:v>
      </x:c>
      <x:c r="D11" s="17" t="str">
        <x:v>Clothing, Shoes &amp; Jewelry | Women | Clothing | Tops, Tees &amp; Blouses | Tunics</x:v>
      </x:c>
      <x:c r="E11" s="17" t="str">
        <x:v>Tunics</x:v>
      </x:c>
      <x:c r="F11" s="17" t="str">
        <x:v>75% Polyester, 20% Rayon, 5% Spandex | Imported | Pull On closure | Hand Wash&amp;Machine Wash | 【Material】Women plus size cold shoulder tops is made of Rayon Polyester Spandex, breathable, stretchy, lightweight, not see-through and comfortable to wear. Women's basic top must have in summer. | 【Feature】Plus size short sleeved shirt, sexy cold shoulder design can show your beautiful shoulders, loose fitting tunic, dressy blouse, suitable for all ages and body shapes. | 【Match】Plus size summer tops can be well matched with jeans, skirt and leggings. Perfect for daily wear, work, going out, dating, party, vacation or beach, ect. | 【US Size】Please refer to the size chart in the photos to choose women plus size blouse. You can choose a size up if you prefer looser fit. Many style print tops are available for you to choose from. | 【Tips】Hand wash&amp;machine wash recommended, do not bleach! If any concern with this womens plus size tunic you received, just contact RITERA team directly and we will be always here to assist you.</x:v>
      </x:c>
      <x:c r="G11" s="17" t="str">
        <x:v>Department: womens | Date First Available: December 2, 2020</x:v>
      </x:c>
      <x:c r="H11" s="17" t="str"/>
      <x:c r="I11" s="76" t="n">
        <x:v>24.99</x:v>
      </x:c>
      <x:c r="J11" s="75" t="n">
        <x:v>4.3</x:v>
      </x:c>
      <x:c r="K11" s="77" t="n">
        <x:v>797</x:v>
      </x:c>
      <x:c r="L11" s="77" t="str">
        <x:v>RITERA</x:v>
      </x:c>
      <x:c r="M11" s="77" t="n">
        <x:f>LEN(C11)</x:f>
        <x:v>125</x:v>
      </x:c>
      <x:c r="N11" s="77" t="n">
        <x:f>LEN(F11)</x:f>
        <x:v>1027</x:v>
      </x:c>
      <x:c r="O11" s="77" t="n">
        <x:f>LEN(G11)</x:f>
        <x:v>59</x:v>
      </x:c>
      <x:c r="P11" s="77" t="n">
        <x:f>LEN(H11)</x:f>
        <x:v>0</x:v>
      </x:c>
      <x:c r="Q11" s="77" t="n">
        <x:f>IF(LEN(C11)&gt;0,1,0)+IF(LEN(D11)&gt;0,1,0)+IF(LEN(F11)&gt;0,1,0)+IF(LEN(G11)&gt;0,1,0)+IF(LEN(H11)&gt;0,1,0)+IF(ISNUMBER(I11),1,0)+IF(ISNUMBER(J11),1,0)+IF(ISNUMBER(K11),1,0)+IF(LEN(L11)&gt;0,1,0)</x:f>
        <x:v>8</x:v>
      </x:c>
      <x:c r="R11" s="78" t="n">
        <x:f>Q11/9</x:f>
        <x:v>0.8888888888888888</x:v>
      </x:c>
    </x:row>
    <x:row r="12" ht="72" customHeight="1">
      <x:c r="A12" t="str">
        <x:v>public_0008</x:v>
      </x:c>
      <x:c r="B12" t="str">
        <x:v>B0BPCC1KBT</x:v>
      </x:c>
      <x:c r="C12" s="17" t="str">
        <x:v>Hanes Womens Wireless Bra, Full-Coverage Pullover Stretch-Knit Bra, Smoothing T-Shirt Bra</x:v>
      </x:c>
      <x:c r="D12" s="17" t="str">
        <x:v>Clothing, Shoes &amp; Jewelry | Women | Clothing | Lingerie, Sleep &amp; Lounge | Lingerie | Bras | Everyday Bras</x:v>
      </x:c>
      <x:c r="E12" s="17" t="str">
        <x:v>Everyday Bras</x:v>
      </x:c>
      <x:c r="F12" s="17" t="str">
        <x:v>96% Nylon, 4% Spandex | Pull-On closure | Hand Wash Only | THE SUPPORT YOU NEED IS KNIT RIGHT IN - Strategic knit panels and a ribbed underband. | ADAPTS TO YOUR SHAPE, NOT THE OTHER WAY AROUND - ComfortFlex Fit fabric stretches effortlessly to mold to your shape. | COOL ALL DAY - Cool Comfort moisture-wicking fabric keeps you cool and dry hour after hour. | THE SMOOTHNESS YOU WANT - Seamless construction with smooth cups, a built-up back, and wide straps for the invisible look you want under clingy clothes. | NATURAL SHAPING - Unlined cups offer natural shaping and sublime comfort. | ULTRA-VERSATILE - For everyday wear, low-impact workouts, lounging, even sleeping. | NO HARDWARE, NO SEAMS, NO TAG, NO ITCH - Pullover ease designed for dreamy comfort. | QUALITY FABRIC - Hanes wireless pullover T-shirt bra is made of 68% polyester/23% nylon/9% spandex.</x:v>
      </x:c>
      <x:c r="G12" s="17" t="str">
        <x:v>Product Dimensions: 13 x 8 x 1 inches | Item model number: G196 | Department: Womens | Date First Available: August 3, 2015 | Manufacturer: Hanes Bras</x:v>
      </x:c>
      <x:c r="H12" s="17" t="str">
        <x:v>This wireless knit bra from Hanes® could easily become your favorite for all the ways in which it offers comfort and support. This pullover stretch bra is designed with strategic knit panels, placed to offer the support you need. The unlined cups offer natural shaping and sublime comfort, with that soft feel you love. This versatile style is made of the brand's ComfortFlex Fit® fabric with 4-way stretch that molds to your shape. Even better, this wirefree bra also features Cool Comfort® fabric that wicks away moisture to keep you cool and dry all day. Customers tell us they wear this T-shirt bra for low-impact workouts, including yoga, and that it's so comfortable they sometimes lounge and even sleep in it. With its built-up back and wide straps, this pullover bra offers smoothing all around, and is tagless for itch-free comfort.</x:v>
      </x:c>
      <x:c r="I12" s="76" t="n">
        <x:v>10.99</x:v>
      </x:c>
      <x:c r="J12" s="75" t="n">
        <x:v>4</x:v>
      </x:c>
      <x:c r="K12" s="77" t="n">
        <x:v>30628</x:v>
      </x:c>
      <x:c r="L12" s="77" t="str">
        <x:v>Hanes</x:v>
      </x:c>
      <x:c r="M12" s="77" t="n">
        <x:f>LEN(C12)</x:f>
        <x:v>89</x:v>
      </x:c>
      <x:c r="N12" s="77" t="n">
        <x:f>LEN(F12)</x:f>
        <x:v>862</x:v>
      </x:c>
      <x:c r="O12" s="77" t="n">
        <x:f>LEN(G12)</x:f>
        <x:v>150</x:v>
      </x:c>
      <x:c r="P12" s="77" t="n">
        <x:f>LEN(H12)</x:f>
        <x:v>841</x:v>
      </x:c>
      <x:c r="Q12" s="77" t="n">
        <x:f>IF(LEN(C12)&gt;0,1,0)+IF(LEN(D12)&gt;0,1,0)+IF(LEN(F12)&gt;0,1,0)+IF(LEN(G12)&gt;0,1,0)+IF(LEN(H12)&gt;0,1,0)+IF(ISNUMBER(I12),1,0)+IF(ISNUMBER(J12),1,0)+IF(ISNUMBER(K12),1,0)+IF(LEN(L12)&gt;0,1,0)</x:f>
        <x:v>9</x:v>
      </x:c>
      <x:c r="R12" s="78" t="n">
        <x:f>Q12/9</x:f>
        <x:v>1</x:v>
      </x:c>
    </x:row>
    <x:row r="13" ht="72" customHeight="1">
      <x:c r="A13" t="str">
        <x:v>public_0009</x:v>
      </x:c>
      <x:c r="B13" t="str">
        <x:v>B07GXHPWTJ</x:v>
      </x:c>
      <x:c r="C13" s="17" t="str">
        <x:v>Angel Barcelo Roomy Fashion Hobo Womens Handbags Ladies Purse Satchel Shoulder Bags Tote Washed Leather Bag</x:v>
      </x:c>
      <x:c r="D13" s="17" t="str">
        <x:v>Clothing, Shoes &amp; Jewelry | Women | Handbags &amp; Wallets | Totes</x:v>
      </x:c>
      <x:c r="E13" s="17" t="str">
        <x:v>Totes</x:v>
      </x:c>
      <x:c r="F13" s="17" t="str">
        <x:v>Soft Washed PU Leather with Convenient side Pockets | Imported | Adjustable and Removable Shoulder Strap | Quality Material:High Quality Anti-Scratch PU Leather Hobo Tote Womens Purse Handbag.soft hand feel and durable,Front U-shaped sewing design, reinforced bottom with special hook decoration, two Side pockets make the hobo bag more unique for women daily use. | Dimension(L*W*H): Size:13.8*4.7*11.8 inches , Handle height: 11.41"/29CM(long enough to put on shoulder), good for everyday use, holds your daily essentials such as Ipad, mobile phone, cosmetics, wallet and more. | Multiple Pockets: The tote Bags multiple pockets design make it convenient to pick up stuff;Reasonable separation design of inner space is suitable for different item storage.1 main zipper compartment with 1 inner zipper pocket,1 back pocket and 2 slot pockets,keep your daily items well organized. | Ultra-lightweight and Casual Style:Weight Only 1.65pounds/0.75KG,It easily goes with any outfits, ranging from skirts to jeans. Fashion and casual, all you dream of are displayed by one single shoulder handbag. It's a must have for women in this season. | Perfect for daily use - school, party, traveling, work or shopping, etc. What’s more, the length of the shoulder strap is adjustable and removable, so it can work as a sling bag, cross body bag and a tote bag.</x:v>
      </x:c>
      <x:c r="G13" s="17" t="str">
        <x:v>Is Discontinued By Manufacturer: No | Product Dimensions: 10 x 10 x 2 inches; 1.2 Pounds | Item model number: 0044 | Department: Womens | Date First Available: July 23, 2018</x:v>
      </x:c>
      <x:c r="H13" s="17" t="str"/>
      <x:c r="I13" s="76" t="n">
        <x:v>42.99</x:v>
      </x:c>
      <x:c r="J13" s="75" t="n">
        <x:v>4.4</x:v>
      </x:c>
      <x:c r="K13" s="77" t="n">
        <x:v>12633</x:v>
      </x:c>
      <x:c r="L13" s="77" t="str">
        <x:v>Angel Barcelo</x:v>
      </x:c>
      <x:c r="M13" s="77" t="n">
        <x:f>LEN(C13)</x:f>
        <x:v>107</x:v>
      </x:c>
      <x:c r="N13" s="77" t="n">
        <x:f>LEN(F13)</x:f>
        <x:v>1348</x:v>
      </x:c>
      <x:c r="O13" s="77" t="n">
        <x:f>LEN(G13)</x:f>
        <x:v>173</x:v>
      </x:c>
      <x:c r="P13" s="77" t="n">
        <x:f>LEN(H13)</x:f>
        <x:v>0</x:v>
      </x:c>
      <x:c r="Q13" s="77" t="n">
        <x:f>IF(LEN(C13)&gt;0,1,0)+IF(LEN(D13)&gt;0,1,0)+IF(LEN(F13)&gt;0,1,0)+IF(LEN(G13)&gt;0,1,0)+IF(LEN(H13)&gt;0,1,0)+IF(ISNUMBER(I13),1,0)+IF(ISNUMBER(J13),1,0)+IF(ISNUMBER(K13),1,0)+IF(LEN(L13)&gt;0,1,0)</x:f>
        <x:v>8</x:v>
      </x:c>
      <x:c r="R13" s="78" t="n">
        <x:f>Q13/9</x:f>
        <x:v>0.8888888888888888</x:v>
      </x:c>
    </x:row>
    <x:row r="14" ht="72" customHeight="1">
      <x:c r="A14" t="str">
        <x:v>public_0010</x:v>
      </x:c>
      <x:c r="B14" t="str">
        <x:v>B0929KL5W7</x:v>
      </x:c>
      <x:c r="C14" s="17" t="str">
        <x:v>MANGOPOP Women's Mock Turtle Neck Long Sleeve Tops Bodysuit Jumpsuit</x:v>
      </x:c>
      <x:c r="D14" s="17" t="str">
        <x:v>Clothing, Shoes &amp; Jewelry | Women | Clothing | Bodysuits</x:v>
      </x:c>
      <x:c r="E14" s="17" t="str">
        <x:v>Bodysuits</x:v>
      </x:c>
      <x:c r="F14" s="17" t="str">
        <x:v>Stretchy fabric: 95% modal, 5% spandex | Imported | Snap closure | Hand wash recommended (Use a laundry bag if machine wash) | Please select your size according to size chart in the last image before ordering. Take your normal size, please don't try to go up size | Bodysuits for women featuring mock turtle neck, sleeveless / long sleeve | Tanga bottom, 2 snap buttons butt closure at crotch | Package content:1* Bodysuit</x:v>
      </x:c>
      <x:c r="G14" s="17" t="str">
        <x:v>Package Dimensions: 7.87 x 7.87 x 0.39 inches; 2.82 Ounces | Department: Womens | Date First Available: April 12, 2021</x:v>
      </x:c>
      <x:c r="H14" s="17" t="str"/>
      <x:c r="I14" s="76" t="n">
        <x:v>24.98</x:v>
      </x:c>
      <x:c r="J14" s="75" t="n">
        <x:v>4.4</x:v>
      </x:c>
      <x:c r="K14" s="77" t="n">
        <x:v>45560</x:v>
      </x:c>
      <x:c r="L14" s="77" t="str">
        <x:v>MANGOPOP</x:v>
      </x:c>
      <x:c r="M14" s="77" t="n">
        <x:f>LEN(C14)</x:f>
        <x:v>68</x:v>
      </x:c>
      <x:c r="N14" s="77" t="n">
        <x:f>LEN(F14)</x:f>
        <x:v>422</x:v>
      </x:c>
      <x:c r="O14" s="77" t="n">
        <x:f>LEN(G14)</x:f>
        <x:v>118</x:v>
      </x:c>
      <x:c r="P14" s="77" t="n">
        <x:f>LEN(H14)</x:f>
        <x:v>0</x:v>
      </x:c>
      <x:c r="Q14" s="77" t="n">
        <x:f>IF(LEN(C14)&gt;0,1,0)+IF(LEN(D14)&gt;0,1,0)+IF(LEN(F14)&gt;0,1,0)+IF(LEN(G14)&gt;0,1,0)+IF(LEN(H14)&gt;0,1,0)+IF(ISNUMBER(I14),1,0)+IF(ISNUMBER(J14),1,0)+IF(ISNUMBER(K14),1,0)+IF(LEN(L14)&gt;0,1,0)</x:f>
        <x:v>8</x:v>
      </x:c>
      <x:c r="R14" s="78" t="n">
        <x:f>Q14/9</x:f>
        <x:v>0.8888888888888888</x:v>
      </x:c>
    </x:row>
    <x:row r="15" ht="72" customHeight="1">
      <x:c r="A15" t="str">
        <x:v>public_0011</x:v>
      </x:c>
      <x:c r="B15" t="str">
        <x:v>B0BXP6MG3X</x:v>
      </x:c>
      <x:c r="C15" s="17" t="str">
        <x:v>Hanes Men's Tagless Cotton V-Neck Undershirt – Multiple Packs and Colors</x:v>
      </x:c>
      <x:c r="D15" s="17" t="str">
        <x:v>Clothing, Shoes &amp; Jewelry | Men | Clothing | Underwear | Undershirts</x:v>
      </x:c>
      <x:c r="E15" s="17" t="str">
        <x:v>Undershirts</x:v>
      </x:c>
      <x:c r="F15" s="17" t="str">
        <x:v>100% Cotton | Imported | undershirts closure | Machine Wash | THE COMFORT OF COTTON - Starts soft and gets softer with each washing. | KEEP COOL AND DRY - Cool Comfort moisture-wicking fabric for all- day comfort. | FRESH ALL DAY - FreshIQ advanced odor protection technology fights odor-causing bacteria. | THE SIZE YOU BUY IS THE SIZE IT STAYS - Preshrunk cotton holds its size and shape, wash after wash. | FREEDOM TO MOVE - Roomy armholes and a full-cut silhouette for unrestricted movement. | NO TAG, NO ITCH - No tag to bunch up or itch. | 6-PACK CONVENIENCE - One-and-done shopping for stock-up ease. | QUALITY FABRIC - Hanes soft and lightweight V-neck undershirts are made of 100% cotton. | EASY CARE - Throw in the washer, tumble dry low.</x:v>
      </x:c>
      <x:c r="G15" s="17" t="str">
        <x:v>Department: mens | Date First Available: March 7, 2023 | Manufacturer: Hanes Men's Underwear</x:v>
      </x:c>
      <x:c r="H15" s="17" t="str">
        <x:v>Here's a quality basic from the experts at Hanes®, the folks who know a lot about essential comfort. Whether you wear this cotton V-neck T-shirt as an undershirt or as a tee, you'll appreciate how Hanes® has taken a basic style and made it even better. These ComfortSoft® cotton tees are made with Hanes® FreshIQ™ advanced odor protection technology that fights odor-causing bacteria for all-day freshness and with Cool Comfort® cotton that wicks away moisture to keep you cool and dry. And because the cotton is preshrunk, these men's V-neck undershirts will keep their size and shape through many washings. You'll also appreciate the roomy armholes and relaxed fit for total comfort and ease of movement. Stock up on these Hanes®-best cotton V-neck tees in a convenient multi-pack and start wearing a better-than-basic undershirt.</x:v>
      </x:c>
      <x:c r="I15" s="76" t="n">
        <x:v>18.98</x:v>
      </x:c>
      <x:c r="J15" s="75" t="n">
        <x:v>4.5</x:v>
      </x:c>
      <x:c r="K15" s="77" t="n">
        <x:v>16540</x:v>
      </x:c>
      <x:c r="L15" s="77" t="str">
        <x:v>Hanes</x:v>
      </x:c>
      <x:c r="M15" s="77" t="n">
        <x:f>LEN(C15)</x:f>
        <x:v>72</x:v>
      </x:c>
      <x:c r="N15" s="77" t="n">
        <x:f>LEN(F15)</x:f>
        <x:v>748</x:v>
      </x:c>
      <x:c r="O15" s="77" t="n">
        <x:f>LEN(G15)</x:f>
        <x:v>92</x:v>
      </x:c>
      <x:c r="P15" s="77" t="n">
        <x:f>LEN(H15)</x:f>
        <x:v>832</x:v>
      </x:c>
      <x:c r="Q15" s="77" t="n">
        <x:f>IF(LEN(C15)&gt;0,1,0)+IF(LEN(D15)&gt;0,1,0)+IF(LEN(F15)&gt;0,1,0)+IF(LEN(G15)&gt;0,1,0)+IF(LEN(H15)&gt;0,1,0)+IF(ISNUMBER(I15),1,0)+IF(ISNUMBER(J15),1,0)+IF(ISNUMBER(K15),1,0)+IF(LEN(L15)&gt;0,1,0)</x:f>
        <x:v>9</x:v>
      </x:c>
      <x:c r="R15" s="78" t="n">
        <x:f>Q15/9</x:f>
        <x:v>1</x:v>
      </x:c>
    </x:row>
    <x:row r="16" ht="72" customHeight="1">
      <x:c r="A16" t="str">
        <x:v>public_0012</x:v>
      </x:c>
      <x:c r="B16" t="str">
        <x:v>B08FFGQF72</x:v>
      </x:c>
      <x:c r="C16" s="17" t="str">
        <x:v>GUBERRY Womens Wrap V Neck Long Sleeve Velvet Bodycon Ruched Cocktail Party Dress</x:v>
      </x:c>
      <x:c r="D16" s="17" t="str">
        <x:v>Clothing, Shoes &amp; Jewelry | Women | Clothing | Dresses</x:v>
      </x:c>
      <x:c r="E16" s="17" t="str">
        <x:v>Dresses</x:v>
      </x:c>
      <x:c r="F16" s="17" t="str">
        <x:v>95% Polyester, 5% Spandex | Imported | Wrap closure | Hand Wash Only | Features: wrap v neck, lightweight stretch velvet, mini knee length | Occasion: great for daily wear, formal occassion, party, club, night out, evening, wedding | Washing Tips: hand wash or gentle machine wash with cold water | Simple yet flaterring dress, styling with high heels and shiny accessories will look more great,create chic sexy elegance.Unique v-neck wrap long sleeve bodycon design with comfortable elastic velvet fabric, you can spend this autumn and winter relaxed | Detailed size info please check product description, Due to monitor settings and monitor pixel definitions, it may be a little color different</x:v>
      </x:c>
      <x:c r="G16" s="17" t="str">
        <x:v>Department: Womens | Date First Available: August 8, 2020</x:v>
      </x:c>
      <x:c r="H16" s="17" t="str"/>
      <x:c r="I16" s="76" t="n">
        <x:v>49.99</x:v>
      </x:c>
      <x:c r="J16" s="75" t="n">
        <x:v>4.3</x:v>
      </x:c>
      <x:c r="K16" s="77" t="n">
        <x:v>8740</x:v>
      </x:c>
      <x:c r="L16" s="77" t="str">
        <x:v>GUBERRY</x:v>
      </x:c>
      <x:c r="M16" s="77" t="n">
        <x:f>LEN(C16)</x:f>
        <x:v>81</x:v>
      </x:c>
      <x:c r="N16" s="77" t="n">
        <x:f>LEN(F16)</x:f>
        <x:v>696</x:v>
      </x:c>
      <x:c r="O16" s="77" t="n">
        <x:f>LEN(G16)</x:f>
        <x:v>57</x:v>
      </x:c>
      <x:c r="P16" s="77" t="n">
        <x:f>LEN(H16)</x:f>
        <x:v>0</x:v>
      </x:c>
      <x:c r="Q16" s="77" t="n">
        <x:f>IF(LEN(C16)&gt;0,1,0)+IF(LEN(D16)&gt;0,1,0)+IF(LEN(F16)&gt;0,1,0)+IF(LEN(G16)&gt;0,1,0)+IF(LEN(H16)&gt;0,1,0)+IF(ISNUMBER(I16),1,0)+IF(ISNUMBER(J16),1,0)+IF(ISNUMBER(K16),1,0)+IF(LEN(L16)&gt;0,1,0)</x:f>
        <x:v>8</x:v>
      </x:c>
      <x:c r="R16" s="78" t="n">
        <x:f>Q16/9</x:f>
        <x:v>0.8888888888888888</x:v>
      </x:c>
    </x:row>
    <x:row r="17" ht="72" customHeight="1">
      <x:c r="A17" t="str">
        <x:v>public_0013</x:v>
      </x:c>
      <x:c r="B17" t="str">
        <x:v>B0C65TFM9F</x:v>
      </x:c>
      <x:c r="C17" s="17" t="str">
        <x:v>Vionic Women's Gemma</x:v>
      </x:c>
      <x:c r="D17" s="17" t="str">
        <x:v>Clothing, Shoes &amp; Jewelry | Women | Shoes | Slippers</x:v>
      </x:c>
      <x:c r="E17" s="17" t="str">
        <x:v>Slippers</x:v>
      </x:c>
      <x:c r="F17" s="17" t="str">
        <x:v>Rubber sole | Textile Upper. Textile Covered EVA Footbed. Rubber Outsole. | Received APMA (American Podiatric Medical Association) Seal of Acceptance | YOUR NEW FAVORITE SLIPPERS: Slip into divine comfort with Gemma, a plush mule-style spa slipper with an adjustable hook-and-loop closure across the vamp. | VIO MOTION SUPPORT: The Most Supportive Shoes Ever. Our Vio-Motion Support includes Three-Zone Comfort with Ultimate Arch Support for a difference you can feel.</x:v>
      </x:c>
      <x:c r="G17" s="17" t="str">
        <x:v>Package Dimensions: 11 x 5 x 4 inches; 1 Pounds | Department: Womens | Date First Available: June 1, 2013 | Manufacturer: Vionic</x:v>
      </x:c>
      <x:c r="H17" s="17" t="str">
        <x:v>Orthaheel Womens Gemma is a comfortable orthotic mulestyled slipper. The Gemma combines the pronation control technology designed in Orthaheels sandals with a soft terry cloth spa slipper Men go up a sizesize and a half, example if you are a mens 99.5 order a size 11. Also see the Orthaheel Relax Slipper same slipper but opentoed. Note only certain colors are on sale.</x:v>
      </x:c>
      <x:c r="I17" s="76" t="str"/>
      <x:c r="J17" s="75" t="n">
        <x:v>4.5</x:v>
      </x:c>
      <x:c r="K17" s="77" t="n">
        <x:v>9763</x:v>
      </x:c>
      <x:c r="L17" s="77" t="str">
        <x:v>Vionic</x:v>
      </x:c>
      <x:c r="M17" s="77" t="n">
        <x:f>LEN(C17)</x:f>
        <x:v>20</x:v>
      </x:c>
      <x:c r="N17" s="77" t="n">
        <x:f>LEN(F17)</x:f>
        <x:v>468</x:v>
      </x:c>
      <x:c r="O17" s="77" t="n">
        <x:f>LEN(G17)</x:f>
        <x:v>128</x:v>
      </x:c>
      <x:c r="P17" s="77" t="n">
        <x:f>LEN(H17)</x:f>
        <x:v>370</x:v>
      </x:c>
      <x:c r="Q17" s="77" t="n">
        <x:f>IF(LEN(C17)&gt;0,1,0)+IF(LEN(D17)&gt;0,1,0)+IF(LEN(F17)&gt;0,1,0)+IF(LEN(G17)&gt;0,1,0)+IF(LEN(H17)&gt;0,1,0)+IF(ISNUMBER(I17),1,0)+IF(ISNUMBER(J17),1,0)+IF(ISNUMBER(K17),1,0)+IF(LEN(L17)&gt;0,1,0)</x:f>
        <x:v>8</x:v>
      </x:c>
      <x:c r="R17" s="78" t="n">
        <x:f>Q17/9</x:f>
        <x:v>0.8888888888888888</x:v>
      </x:c>
    </x:row>
    <x:row r="18" ht="72" customHeight="1">
      <x:c r="A18" t="str">
        <x:v>public_0014</x:v>
      </x:c>
      <x:c r="B18" t="str">
        <x:v>B088QF5G58</x:v>
      </x:c>
      <x:c r="C18" s="17" t="str">
        <x:v>Hanes Men's Underwear Briefs Pack, Mid-Rise, Moisture-Wicking, 6-Pack</x:v>
      </x:c>
      <x:c r="D18" s="17" t="str">
        <x:v>Clothing, Shoes &amp; Jewelry | Men | Clothing | Underwear | Briefs</x:v>
      </x:c>
      <x:c r="E18" s="17" t="str">
        <x:v>Briefs</x:v>
      </x:c>
      <x:c r="F18" s="17" t="str">
        <x:v>Solids: 100% Cotton; heathers: 75% cotton, 25% polyester | Imported | Pull On closure | QUALITY FABRIC – Made from a soft, stretchy, preshrunk 100% cotton (heathers are a blend of 75% cotton/25% polyester) that holds its shape, wash after wash. | VALUE YOU EXPECT – Each men's underwear value pack includes 6 pairs of classic briefs. | LIGHTWEIGHT &amp; MOISTURE-WICKING – Cool Comfort technology helps wick away moisture to keep you cool and dry all day long. | COMFORT YOU DESERVE – Comfort Flex logo waistband keeps your men's briefs from pinching and binding with a convenient fully functional fly. | SIZE OPTIONS – From men's underwear sizes Small-3XL, our multiple underwear size options make shopping simple. | NO TAG, NO ITCH – Because who needs scratchy tags?</x:v>
      </x:c>
      <x:c r="G18" s="17" t="str">
        <x:v>Product Dimensions: 13 x 8 x 1 inches | Item model number: 782CB6 | Department: Mens | Date First Available: April 16, 2019 | Manufacturer: Hanes</x:v>
      </x:c>
      <x:c r="H18" s="17" t="str">
        <x:v>Hanes® classic men's briefs are made from high-quality stretch cotton-stretch blend that's preshrunk and moisture-wicking to help keep you cool all day. Our experts designed these mid-rise briefs with a softly covered Comfort Flex® waistband that prevents pinching and binding. A fully functional fly provides easy access for everyday convenience. More comfort comes from no-ride-up leg openings. These men's underwear sets are available in multiple size and color options so you can choose the one that works best for you, plus the convenience of a 6-pack.</x:v>
      </x:c>
      <x:c r="I18" s="76" t="n">
        <x:v>17.91</x:v>
      </x:c>
      <x:c r="J18" s="75" t="n">
        <x:v>4.5</x:v>
      </x:c>
      <x:c r="K18" s="77" t="n">
        <x:v>21411</x:v>
      </x:c>
      <x:c r="L18" s="77" t="str">
        <x:v>Hanes</x:v>
      </x:c>
      <x:c r="M18" s="77" t="n">
        <x:f>LEN(C18)</x:f>
        <x:v>69</x:v>
      </x:c>
      <x:c r="N18" s="77" t="n">
        <x:f>LEN(F18)</x:f>
        <x:v>764</x:v>
      </x:c>
      <x:c r="O18" s="77" t="n">
        <x:f>LEN(G18)</x:f>
        <x:v>145</x:v>
      </x:c>
      <x:c r="P18" s="77" t="n">
        <x:f>LEN(H18)</x:f>
        <x:v>557</x:v>
      </x:c>
      <x:c r="Q18" s="77" t="n">
        <x:f>IF(LEN(C18)&gt;0,1,0)+IF(LEN(D18)&gt;0,1,0)+IF(LEN(F18)&gt;0,1,0)+IF(LEN(G18)&gt;0,1,0)+IF(LEN(H18)&gt;0,1,0)+IF(ISNUMBER(I18),1,0)+IF(ISNUMBER(J18),1,0)+IF(ISNUMBER(K18),1,0)+IF(LEN(L18)&gt;0,1,0)</x:f>
        <x:v>9</x:v>
      </x:c>
      <x:c r="R18" s="78" t="n">
        <x:f>Q18/9</x:f>
        <x:v>1</x:v>
      </x:c>
    </x:row>
    <x:row r="19" ht="72" customHeight="1">
      <x:c r="A19" t="str">
        <x:v>public_0015</x:v>
      </x:c>
      <x:c r="B19" t="str">
        <x:v>B08513YB2T</x:v>
      </x:c>
      <x:c r="C19" s="17" t="str">
        <x:v>Crocs Unisex-Adult Classic Clog</x:v>
      </x:c>
      <x:c r="D19" s="17" t="str">
        <x:v>Clothing, Shoes &amp; Jewelry | Men | Shoes | Mules &amp; Clogs</x:v>
      </x:c>
      <x:c r="E19" s="17" t="str">
        <x:v>Mules &amp; Clogs</x:v>
      </x:c>
      <x:c r="F19" s="17" t="str">
        <x:v>Made in the USA or Imported | Ethylene Vinyl Acetate sole | Shaft measures approximately 8#inches from arch | Heel measures approximately 0.77" | CROCS FOR EVERYONE: With a color and style for every personality, the Classic Clogs are the Crocs women and men need to start a comfort revolution around the world | LIGHTWEIGHT AND FUN: The Crocs for men and women feature lightweight Iconic Crocs Comfort. Ventilation ports add breathability and help shed water and debris quickly | WHAT SIZE SHOULD I BUY?: These men's and women's Crocs offer a roomy fit and we recommend ordering a size down to the next largest whole size | DESIGNED TO FIT: These slip-on clogs are easy to take on and off, while being extremely durable. These Crocs even offer pivoting heel straps for a more secure fit | CROCS FOR WOMEN AND MEN: The Crocs Classic Clogs are not only the most comfortable shoes for women and men but also easy to clean just using soap and water and allowing for a quick dry</x:v>
      </x:c>
      <x:c r="G19" s="17" t="str">
        <x:v>Is Discontinued By Manufacturer: No | Product Dimensions: 8 x 4 x 7 inches; 9.6 Ounces | Item model number: 10001 | Department: unisex-adult | Date First Available: September 20, 2007 | Manufacturer: Crocs</x:v>
      </x:c>
      <x:c r="H19" s="17" t="str">
        <x:v>It’s the iconic clog that started a comfort revolution around the worldThe irreverent go-to comfort shoe that you're sure to fall deeper in love with day after day. Crocs Classic Clogs offer lightweight Iconic Crocs Comfort. All Crocs™ shoes are uniquely designed and manufactured using our proprietary closed-cell resin, Croslite™, a technology that gives each pair of shoes the soft, comfortable, lightweight and non-marking qualities that Crocs™ wearers know and love. Heat: do not expose your Crocs™ shoes to extreme heat or intense sunlight for an extended period of time. Due to the unique nature of the Crocs™ PCCR material, high temperatures may cause them to warp. Crocs shoes should solely be hand washed. If the model features a lining, it is recommended to put the lining in a mesh fabric or use a delicate cycle (of up to 30 °) if you machine wash. Cleaning your Crocs using the washing machine is at your own risk | Looking for the ultimate warm-weather shoe? Crocs' Classic clog has a ventilated upper and a traction outsole to make it a top wet-dry performer--perfect for the beach--but we can think of a zillion other places you'll want to wear it.</x:v>
      </x:c>
      <x:c r="I19" s="76" t="str"/>
      <x:c r="J19" s="75" t="n">
        <x:v>4.8</x:v>
      </x:c>
      <x:c r="K19" s="77" t="n">
        <x:v>408371</x:v>
      </x:c>
      <x:c r="L19" s="77" t="str">
        <x:v>Crocs</x:v>
      </x:c>
      <x:c r="M19" s="77" t="n">
        <x:f>LEN(C19)</x:f>
        <x:v>31</x:v>
      </x:c>
      <x:c r="N19" s="77" t="n">
        <x:f>LEN(F19)</x:f>
        <x:v>973</x:v>
      </x:c>
      <x:c r="O19" s="77" t="n">
        <x:f>LEN(G19)</x:f>
        <x:v>205</x:v>
      </x:c>
      <x:c r="P19" s="77" t="n">
        <x:f>LEN(H19)</x:f>
        <x:v>1165</x:v>
      </x:c>
      <x:c r="Q19" s="77" t="n">
        <x:f>IF(LEN(C19)&gt;0,1,0)+IF(LEN(D19)&gt;0,1,0)+IF(LEN(F19)&gt;0,1,0)+IF(LEN(G19)&gt;0,1,0)+IF(LEN(H19)&gt;0,1,0)+IF(ISNUMBER(I19),1,0)+IF(ISNUMBER(J19),1,0)+IF(ISNUMBER(K19),1,0)+IF(LEN(L19)&gt;0,1,0)</x:f>
        <x:v>8</x:v>
      </x:c>
      <x:c r="R19" s="78" t="n">
        <x:f>Q19/9</x:f>
        <x:v>0.8888888888888888</x:v>
      </x:c>
    </x:row>
    <x:row r="20" ht="72" customHeight="1">
      <x:c r="A20" t="str">
        <x:v>public_0016</x:v>
      </x:c>
      <x:c r="B20" t="str">
        <x:v>B07PH3X7QK</x:v>
      </x:c>
      <x:c r="C20" s="17" t="str">
        <x:v>Amazon Essentials Women's Lace-Up Combat Boot</x:v>
      </x:c>
      <x:c r="D20" s="17" t="str">
        <x:v>Clothing, Shoes &amp; Jewelry | Women | Shoes | Boots | Mid-Calf</x:v>
      </x:c>
      <x:c r="E20" s="17" t="str">
        <x:v>Mid-Calf</x:v>
      </x:c>
      <x:c r="F20" s="17" t="str">
        <x:v>Imported | Rubber sole | Shaft measures approximately ankle-high from arch | Get ready to conquer the world in the Amazon Essentials Women's Lace Up Combat Boot! A variety of colors to dress up or down for all occasions! Pair with jeans, leggings, dresses &amp; more for every day wear. | Modern classic combat boot with inside zipper for easy access | Matte finish faux leather upper with breathable jersey lining and waxed laces | 5mm latex and memory foam padding for superior insole comfort. | High quality TPR outsole for exceptional flexibility and traction. 1 1/8” heel height.</x:v>
      </x:c>
      <x:c r="G20" s="17" t="str">
        <x:v>Package Dimensions: 1 x 1 x 1 inches; 8 Ounces | Item model number: Collins | Department: womens | Date First Available: October 4, 2019 | Manufacturer: Amazon Essentials</x:v>
      </x:c>
      <x:c r="H20" s="17" t="str">
        <x:v>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x:v>
      </x:c>
      <x:c r="I20" s="76" t="n">
        <x:v>47.4</x:v>
      </x:c>
      <x:c r="J20" s="75" t="n">
        <x:v>4.5</x:v>
      </x:c>
      <x:c r="K20" s="77" t="n">
        <x:v>11122</x:v>
      </x:c>
      <x:c r="L20" s="77" t="str">
        <x:v>Amazon Essentials</x:v>
      </x:c>
      <x:c r="M20" s="77" t="n">
        <x:f>LEN(C20)</x:f>
        <x:v>45</x:v>
      </x:c>
      <x:c r="N20" s="77" t="n">
        <x:f>LEN(F20)</x:f>
        <x:v>580</x:v>
      </x:c>
      <x:c r="O20" s="77" t="n">
        <x:f>LEN(G20)</x:f>
        <x:v>170</x:v>
      </x:c>
      <x:c r="P20" s="77" t="n">
        <x:f>LEN(H20)</x:f>
        <x:v>389</x:v>
      </x:c>
      <x:c r="Q20" s="77" t="n">
        <x:f>IF(LEN(C20)&gt;0,1,0)+IF(LEN(D20)&gt;0,1,0)+IF(LEN(F20)&gt;0,1,0)+IF(LEN(G20)&gt;0,1,0)+IF(LEN(H20)&gt;0,1,0)+IF(ISNUMBER(I20),1,0)+IF(ISNUMBER(J20),1,0)+IF(ISNUMBER(K20),1,0)+IF(LEN(L20)&gt;0,1,0)</x:f>
        <x:v>9</x:v>
      </x:c>
      <x:c r="R20" s="78" t="n">
        <x:f>Q20/9</x:f>
        <x:v>1</x:v>
      </x:c>
    </x:row>
    <x:row r="21" ht="72" customHeight="1">
      <x:c r="A21" t="str">
        <x:v>public_0017</x:v>
      </x:c>
      <x:c r="B21" t="str">
        <x:v>B089RXP8K2</x:v>
      </x:c>
      <x:c r="C21" s="17" t="str">
        <x:v>Travelambo Womens Wallet RFID Blocking Bifold Multi Card Case Wallet with Zipper Pocket</x:v>
      </x:c>
      <x:c r="D21" s="17" t="str">
        <x:v>Clothing, Shoes &amp; Jewelry | Women | Accessories | Wallets, Card Cases &amp; Money Organizers | Wallets</x:v>
      </x:c>
      <x:c r="E21" s="17" t="str">
        <x:v>Wallets</x:v>
      </x:c>
      <x:c r="F21" s="17" t="str">
        <x:v>Leather | Leather lining | Snap closure | Dry Cloth Clean | THE INEXPENSIVE WALLET: High quality genuine leather + dust-proof cover + simple polybag packing + superb craftmanship = an inexpensive and high quality womens wallet | ELEGANT DESIGN: Our checkered womens bifold wallet features 16 card slots and 2 zippered pockets for cash, coins. This functional wallet with a snap to buckle up is perfect to organizer all your personal essentials. Useful every-day carry for you to put all your cards, IDs, receipts, tickets and other small items securely | OPTIMUM SIZE: Dimensions: 7.3"L x 3.8"H x 0.75"D. Manual measurement size, there may be a slight inaccuracy | RFID BLOCKING: It keeps your identity and credit card information away from scanning and theft | HAND MADE: this wallet is hand made by a team of 15 experienced craftsmen, who do all the procedures from material cutting, part gluing, sewing and packing with hands one by one</x:v>
      </x:c>
      <x:c r="G21" s="17" t="str">
        <x:v>Brand: Travelambo | Color: Red Wine | Material: Leather | Style: Minimalist | Pattern: Pure color | Department: Womens | Date First Available: September 5, 2019</x:v>
      </x:c>
      <x:c r="H21" s="17" t="str"/>
      <x:c r="I21" s="76" t="n">
        <x:v>13.59</x:v>
      </x:c>
      <x:c r="J21" s="75" t="n">
        <x:v>4.5</x:v>
      </x:c>
      <x:c r="K21" s="77" t="n">
        <x:v>67491</x:v>
      </x:c>
      <x:c r="L21" s="77" t="str">
        <x:v>Travelambo</x:v>
      </x:c>
      <x:c r="M21" s="77" t="n">
        <x:f>LEN(C21)</x:f>
        <x:v>87</x:v>
      </x:c>
      <x:c r="N21" s="77" t="n">
        <x:f>LEN(F21)</x:f>
        <x:v>939</x:v>
      </x:c>
      <x:c r="O21" s="77" t="n">
        <x:f>LEN(G21)</x:f>
        <x:v>160</x:v>
      </x:c>
      <x:c r="P21" s="77" t="n">
        <x:f>LEN(H21)</x:f>
        <x:v>0</x:v>
      </x:c>
      <x:c r="Q21" s="77" t="n">
        <x:f>IF(LEN(C21)&gt;0,1,0)+IF(LEN(D21)&gt;0,1,0)+IF(LEN(F21)&gt;0,1,0)+IF(LEN(G21)&gt;0,1,0)+IF(LEN(H21)&gt;0,1,0)+IF(ISNUMBER(I21),1,0)+IF(ISNUMBER(J21),1,0)+IF(ISNUMBER(K21),1,0)+IF(LEN(L21)&gt;0,1,0)</x:f>
        <x:v>8</x:v>
      </x:c>
      <x:c r="R21" s="78" t="n">
        <x:f>Q21/9</x:f>
        <x:v>0.8888888888888888</x:v>
      </x:c>
    </x:row>
    <x:row r="22" ht="72" customHeight="1">
      <x:c r="A22" t="str">
        <x:v>public_0018</x:v>
      </x:c>
      <x:c r="B22" t="str">
        <x:v>B07H3T5YGH</x:v>
      </x:c>
      <x:c r="C22" s="17" t="str">
        <x:v>O2TEE Men's Workout Gym Tank Tops Men - Custom Tank Top - Customized &amp; Personalized Tanktops Text</x:v>
      </x:c>
      <x:c r="D22" s="17" t="str">
        <x:v>Clothing, Shoes &amp; Jewelry | Novelty &amp; More | Clothing | Novelty | Men | Shirts | Tanks Tops</x:v>
      </x:c>
      <x:c r="E22" s="17" t="str">
        <x:v>Tanks Tops</x:v>
      </x:c>
      <x:c r="F22" s="17" t="str">
        <x:v>Modal,Polyester,Cotton | Pull On closure | Material: 95%Cotton &amp; 5%Polyester - Made of Superior Quality Modal Fiber, Ultra Light-Weight, Soft &amp; Smooth, Feels Really Comfortable, Which Keep You Cool &amp; Dry All Day Long. | STRINGER DESIGN &amp; DEEP CUTTING - Easily Fit for A Wide Range of Motion, Perfect for Gym, Physical Fitness, Weight-Training, Workout, Bodybuilding, Running, etc. The Deep Cutting Allows Your Arms to Move More Easily. | I-Back Design. Sometimes referred to a T-Back Y-Back or Racerback. Common style tank top for bodybuilders, gym fanatics, and men with muscular athletic physiques | Men's Bodybuilding Fitness Stringer Tank Top Sport Gym Sleeveless Vest | If You Want to Be A Little Loose, Please Choose A Size Up! You Can Check The Size Photo For A Reference.</x:v>
      </x:c>
      <x:c r="G22" s="17" t="str">
        <x:v>Is Discontinued By Manufacturer: No | Department: Mens | Date First Available: September 5, 2018</x:v>
      </x:c>
      <x:c r="H22" s="17" t="str">
        <x:v>Thank you for choosing O2TEE Men's Muscle Gym Tank Tops Bodybuilding Fitness T-Shirts.  We guarantee | best quality | on our products! Best Quality | Best Quality Vinyl Printing | _ | Wash inside out in cold water, Natural-air drying | is recommended. Due to different computer monitors/calibrations, colors may vary slightly from photos Our Products Are Expected To Arrive At Your Destination Within 7-14 Days. Please Wait Patiently.</x:v>
      </x:c>
      <x:c r="I22" s="76" t="n">
        <x:v>19.99</x:v>
      </x:c>
      <x:c r="J22" s="75" t="n">
        <x:v>3.5</x:v>
      </x:c>
      <x:c r="K22" s="77" t="n">
        <x:v>45</x:v>
      </x:c>
      <x:c r="L22" s="77" t="str">
        <x:v>O2TEE</x:v>
      </x:c>
      <x:c r="M22" s="77" t="n">
        <x:f>LEN(C22)</x:f>
        <x:v>97</x:v>
      </x:c>
      <x:c r="N22" s="77" t="n">
        <x:f>LEN(F22)</x:f>
        <x:v>779</x:v>
      </x:c>
      <x:c r="O22" s="77" t="n">
        <x:f>LEN(G22)</x:f>
        <x:v>96</x:v>
      </x:c>
      <x:c r="P22" s="77" t="n">
        <x:f>LEN(H22)</x:f>
        <x:v>434</x:v>
      </x:c>
      <x:c r="Q22" s="77" t="n">
        <x:f>IF(LEN(C22)&gt;0,1,0)+IF(LEN(D22)&gt;0,1,0)+IF(LEN(F22)&gt;0,1,0)+IF(LEN(G22)&gt;0,1,0)+IF(LEN(H22)&gt;0,1,0)+IF(ISNUMBER(I22),1,0)+IF(ISNUMBER(J22),1,0)+IF(ISNUMBER(K22),1,0)+IF(LEN(L22)&gt;0,1,0)</x:f>
        <x:v>9</x:v>
      </x:c>
      <x:c r="R22" s="78" t="n">
        <x:f>Q22/9</x:f>
        <x:v>1</x:v>
      </x:c>
    </x:row>
    <x:row r="23" ht="72" customHeight="1">
      <x:c r="A23" t="str">
        <x:v>public_0019</x:v>
      </x:c>
      <x:c r="B23" t="str">
        <x:v>B076VQQ962</x:v>
      </x:c>
      <x:c r="C23" s="17" t="str">
        <x:v>Asgard Women's Ankle Rain Boots Waterproof Chelsea Boots</x:v>
      </x:c>
      <x:c r="D23" s="17" t="str">
        <x:v>Clothing, Shoes &amp; Jewelry | Boot Shop | Women | Outdoor &amp; Work | Rain</x:v>
      </x:c>
      <x:c r="E23" s="17" t="str">
        <x:v>Rain</x:v>
      </x:c>
      <x:c r="F23" s="17" t="str">
        <x:v>Rubber sole | Shaft measures approximately 5.5" from arch | Platform measures approximately 0.5" | Boot opening measures approximately 6.5" around | Heel measures approximately 1", Shaft measures approximately 5.4" from arch | Classic chelsea boots, easy slip on design | Casual and lightweight, keep you trendy in rainy days | Removable insole and textile lining, make it comfortable and won't feel rubbery inside | Please note: Shoes may have a slight rubber odor. If you do mind it, please think carefully before purchase</x:v>
      </x:c>
      <x:c r="G23" s="17" t="str">
        <x:v>Is Discontinued By Manufacturer: No | Department: womens | Date First Available: October 26, 2017</x:v>
      </x:c>
      <x:c r="H23" s="17" t="str"/>
      <x:c r="I23" s="76" t="n">
        <x:v>32.99</x:v>
      </x:c>
      <x:c r="J23" s="75" t="n">
        <x:v>4.5</x:v>
      </x:c>
      <x:c r="K23" s="77" t="n">
        <x:v>22511</x:v>
      </x:c>
      <x:c r="L23" s="77" t="str">
        <x:v>Asgard</x:v>
      </x:c>
      <x:c r="M23" s="77" t="n">
        <x:f>LEN(C23)</x:f>
        <x:v>56</x:v>
      </x:c>
      <x:c r="N23" s="77" t="n">
        <x:f>LEN(F23)</x:f>
        <x:v>524</x:v>
      </x:c>
      <x:c r="O23" s="77" t="n">
        <x:f>LEN(G23)</x:f>
        <x:v>97</x:v>
      </x:c>
      <x:c r="P23" s="77" t="n">
        <x:f>LEN(H23)</x:f>
        <x:v>0</x:v>
      </x:c>
      <x:c r="Q23" s="77" t="n">
        <x:f>IF(LEN(C23)&gt;0,1,0)+IF(LEN(D23)&gt;0,1,0)+IF(LEN(F23)&gt;0,1,0)+IF(LEN(G23)&gt;0,1,0)+IF(LEN(H23)&gt;0,1,0)+IF(ISNUMBER(I23),1,0)+IF(ISNUMBER(J23),1,0)+IF(ISNUMBER(K23),1,0)+IF(LEN(L23)&gt;0,1,0)</x:f>
        <x:v>8</x:v>
      </x:c>
      <x:c r="R23" s="78" t="n">
        <x:f>Q23/9</x:f>
        <x:v>0.8888888888888888</x:v>
      </x:c>
    </x:row>
    <x:row r="24" ht="72" customHeight="1">
      <x:c r="A24" t="str">
        <x:v>public_0020</x:v>
      </x:c>
      <x:c r="B24" t="str">
        <x:v>B08P4SSFX4</x:v>
      </x:c>
      <x:c r="C24" s="17" t="str">
        <x:v>Funny Saying Novelty Gift ideas - My Favorite People Call Me Grandma Long Sleeve T-Shirt</x:v>
      </x:c>
      <x:c r="D24" s="17" t="str">
        <x:v>Clothing, Shoes &amp; Jewelry | Novelty &amp; More | Clothing | Novelty | Women</x:v>
      </x:c>
      <x:c r="E24" s="17" t="str">
        <x:v>Women</x:v>
      </x:c>
      <x:c r="F24" s="17" t="str">
        <x:v>Solid colors: 100% Cotton; Heather Grey: 90% Cotton, 10% Polyester; All Other Heathers: 50% Cotton, 50% Polyester | Imported | Pull On closure | Machine Wash | Funny saying design idea with text, look for our brand: "nellia" to find more gifts ideas for you, your family or friends. | My Favorite People Call Me Grandma, Funny saying gifts for mom, dad, mama and grandma. Mothers day gift idea, cute design with text for wife, daughter, brother or girlfriend. | Lightweight, Classic fit, Double-needle sleeve and bottom hem</x:v>
      </x:c>
      <x:c r="G24" s="17" t="str">
        <x:v>Package Dimensions: 10 x 10 x 2 inches; 8 Ounces | Department: unisex-adult | Date First Available: November 24, 2020 | Manufacturer: Funny Saying Novelty Gift ideas</x:v>
      </x:c>
      <x:c r="H24" s="17" t="str">
        <x:v>Funny saying novelty lovely designs, look for our brand: "nellia" to find more gifts ideas for you, your family or friends.</x:v>
      </x:c>
      <x:c r="I24" s="76" t="n">
        <x:v>21.98</x:v>
      </x:c>
      <x:c r="J24" s="75" t="n">
        <x:v>5</x:v>
      </x:c>
      <x:c r="K24" s="77" t="n">
        <x:v>1</x:v>
      </x:c>
      <x:c r="L24" s="77" t="str">
        <x:v>Funny Saying Novelty Gift ideas</x:v>
      </x:c>
      <x:c r="M24" s="77" t="n">
        <x:f>LEN(C24)</x:f>
        <x:v>88</x:v>
      </x:c>
      <x:c r="N24" s="77" t="n">
        <x:f>LEN(F24)</x:f>
        <x:v>523</x:v>
      </x:c>
      <x:c r="O24" s="77" t="n">
        <x:f>LEN(G24)</x:f>
        <x:v>165</x:v>
      </x:c>
      <x:c r="P24" s="77" t="n">
        <x:f>LEN(H24)</x:f>
        <x:v>123</x:v>
      </x:c>
      <x:c r="Q24" s="77" t="n">
        <x:f>IF(LEN(C24)&gt;0,1,0)+IF(LEN(D24)&gt;0,1,0)+IF(LEN(F24)&gt;0,1,0)+IF(LEN(G24)&gt;0,1,0)+IF(LEN(H24)&gt;0,1,0)+IF(ISNUMBER(I24),1,0)+IF(ISNUMBER(J24),1,0)+IF(ISNUMBER(K24),1,0)+IF(LEN(L24)&gt;0,1,0)</x:f>
        <x:v>9</x:v>
      </x:c>
      <x:c r="R24" s="78" t="n">
        <x:f>Q24/9</x:f>
        <x:v>1</x:v>
      </x:c>
    </x:row>
    <x:row r="25" ht="72" customHeight="1">
      <x:c r="A25" t="str">
        <x:v>public_0021</x:v>
      </x:c>
      <x:c r="B25" t="str">
        <x:v>B07K4FX4WZ</x:v>
      </x:c>
      <x:c r="C25" s="17" t="str">
        <x:v>Amazon Essentials Men's Slim-Fit Stretch Golf Pant</x:v>
      </x:c>
      <x:c r="D25" s="17" t="str">
        <x:v>Clothing, Shoes &amp; Jewelry | Sport Specific Clothing | Golf | Men | Pants</x:v>
      </x:c>
      <x:c r="E25" s="17" t="str">
        <x:v>Pants</x:v>
      </x:c>
      <x:c r="F25" s="17" t="str">
        <x:v>98% Polyester, 2% Spandex | Imported | Zipper closure | Machine Wash | Fitted through hip and thigh, with tapered leg. Sits below the waist | Smooth, wrinkle-free blend with moisture wicking and a gentle stretch | Set-in pockets at rear | Sits below the waist | An Amazon brand</x:v>
      </x:c>
      <x:c r="G25" s="17" t="str">
        <x:v>Package Dimensions: 1 x 1 x 1 inches; 8 Ounces | Item model number: MAE65007FL18 | Department: Mens | Date First Available: March 19, 2019 | Manufacturer: Amazon Essentials</x:v>
      </x:c>
      <x:c r="H25" s="17" t="str">
        <x:v>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x:v>
      </x:c>
      <x:c r="I25" s="76" t="n">
        <x:v>23.92</x:v>
      </x:c>
      <x:c r="J25" s="75" t="n">
        <x:v>4.3</x:v>
      </x:c>
      <x:c r="K25" s="77" t="n">
        <x:v>13762</x:v>
      </x:c>
      <x:c r="L25" s="77" t="str">
        <x:v>Amazon Essentials</x:v>
      </x:c>
      <x:c r="M25" s="77" t="n">
        <x:f>LEN(C25)</x:f>
        <x:v>50</x:v>
      </x:c>
      <x:c r="N25" s="77" t="n">
        <x:f>LEN(F25)</x:f>
        <x:v>277</x:v>
      </x:c>
      <x:c r="O25" s="77" t="n">
        <x:f>LEN(G25)</x:f>
        <x:v>172</x:v>
      </x:c>
      <x:c r="P25" s="77" t="n">
        <x:f>LEN(H25)</x:f>
        <x:v>394</x:v>
      </x:c>
      <x:c r="Q25" s="77" t="n">
        <x:f>IF(LEN(C25)&gt;0,1,0)+IF(LEN(D25)&gt;0,1,0)+IF(LEN(F25)&gt;0,1,0)+IF(LEN(G25)&gt;0,1,0)+IF(LEN(H25)&gt;0,1,0)+IF(ISNUMBER(I25),1,0)+IF(ISNUMBER(J25),1,0)+IF(ISNUMBER(K25),1,0)+IF(LEN(L25)&gt;0,1,0)</x:f>
        <x:v>9</x:v>
      </x:c>
      <x:c r="R25" s="78" t="n">
        <x:f>Q25/9</x:f>
        <x:v>1</x:v>
      </x:c>
    </x:row>
    <x:row r="26" ht="72" customHeight="1">
      <x:c r="A26" t="str">
        <x:v>public_0022</x:v>
      </x:c>
      <x:c r="B26" t="str">
        <x:v>B08F5G843H</x:v>
      </x:c>
      <x:c r="C26" s="17" t="str">
        <x:v>YESNO Summer Dresses for Women Casual Loose Bohemian Floral Dress with Pockets Spaghetti Strap Maxi Dress E75</x:v>
      </x:c>
      <x:c r="D26" s="17" t="str">
        <x:v>Clothing, Shoes &amp; Jewelry | Women | Clothing | Dresses | Casual</x:v>
      </x:c>
      <x:c r="E26" s="17" t="str">
        <x:v>Casual</x:v>
      </x:c>
      <x:c r="F26" s="17" t="str">
        <x:v>Fabric: 100% Cotton, Soft, Comfy, Breathable and keep you cool; | Imported | Pull On closure | Hand Wash Only | These Bohemian Dresses for women are made of 100% Cotton. Soft, Comfortable and Airy for Hot Summer and Humid Days; Lightweight but not See through; They are printed brightly with flowers, funny and fantastic | The Casual Loose Dresses are flattering for any figure: Casual, Sexy but Elegant. The Empire Waist design can hide your belly. The Spaghetti Straps are adjustable up or down for perfect fitting. They are long enough to touch or cover your ankles. The go-to dress for your relaxed time | The Plus Size Dresses for women range from XS to 3XL. They are tiered for large skirt (105 inches around the bottom for Large Size), long enough to touch or cover your ankle; Perfect for any season- with knit sweaters (bolero jackets, blazers) over or fitted T-shirts or tank tops underneath | Occasion: Casual, Daily Wear, Work, Party, Cocktail, Beach, Vocation; Perfect Match with: Flats or Slippers for Casual Look. High-heeled Shoes for Sexy and Elegant Feeling. Boots if the dress only touch your calf. Lace Bands around waist for Fashionable Style | Hand Wash Cold; Soft Machine Washing; Line Dry; Do not Soak; Classification of Washing; Iron at Low Temperature if Necessary</x:v>
      </x:c>
      <x:c r="G26" s="17" t="str">
        <x:v>Is Discontinued By Manufacturer: No | Product Dimensions: 14 x 11 x 0.74 inches; 3.84 Ounces | Department: womens | Date First Available: October 13, 2016</x:v>
      </x:c>
      <x:c r="H26" s="17" t="str"/>
      <x:c r="I26" s="76" t="n">
        <x:v>39.99</x:v>
      </x:c>
      <x:c r="J26" s="75" t="n">
        <x:v>4.1</x:v>
      </x:c>
      <x:c r="K26" s="77" t="n">
        <x:v>18915</x:v>
      </x:c>
      <x:c r="L26" s="77" t="str">
        <x:v>YESNO</x:v>
      </x:c>
      <x:c r="M26" s="77" t="n">
        <x:f>LEN(C26)</x:f>
        <x:v>109</x:v>
      </x:c>
      <x:c r="N26" s="77" t="n">
        <x:f>LEN(F26)</x:f>
        <x:v>1290</x:v>
      </x:c>
      <x:c r="O26" s="77" t="n">
        <x:f>LEN(G26)</x:f>
        <x:v>154</x:v>
      </x:c>
      <x:c r="P26" s="77" t="n">
        <x:f>LEN(H26)</x:f>
        <x:v>0</x:v>
      </x:c>
      <x:c r="Q26" s="77" t="n">
        <x:f>IF(LEN(C26)&gt;0,1,0)+IF(LEN(D26)&gt;0,1,0)+IF(LEN(F26)&gt;0,1,0)+IF(LEN(G26)&gt;0,1,0)+IF(LEN(H26)&gt;0,1,0)+IF(ISNUMBER(I26),1,0)+IF(ISNUMBER(J26),1,0)+IF(ISNUMBER(K26),1,0)+IF(LEN(L26)&gt;0,1,0)</x:f>
        <x:v>8</x:v>
      </x:c>
      <x:c r="R26" s="78" t="n">
        <x:f>Q26/9</x:f>
        <x:v>0.8888888888888888</x:v>
      </x:c>
    </x:row>
    <x:row r="27" ht="72" customHeight="1">
      <x:c r="A27" t="str">
        <x:v>public_0023</x:v>
      </x:c>
      <x:c r="B27" t="str">
        <x:v>B08ZKFD4GM</x:v>
      </x:c>
      <x:c r="C27" s="17" t="str">
        <x:v>Hanes Women's Wireless Bra with Cooling, Seamless Smooth Comfort Wirefree T-Shirt Bra</x:v>
      </x:c>
      <x:c r="D27" s="17" t="str">
        <x:v>Clothing, Shoes &amp; Jewelry | Women | Clothing | Lingerie, Sleep &amp; Lounge | Lingerie | Bras | Everyday Bras</x:v>
      </x:c>
      <x:c r="E27" s="17" t="str">
        <x:v>Everyday Bras</x:v>
      </x:c>
      <x:c r="F27" s="17" t="str">
        <x:v>Hand Wash Only</x:v>
      </x:c>
      <x:c r="G27" s="17" t="str">
        <x:v>Item model number: G796 | Department: Womens | Date First Available: March 19, 2021 | Manufacturer: Hanes</x:v>
      </x:c>
      <x:c r="H27" s="17" t="str">
        <x:v>Women's comfort evolution bra女款舒適進化胸罩女式舒适进化文胸여성용 컴포트 에볼루션 브라. Women's comfort evolution bra.</x:v>
      </x:c>
      <x:c r="I27" s="76" t="n">
        <x:v>16.81</x:v>
      </x:c>
      <x:c r="J27" s="75" t="n">
        <x:v>4.3</x:v>
      </x:c>
      <x:c r="K27" s="77" t="n">
        <x:v>31195</x:v>
      </x:c>
      <x:c r="L27" s="77" t="str">
        <x:v>Hanes</x:v>
      </x:c>
      <x:c r="M27" s="77" t="n">
        <x:f>LEN(C27)</x:f>
        <x:v>85</x:v>
      </x:c>
      <x:c r="N27" s="77" t="n">
        <x:f>LEN(F27)</x:f>
        <x:v>14</x:v>
      </x:c>
      <x:c r="O27" s="77" t="n">
        <x:f>LEN(G27)</x:f>
        <x:v>105</x:v>
      </x:c>
      <x:c r="P27" s="77" t="n">
        <x:f>LEN(H27)</x:f>
        <x:v>92</x:v>
      </x:c>
      <x:c r="Q27" s="77" t="n">
        <x:f>IF(LEN(C27)&gt;0,1,0)+IF(LEN(D27)&gt;0,1,0)+IF(LEN(F27)&gt;0,1,0)+IF(LEN(G27)&gt;0,1,0)+IF(LEN(H27)&gt;0,1,0)+IF(ISNUMBER(I27),1,0)+IF(ISNUMBER(J27),1,0)+IF(ISNUMBER(K27),1,0)+IF(LEN(L27)&gt;0,1,0)</x:f>
        <x:v>9</x:v>
      </x:c>
      <x:c r="R27" s="78" t="n">
        <x:f>Q27/9</x:f>
        <x:v>1</x:v>
      </x:c>
    </x:row>
    <x:row r="28" ht="72" customHeight="1">
      <x:c r="A28" t="str">
        <x:v>public_0024</x:v>
      </x:c>
      <x:c r="B28" t="str">
        <x:v>B076X3JXMW</x:v>
      </x:c>
      <x:c r="C28" s="17" t="str">
        <x:v>Riviera Sun Womens Off Shoulder Embroidered Jumpsuit Romper</x:v>
      </x:c>
      <x:c r="D28" s="17" t="str">
        <x:v>Clothing, Shoes &amp; Jewelry | Women | Clothing | Jumpsuits, Rompers &amp; Overalls | Jumpsuits</x:v>
      </x:c>
      <x:c r="E28" s="17" t="str">
        <x:v>Jumpsuits</x:v>
      </x:c>
      <x:c r="F28" s="17" t="str">
        <x:v>100 rayon | Machine Wash | BOHOSTYLE: Your womens off shoulder jumpsuit has an exaggerated loose fit with beautiful embroidery. It is perfect if you want to keep up with the latest trends without sacrificing comfort. | STAYING COOL: The 100% rayon fabric let body heat escape from the dressy jumpsuits for women, so even when the sun is beating down hard they'll never make you feel the slightest bit uncomfortable. | SOOTHING FABRIC: They're the rompers women will love to wear during summer because of their comforting effect on your skin, but the 100% rayon fabric is also designed for keeping you cool in hot weather. | DAY OR NIGHT: These are definitely jumpsuits for women enough to be worn all throughout summer, whether you're stepping out for lunch during the day or dining in a fancy restaurant at night. | STUNNING DESIGNS: The jumpsuits women will adore due to their different complex patterns, plus they are available in various colors and come in sizes ranging from S-3x. They even have two pockets for your stuff. Click 'Add to Cart' now!</x:v>
      </x:c>
      <x:c r="G28" s="17" t="str">
        <x:v>Department: Womens | Date First Available: October 27, 2017</x:v>
      </x:c>
      <x:c r="H28" s="17" t="str">
        <x:v>IT'S NICE TO FEEL FREE ON THOSE HOT SUMMER DAYS | You'll find nothing more relaxing to wear! | You want to feel sexy when it's warm outside, but we all know what happens when you wear dresses that cling to your skin. The exact opposite is true when you slip into these cold shoulder jumpsuits, and you'll automatically feel a breath fresh air in more ways than one. The exaggerated loose fit will give your body the freedom in craves, while keeping you nice and dry at the same time. If you're free-spirited and adventurous it's the perfect dress for you. | Casual and classy all at the same time! | You'll think nothing of slipping into your jumpsuit when you climb out of the pool and want to walk around the shops. At the same time, it's dressy enough to wear when you want to go out for a drink or bite to eat at night. You won't find a lot of gorgeous clothing that affords you such freedom. You'll also have multiple colors to choose from, so you're guaranteed to find one you'll want in your wardrobe. | Are you in need of an embroidered jumpsuit that: | - Offers you the chance to express yourself with a boho vibe. | - Can be worn no matter what you might be doing at any time of the day. | - Will keep you cool while leaving everything to the imagination. | - Sends you into a lovely state of relaxation when you slip it on. | - Comes in beautiful colors and sizes to please everyone. | There are lots of ways you can feel free during summer, but this romper is a great place to start. Click 'Add to Cart' now!</x:v>
      </x:c>
      <x:c r="I28" s="76" t="n">
        <x:v>19.99</x:v>
      </x:c>
      <x:c r="J28" s="75" t="n">
        <x:v>3.7</x:v>
      </x:c>
      <x:c r="K28" s="77" t="n">
        <x:v>759</x:v>
      </x:c>
      <x:c r="L28" s="77" t="str">
        <x:v>Riviera Sun</x:v>
      </x:c>
      <x:c r="M28" s="77" t="n">
        <x:f>LEN(C28)</x:f>
        <x:v>59</x:v>
      </x:c>
      <x:c r="N28" s="77" t="n">
        <x:f>LEN(F28)</x:f>
        <x:v>1053</x:v>
      </x:c>
      <x:c r="O28" s="77" t="n">
        <x:f>LEN(G28)</x:f>
        <x:v>59</x:v>
      </x:c>
      <x:c r="P28" s="77" t="n">
        <x:f>LEN(H28)</x:f>
        <x:v>1520</x:v>
      </x:c>
      <x:c r="Q28" s="77" t="n">
        <x:f>IF(LEN(C28)&gt;0,1,0)+IF(LEN(D28)&gt;0,1,0)+IF(LEN(F28)&gt;0,1,0)+IF(LEN(G28)&gt;0,1,0)+IF(LEN(H28)&gt;0,1,0)+IF(ISNUMBER(I28),1,0)+IF(ISNUMBER(J28),1,0)+IF(ISNUMBER(K28),1,0)+IF(LEN(L28)&gt;0,1,0)</x:f>
        <x:v>9</x:v>
      </x:c>
      <x:c r="R28" s="78" t="n">
        <x:f>Q28/9</x:f>
        <x:v>1</x:v>
      </x:c>
    </x:row>
    <x:row r="29" ht="72" customHeight="1">
      <x:c r="A29" t="str">
        <x:v>public_0025</x:v>
      </x:c>
      <x:c r="B29" t="str">
        <x:v>B0BRS1DHVQ</x:v>
      </x:c>
      <x:c r="C29" s="17" t="str">
        <x:v>PRETTYGARDEN Women's Loose Solid Off Shoulder Elastic Waist Stretchy Long Romper Jumpsuit</x:v>
      </x:c>
      <x:c r="D29" s="17" t="str">
        <x:v>Clothing, Shoes &amp; Jewelry | Women | Clothing | Jumpsuits, Rompers &amp; Overalls | Rompers</x:v>
      </x:c>
      <x:c r="E29" s="17" t="str">
        <x:v>Rompers</x:v>
      </x:c>
      <x:c r="F29" s="17" t="str">
        <x:v>65%Polyester30%Viscose5%Spandex | Imported | Hook and Eye closure | Machine Wash | Size Guide: S=US 4-6, M=US 8-10，L=US 12-14，XL=US 16-18 High Quality Stretchy And Soft Fabric Made The Dressy Jumpsuit Works With Most Body Types, And Provides You The Ultimate Comfy Wearing Experience. | HIGHLIGHT : Summer Jumpsuits For Women Casual Has A Elegant Off Shoulder Design Which Can Perfectly Modify The Neck Curve. Classic Beam Foot Style Never Go Out Of Trendy And Keep You Cozy. The Loose Jumpsuit Have Solid Color, Stripe Pattern, Leopard Print, And Tie Dye, A Variety Of Choices, There Is Always One Is Your Favorite. | FEATURES: Elastic Waist, Beam Foot, Round Neck, Off the Shoulder, Short Sleeve, Solid color, Elastic Waist, Keyhole Back, Long Pants Jumpsuit, Casual Style, Lightweight and Breathable | FASHION JUMPSUITS FOR WOMEN: Great With Jacket, Sneakers, Sandals, Heels And Hat For Stylish Looks. A Perfect Jumpsuit For Beach, Party, Vacation, Office, Street Wear, Cocktail, Daily Life And Other Occasions In Summer. | CASUAL PANTS ROMPER: Women Off Shoulder Jumpsuit Can Be Worn Both At Home And Outdoor Thanks To The Long Pants Romper Comes Comfy And Style Together. Ladies One Piece Outfits Is The Must Have Item In Women’s Wardrobes To Meet You Daily Needs.</x:v>
      </x:c>
      <x:c r="G29" s="17" t="str">
        <x:v>Package Dimensions: 8 x 5 x 2 inches; 4.8 Ounces | Item model number: PR60089 | Department: Womens | Date First Available: November 17, 2020 | Manufacturer: PRETTYGARDEN</x:v>
      </x:c>
      <x:c r="H29" s="17" t="str"/>
      <x:c r="I29" s="76" t="n">
        <x:v>37.99</x:v>
      </x:c>
      <x:c r="J29" s="75" t="n">
        <x:v>4.3</x:v>
      </x:c>
      <x:c r="K29" s="77" t="n">
        <x:v>51633</x:v>
      </x:c>
      <x:c r="L29" s="77" t="str">
        <x:v>PRETTYGARDEN</x:v>
      </x:c>
      <x:c r="M29" s="77" t="n">
        <x:f>LEN(C29)</x:f>
        <x:v>89</x:v>
      </x:c>
      <x:c r="N29" s="77" t="n">
        <x:f>LEN(F29)</x:f>
        <x:v>1269</x:v>
      </x:c>
      <x:c r="O29" s="77" t="n">
        <x:f>LEN(G29)</x:f>
        <x:v>169</x:v>
      </x:c>
      <x:c r="P29" s="77" t="n">
        <x:f>LEN(H29)</x:f>
        <x:v>0</x:v>
      </x:c>
      <x:c r="Q29" s="77" t="n">
        <x:f>IF(LEN(C29)&gt;0,1,0)+IF(LEN(D29)&gt;0,1,0)+IF(LEN(F29)&gt;0,1,0)+IF(LEN(G29)&gt;0,1,0)+IF(LEN(H29)&gt;0,1,0)+IF(ISNUMBER(I29),1,0)+IF(ISNUMBER(J29),1,0)+IF(ISNUMBER(K29),1,0)+IF(LEN(L29)&gt;0,1,0)</x:f>
        <x:v>8</x:v>
      </x:c>
      <x:c r="R29" s="78" t="n">
        <x:f>Q29/9</x:f>
        <x:v>0.8888888888888888</x:v>
      </x:c>
    </x:row>
    <x:row r="30" ht="72" customHeight="1">
      <x:c r="A30" t="str">
        <x:v>public_0026</x:v>
      </x:c>
      <x:c r="B30" t="str">
        <x:v>B093R14VP1</x:v>
      </x:c>
      <x:c r="C30" s="17" t="str">
        <x:v>ASICS Men's Gel-Venture 6 MX Running Shoes</x:v>
      </x:c>
      <x:c r="D30" s="17" t="str">
        <x:v>Clothing, Shoes &amp; Jewelry | Men | Shoes | Athletic | Running | Trail Running</x:v>
      </x:c>
      <x:c r="E30" s="17" t="str">
        <x:v>Trail Running</x:v>
      </x:c>
      <x:c r="F30" s="17" t="str">
        <x:v>100% Synthetic | Imported | Rubber sole | Shaft measures approximately low-top from arch | Rearfoot GEL Cushioning System: Attenuates shock during impact phase and allows for a smooth transition to midstance. | Removable Sockliner: A sockliner which can be removed to accommodate a medical orthotic. | Removable Sockliner: A sockliner which can be removed to accommodate a medical orthotic. | Trail Specific Outsole: Reversed lugs provide uphill and downhill traction on all types of terrain. | AHAR Outsole: Acronym for ASICS High Abrasion Rubber. Placed in critical areas of the outsole for exceptional durability.</x:v>
      </x:c>
      <x:c r="G30" s="17" t="str">
        <x:v>Package Dimensions: 12.44 x 6.3 x 4.75 inches; 1.44 Pounds | Item model number: 1011A591 | Department: mens | Date First Available: November 17, 2009 | Manufacturer: ASICS</x:v>
      </x:c>
      <x:c r="H30" s="17" t="str">
        <x:v>With a redesigned midsole and upper, our new GEL-Venture® 6 delivers excellent shock absorbing comfort, so you can take on the trail. Your tread will benefit from the rugged, one-piece outsole, featuring multi-directional lugs for confidence-inspiring traction. From above, durable synthetic material and a stitched-down toe bumper ensure great fit, protection and comfort.</x:v>
      </x:c>
      <x:c r="I30" s="76" t="n">
        <x:v>63.95</x:v>
      </x:c>
      <x:c r="J30" s="75" t="n">
        <x:v>4.6</x:v>
      </x:c>
      <x:c r="K30" s="77" t="n">
        <x:v>29486</x:v>
      </x:c>
      <x:c r="L30" s="77" t="str">
        <x:v>ASICS</x:v>
      </x:c>
      <x:c r="M30" s="77" t="n">
        <x:f>LEN(C30)</x:f>
        <x:v>42</x:v>
      </x:c>
      <x:c r="N30" s="77" t="n">
        <x:f>LEN(F30)</x:f>
        <x:v>616</x:v>
      </x:c>
      <x:c r="O30" s="77" t="n">
        <x:f>LEN(G30)</x:f>
        <x:v>171</x:v>
      </x:c>
      <x:c r="P30" s="77" t="n">
        <x:f>LEN(H30)</x:f>
        <x:v>373</x:v>
      </x:c>
      <x:c r="Q30" s="77" t="n">
        <x:f>IF(LEN(C30)&gt;0,1,0)+IF(LEN(D30)&gt;0,1,0)+IF(LEN(F30)&gt;0,1,0)+IF(LEN(G30)&gt;0,1,0)+IF(LEN(H30)&gt;0,1,0)+IF(ISNUMBER(I30),1,0)+IF(ISNUMBER(J30),1,0)+IF(ISNUMBER(K30),1,0)+IF(LEN(L30)&gt;0,1,0)</x:f>
        <x:v>9</x:v>
      </x:c>
      <x:c r="R30" s="78" t="n">
        <x:f>Q30/9</x:f>
        <x:v>1</x:v>
      </x:c>
    </x:row>
    <x:row r="31" ht="72" customHeight="1">
      <x:c r="A31" t="str">
        <x:v>public_0027</x:v>
      </x:c>
      <x:c r="B31" t="str">
        <x:v>B0858VDFDW</x:v>
      </x:c>
      <x:c r="C31" s="17" t="str">
        <x:v>Riders by Lee Indigo Women's Ultra Soft Denim Capri</x:v>
      </x:c>
      <x:c r="D31" s="17" t="str">
        <x:v>Clothing, Shoes &amp; Jewelry | Women | Clothing | Jeans</x:v>
      </x:c>
      <x:c r="E31" s="17" t="str">
        <x:v>Jeans</x:v>
      </x:c>
      <x:c r="F31" s="17" t="str">
        <x:v>73% Cotton, 25% Polyester, 2% Spandex | Imported | Zipper fly with button closure | Machine Wash | Regular Fit with a Midrise | Cropped capri silhouette | Featuring Super Soft Stretch Denim | Five Pocket Styling; Back pockets feature embroidery</x:v>
      </x:c>
      <x:c r="G31" s="17" t="str">
        <x:v>Department: womens | Date First Available: February 28, 2020 | Manufacturer: Riders by Lee Indigo Womens Sportswear</x:v>
      </x:c>
      <x:c r="H31" s="17" t="str">
        <x:v>This Riders by Lee Indigo ultra soft denim capri will quickly become your go to casual bottom. Made from premium super soft denim, this capri sits just above your natural waist and has a traditional rise. The 19 inch inseam hits mid calf on most. Why sacrifice comfort for style when you can have them both</x:v>
      </x:c>
      <x:c r="I31" s="76" t="n">
        <x:v>24.99</x:v>
      </x:c>
      <x:c r="J31" s="75" t="n">
        <x:v>4.3</x:v>
      </x:c>
      <x:c r="K31" s="77" t="n">
        <x:v>11491</x:v>
      </x:c>
      <x:c r="L31" s="77" t="str">
        <x:v>Riders by Lee Indigo</x:v>
      </x:c>
      <x:c r="M31" s="77" t="n">
        <x:f>LEN(C31)</x:f>
        <x:v>51</x:v>
      </x:c>
      <x:c r="N31" s="77" t="n">
        <x:f>LEN(F31)</x:f>
        <x:v>244</x:v>
      </x:c>
      <x:c r="O31" s="77" t="n">
        <x:f>LEN(G31)</x:f>
        <x:v>115</x:v>
      </x:c>
      <x:c r="P31" s="77" t="n">
        <x:f>LEN(H31)</x:f>
        <x:v>306</x:v>
      </x:c>
      <x:c r="Q31" s="77" t="n">
        <x:f>IF(LEN(C31)&gt;0,1,0)+IF(LEN(D31)&gt;0,1,0)+IF(LEN(F31)&gt;0,1,0)+IF(LEN(G31)&gt;0,1,0)+IF(LEN(H31)&gt;0,1,0)+IF(ISNUMBER(I31),1,0)+IF(ISNUMBER(J31),1,0)+IF(ISNUMBER(K31),1,0)+IF(LEN(L31)&gt;0,1,0)</x:f>
        <x:v>9</x:v>
      </x:c>
      <x:c r="R31" s="78" t="n">
        <x:f>Q31/9</x:f>
        <x:v>1</x:v>
      </x:c>
    </x:row>
    <x:row r="32" ht="72" customHeight="1">
      <x:c r="A32" t="str">
        <x:v>public_0028</x:v>
      </x:c>
      <x:c r="B32" t="str">
        <x:v>B0B9ZYDDZ1</x:v>
      </x:c>
      <x:c r="C32" s="17" t="str">
        <x:v>Buffway Slim Minimalist Front Pocket RFID Blocking Leather Wallets for Men Women</x:v>
      </x:c>
      <x:c r="D32" s="17" t="str">
        <x:v>Clothing, Shoes &amp; Jewelry | Men | Accessories | Wallets, Card Cases &amp; Money Organizers | Wallets</x:v>
      </x:c>
      <x:c r="E32" s="17" t="str">
        <x:v>Wallets</x:v>
      </x:c>
      <x:c r="F32" s="17" t="str">
        <x:v>Leather | Polyester lining | Magnetic closure | Dry Cloth Clean | STYLISHLY SMALL, SLIM and DISCREET: Measuring just 3 1/8" x 4 7/16" x 1/9", our RFID front pocket slim wallet is super thin and modernly slim. It's the minimalist wallet that fits perfectly in your pocket, purse or travel pack. | PLENTY OF ROOM: 8 slots easily load your driver's license,credit cards,debit cards and membership cards, making your work and travel more convenient. | EFFECTIVELY BLOCKS RFID SIGNALS: Outfitted with advanced RDIF blocking technology, these slim wallets for men and women block electronic signals to keep your identity protected while you travel, shop or explore. | MADE FROM LEATHER: Crafted out of leather, our minimalist wallet sleeve combines luxurious style and the trends of today with functionality and durability you can depend on when traveling, shopping, etc. | UNISEX; FAVORED BY MEN and WOMEN: Given their sleek design and smooth leather construction, these RFID sleeves are popular slim wallets for women and men. They make great gift ideas for the travelers in your life!</x:v>
      </x:c>
      <x:c r="G32" s="17" t="str">
        <x:v>Brand: Buffway | Color: Lichee Black | Material: Leather | Style: Minimalist | Pattern: Solid | Department: Mens | Date First Available: August 31, 2020 | Manufacturer: Buffway</x:v>
      </x:c>
      <x:c r="H32" s="17" t="str"/>
      <x:c r="I32" s="76" t="n">
        <x:v>15.99</x:v>
      </x:c>
      <x:c r="J32" s="75" t="n">
        <x:v>4.6</x:v>
      </x:c>
      <x:c r="K32" s="77" t="n">
        <x:v>94020</x:v>
      </x:c>
      <x:c r="L32" s="77" t="str">
        <x:v>Buffway</x:v>
      </x:c>
      <x:c r="M32" s="77" t="n">
        <x:f>LEN(C32)</x:f>
        <x:v>80</x:v>
      </x:c>
      <x:c r="N32" s="77" t="n">
        <x:f>LEN(F32)</x:f>
        <x:v>1081</x:v>
      </x:c>
      <x:c r="O32" s="77" t="n">
        <x:f>LEN(G32)</x:f>
        <x:v>176</x:v>
      </x:c>
      <x:c r="P32" s="77" t="n">
        <x:f>LEN(H32)</x:f>
        <x:v>0</x:v>
      </x:c>
      <x:c r="Q32" s="77" t="n">
        <x:f>IF(LEN(C32)&gt;0,1,0)+IF(LEN(D32)&gt;0,1,0)+IF(LEN(F32)&gt;0,1,0)+IF(LEN(G32)&gt;0,1,0)+IF(LEN(H32)&gt;0,1,0)+IF(ISNUMBER(I32),1,0)+IF(ISNUMBER(J32),1,0)+IF(ISNUMBER(K32),1,0)+IF(LEN(L32)&gt;0,1,0)</x:f>
        <x:v>8</x:v>
      </x:c>
      <x:c r="R32" s="78" t="n">
        <x:f>Q32/9</x:f>
        <x:v>0.8888888888888888</x:v>
      </x:c>
    </x:row>
    <x:row r="33" ht="72" customHeight="1">
      <x:c r="A33" t="str">
        <x:v>public_0029</x:v>
      </x:c>
      <x:c r="B33" t="str">
        <x:v>B01IAKCZEK</x:v>
      </x:c>
      <x:c r="C33" s="17" t="str">
        <x:v>Sanuk Yoga Sling 2 Light Natural 5 B (M)</x:v>
      </x:c>
      <x:c r="D33" s="17" t="str">
        <x:v>Clothing, Shoes &amp; Jewelry | Women | Shoes | Sandals | Flats</x:v>
      </x:c>
      <x:c r="E33" s="17" t="str">
        <x:v>Flats</x:v>
      </x:c>
      <x:c r="F33" s="17" t="str">
        <x:v>Back for a second time, it's the ever comfy, ever stylish Yoga Sling 2 sandal from Sanuk®. A sandal that's a flexible as you—win! | New lightweight, two-way stretch knit upper with sling comfort construction. | Sealed edge footbed made from real yoga mats. | Happy U rubber sponge outsole. | Vegan and vegetarian. Imported. Measurements: Weight: 6 oz Product measurements were taken using size 9, width B - Medium. Please note that measurements may vary by size. Weight of footwear is based on a single item, not a pair.</x:v>
      </x:c>
      <x:c r="G33" s="17" t="str">
        <x:v>Brand: Sanuk | Series: Yoga Sling 2 | Item model number: 1106893 | Item Weight: 5.4 ounces | Product Dimensions: 5 x 5 x 0.7 inches | Item Dimensions  LxWxH: 5 x 5 x 0.7 inches | Color: Light Natural | Department: womens | Manufacturer: Sanuk | Country of Origin: Vietnam | Is Discontinued By Manufacturer: No | Date First Available: February 6, 2017 | Best Sellers Rank: [object Object]</x:v>
      </x:c>
      <x:c r="H33" s="17" t="str">
        <x:v>For effortless, feminine style and plenty of cushiony comfort, slip on a pair of Sanuk Women’s Yoga Sling 2 sandals. These casual, sling sandals have soft, stretchy, fabric straps to ensure a secure fit and stretch with movement. To put on, gently pull the heel strap away from your toes as you slide your foot onto the footbed like a flip flop. The strap fits comfortably between your toes and around your heel. Made from real yoga mat material, the squishy, soft footbeds provide cushioning and comfort for your feet. Durable, flexible outsoles made of partially recycled EVA and straw are one of Sanuk’s sustainability initiates of using recycled materials in their footwear. Because they are flexible, lightweight, and stylishly versatile, Yoga Sling 2 sandals are easily packable and a great choice for taking along on vacation. These Sanuk sandals are machine washable, but do not put them in dryer or expose them to prolonged periods in direct sunlight. A little air drying after getting washed or wet is all the Yoga Sling 2 needs to look their best.</x:v>
      </x:c>
      <x:c r="I33" s="76" t="n">
        <x:v>34.95</x:v>
      </x:c>
      <x:c r="J33" s="75" t="n">
        <x:v>3.9</x:v>
      </x:c>
      <x:c r="K33" s="77" t="n">
        <x:v>11</x:v>
      </x:c>
      <x:c r="L33" s="77" t="str">
        <x:v>Sanuk</x:v>
      </x:c>
      <x:c r="M33" s="77" t="n">
        <x:f>LEN(C33)</x:f>
        <x:v>40</x:v>
      </x:c>
      <x:c r="N33" s="77" t="n">
        <x:f>LEN(F33)</x:f>
        <x:v>520</x:v>
      </x:c>
      <x:c r="O33" s="77" t="n">
        <x:f>LEN(G33)</x:f>
        <x:v>387</x:v>
      </x:c>
      <x:c r="P33" s="77" t="n">
        <x:f>LEN(H33)</x:f>
        <x:v>1058</x:v>
      </x:c>
      <x:c r="Q33" s="77" t="n">
        <x:f>IF(LEN(C33)&gt;0,1,0)+IF(LEN(D33)&gt;0,1,0)+IF(LEN(F33)&gt;0,1,0)+IF(LEN(G33)&gt;0,1,0)+IF(LEN(H33)&gt;0,1,0)+IF(ISNUMBER(I33),1,0)+IF(ISNUMBER(J33),1,0)+IF(ISNUMBER(K33),1,0)+IF(LEN(L33)&gt;0,1,0)</x:f>
        <x:v>9</x:v>
      </x:c>
      <x:c r="R33" s="78" t="n">
        <x:f>Q33/9</x:f>
        <x:v>1</x:v>
      </x:c>
    </x:row>
    <x:row r="34" ht="72" customHeight="1">
      <x:c r="A34" t="str">
        <x:v>public_0030</x:v>
      </x:c>
      <x:c r="B34" t="str">
        <x:v>B09V5RTXG9</x:v>
      </x:c>
      <x:c r="C34" s="17" t="str">
        <x:v>'#followme Microfleece Men’s Buffalo Plaid Pajama Pants with Pockets</x:v>
      </x:c>
      <x:c r="D34" s="17" t="str">
        <x:v>Clothing, Shoes &amp; Jewelry | Men | Clothing | Sleep &amp; Lounge | Sleep Bottoms</x:v>
      </x:c>
      <x:c r="E34" s="17" t="str">
        <x:v>Sleep Bottoms</x:v>
      </x:c>
      <x:c r="F34" s="17" t="str">
        <x:v>Polyester,Polar Fleece | Button closure | Hand Wash Only | DESIGNED FOR COMFORT: These comfy pajama pants are perfect for hitting the sheets or kicking back at home on a lazy weekend. Made from ultra-soft 100% polyester micro fleece, the pajama bottoms feel great against the skin and keep you nice &amp; warm on those chilly nights. | LOUNGE IN STYLE: Treat your downtime to a classic look with these plaid pajama pants for men. We’ve coupled the timeless pattern with a choice of eye-catching color to complement any taste. The plaid sleep pants also come with two pockets and a button fly for a touch of functionality. | GREAT FIT: Our plaid lounge pants come in S-XXXL to fit most sizes and are fitted with a twill drawstring to give you a custom fit. The loose-fitting design of these warm sleeping pants for men makes for unrestricted movement all night or day. | HIGH-QUALITY DESIGN: These pajamas for men are carefully made to ensure maximum durability. Everything from the stitching to the hem lining is masterfully done, and the PJ pants handle well in the wash without losing shape. | UNMATCHED VALUE FOR MONEY: #followme prides itself on giving you the latest styling at the best value around. You’ll love the great attention to detail that has gone into making the men’s plaid pajama pants, and all at a price that can’t be beaten.</x:v>
      </x:c>
      <x:c r="G34" s="17" t="str">
        <x:v>Department: Mens | Date First Available: March 9, 2022</x:v>
      </x:c>
      <x:c r="H34" s="17" t="str">
        <x:v>THE PAIR OF PLAID PJ PANTS YOU’VE ALWAYS WANTED | Take it Easy | You've been working so hard, and now you deserve a break from it all! Slip into these cozy PJ pants made from micro fleece fabric that will keep you warm during those cold nights. You will love how soft these pants are, which combines with the loose-fitting design to create the most comfortable pajama pants around. Whether you’re snoozing away, watching the game, getting chores done around the house, or a cracking open a cold one with the boys out in the yard, these PJ bottoms treat you to a taste of unmatched comfort. | Kick Back in Plaid | Comfort is not just everything. We all know that looks matters, too, and these pants should be right up your alley. Featuring multiple colors with plaid design, you can be sure that these PJ pants fare well in the aesthetics department. And we’ve designed the pajama bottoms with 2 deep pockets and a button fly to add some functionality to the mix. Put aside those old sweats and slip into lounging pants you won’t want to take off! | Here’s why you’ll love these PJ pants: | - Warm and comfortable pants for lounging or bedtime. | - Made from microfleece fabric that's cozy and soft. | - Available in varied sizes from small to triple XL. | - Plaid design and multiple colors with a masculine appeal. | - Twill drawstring allows you to achieve a snug and secure fit. | Whether you’re catching some Z’s or lounging away, count on #followme plaid PJ pants for a great blend | of comfort and style. Click 'Add to Cart' now!</x:v>
      </x:c>
      <x:c r="I34" s="76" t="n">
        <x:v>11.99</x:v>
      </x:c>
      <x:c r="J34" s="75" t="n">
        <x:v>4.7</x:v>
      </x:c>
      <x:c r="K34" s="77" t="n">
        <x:v>48719</x:v>
      </x:c>
      <x:c r="L34" s="77" t="str">
        <x:v>'#followme</x:v>
      </x:c>
      <x:c r="M34" s="77" t="n">
        <x:f>LEN(C34)</x:f>
        <x:v>68</x:v>
      </x:c>
      <x:c r="N34" s="77" t="n">
        <x:f>LEN(F34)</x:f>
        <x:v>1340</x:v>
      </x:c>
      <x:c r="O34" s="77" t="n">
        <x:f>LEN(G34)</x:f>
        <x:v>54</x:v>
      </x:c>
      <x:c r="P34" s="77" t="n">
        <x:f>LEN(H34)</x:f>
        <x:v>1535</x:v>
      </x:c>
      <x:c r="Q34" s="77" t="n">
        <x:f>IF(LEN(C34)&gt;0,1,0)+IF(LEN(D34)&gt;0,1,0)+IF(LEN(F34)&gt;0,1,0)+IF(LEN(G34)&gt;0,1,0)+IF(LEN(H34)&gt;0,1,0)+IF(ISNUMBER(I34),1,0)+IF(ISNUMBER(J34),1,0)+IF(ISNUMBER(K34),1,0)+IF(LEN(L34)&gt;0,1,0)</x:f>
        <x:v>9</x:v>
      </x:c>
      <x:c r="R34" s="78" t="n">
        <x:f>Q34/9</x:f>
        <x:v>1</x:v>
      </x:c>
    </x:row>
    <x:row r="35" ht="72" customHeight="1">
      <x:c r="A35" t="str">
        <x:v>public_0031</x:v>
      </x:c>
      <x:c r="B35" t="str">
        <x:v>B0BQDTGHMZ</x:v>
      </x:c>
      <x:c r="C35" s="17" t="str">
        <x:v>Signature by Levi Strauss &amp; Co. Gold Label Women's Modern Skinny Jeans (Standard and Plus)</x:v>
      </x:c>
      <x:c r="D35" s="17" t="str">
        <x:v>Clothing, Shoes &amp; Jewelry | Women | Clothing | Jeans</x:v>
      </x:c>
      <x:c r="E35" s="17" t="str">
        <x:v>Jeans</x:v>
      </x:c>
      <x:c r="F35" s="17" t="str">
        <x:v>78% Cotton, 20% Polyester, 2% Elastane | Imported | Zipper closure | Machine Wash | Super stretch lasts from day to night; Snug fit doesn't lose shape | Vintage, worn-in look | Mid-rise comfort waistband | Skinny through hip and thig; Skinny leg opening</x:v>
      </x:c>
      <x:c r="G35" s="17" t="str">
        <x:v>Department: Womens | Date First Available: May 28, 2021 | Manufacturer: Signature by Levi Strauss &amp; Co. Women's Apparel</x:v>
      </x:c>
      <x:c r="H35" s="17" t="str">
        <x:v>Signature by Levi's strauss and co. Gold label modern skinny women's jeans offer quality craftsmanship and authentic style backed by over 160 years of denim heritage and expertise. Crafted from premium, super stretchy simply stretch denim that won't bag out and keeps its shape all day, our modern skinny jeans hug your curves for a perfect fit and are cut slim through the leg with a skinny leg opening for a long, lean look. Look and feel simply amazing in stylish and versatile simply stretch modern skinny jeans. Quality you trust from Levi's strauss and co., established 1853.</x:v>
      </x:c>
      <x:c r="I35" s="76" t="n">
        <x:v>25.16</x:v>
      </x:c>
      <x:c r="J35" s="75" t="n">
        <x:v>4.4</x:v>
      </x:c>
      <x:c r="K35" s="77" t="n">
        <x:v>49008</x:v>
      </x:c>
      <x:c r="L35" s="77" t="str">
        <x:v>Signature by Levi Strauss &amp; Co. Gold Label</x:v>
      </x:c>
      <x:c r="M35" s="77" t="n">
        <x:f>LEN(C35)</x:f>
        <x:v>90</x:v>
      </x:c>
      <x:c r="N35" s="77" t="n">
        <x:f>LEN(F35)</x:f>
        <x:v>253</x:v>
      </x:c>
      <x:c r="O35" s="77" t="n">
        <x:f>LEN(G35)</x:f>
        <x:v>119</x:v>
      </x:c>
      <x:c r="P35" s="77" t="n">
        <x:f>LEN(H35)</x:f>
        <x:v>581</x:v>
      </x:c>
      <x:c r="Q35" s="77" t="n">
        <x:f>IF(LEN(C35)&gt;0,1,0)+IF(LEN(D35)&gt;0,1,0)+IF(LEN(F35)&gt;0,1,0)+IF(LEN(G35)&gt;0,1,0)+IF(LEN(H35)&gt;0,1,0)+IF(ISNUMBER(I35),1,0)+IF(ISNUMBER(J35),1,0)+IF(ISNUMBER(K35),1,0)+IF(LEN(L35)&gt;0,1,0)</x:f>
        <x:v>9</x:v>
      </x:c>
      <x:c r="R35" s="78" t="n">
        <x:f>Q35/9</x:f>
        <x:v>1</x:v>
      </x:c>
    </x:row>
    <x:row r="36" ht="72" customHeight="1">
      <x:c r="A36" t="str">
        <x:v>public_0032</x:v>
      </x:c>
      <x:c r="B36" t="str">
        <x:v>B0834HZQZF</x:v>
      </x:c>
      <x:c r="C36" s="17" t="str">
        <x:v>IZZY + TOBY 100% Cotton Nightgowns for Women Soft Ladies Gowns Sleepwear Long Sleeveless Nightgown</x:v>
      </x:c>
      <x:c r="D36" s="17" t="str">
        <x:v>Clothing, Shoes &amp; Jewelry | Women | Clothing | Lingerie, Sleep &amp; Lounge | Sleep &amp; Lounge | Nightgowns &amp; Sleepshirts</x:v>
      </x:c>
      <x:c r="E36" s="17" t="str">
        <x:v>Nightgowns &amp; Sleepshirts</x:v>
      </x:c>
      <x:c r="F36" s="17" t="str">
        <x:v>100% Cotton | Pull On closure | Hand Wash Only | ✔Women 100% Cotton Nightgowns: Womens Cotton nightgowns are made of 100% premium cotton, super soft, comfortable and breathable. Long cotton nightgown feels great on skin, providing you with amazing comfort, the softest nightgowns that you ever have. | ✔Details: Cotton nightgowns for women feature scoop neck with tiny lace trim, luxury shinning shell buttons, mid-calf length, bright color (or cute printing) and fashionable ruffle hem. Loose fit and sleeveless design with enough room under arm, easy on and off. A necessary cotton nightgown on your wardrobe. | ✔Ideal Gift: Ladies cotton gowns sleepwear are great choice as presents for your wife, mom, daughter or friends at birthday, Mother's Day, Valentine's Day and Christmas. Super soft to wear as loungewear and sleepwear. | ✔Size &amp; Care Tips: Long nightgowns are true to size, choosing your normal nighties size. S = US Size 2-4, M = US Size 6-8, L = US Size 10-12, XL = US Size 14-16, XXL = US Size 18. Machine wash with cold water, tumble dry(low), no faded, no shrink or pill, keep soft after washing. | ✔Satisfied Customer Serviced - Feel free to contact us for any question about cotton night gown, return or refund is available, and we will try our best to meet your demand. Thank you for shopping on our store, have a nice day.</x:v>
      </x:c>
      <x:c r="G36" s="17" t="str">
        <x:v>Department: Womens | Date First Available: December 26, 2019</x:v>
      </x:c>
      <x:c r="H36" s="17" t="str"/>
      <x:c r="I36" s="76" t="n">
        <x:v>30.99</x:v>
      </x:c>
      <x:c r="J36" s="75" t="n">
        <x:v>4.6</x:v>
      </x:c>
      <x:c r="K36" s="77" t="n">
        <x:v>3997</x:v>
      </x:c>
      <x:c r="L36" s="77" t="str">
        <x:v>IZZY + TOBY</x:v>
      </x:c>
      <x:c r="M36" s="77" t="n">
        <x:f>LEN(C36)</x:f>
        <x:v>98</x:v>
      </x:c>
      <x:c r="N36" s="77" t="n">
        <x:f>LEN(F36)</x:f>
        <x:v>1344</x:v>
      </x:c>
      <x:c r="O36" s="77" t="n">
        <x:f>LEN(G36)</x:f>
        <x:v>60</x:v>
      </x:c>
      <x:c r="P36" s="77" t="n">
        <x:f>LEN(H36)</x:f>
        <x:v>0</x:v>
      </x:c>
      <x:c r="Q36" s="77" t="n">
        <x:f>IF(LEN(C36)&gt;0,1,0)+IF(LEN(D36)&gt;0,1,0)+IF(LEN(F36)&gt;0,1,0)+IF(LEN(G36)&gt;0,1,0)+IF(LEN(H36)&gt;0,1,0)+IF(ISNUMBER(I36),1,0)+IF(ISNUMBER(J36),1,0)+IF(ISNUMBER(K36),1,0)+IF(LEN(L36)&gt;0,1,0)</x:f>
        <x:v>8</x:v>
      </x:c>
      <x:c r="R36" s="78" t="n">
        <x:f>Q36/9</x:f>
        <x:v>0.8888888888888888</x:v>
      </x:c>
    </x:row>
    <x:row r="37" ht="72" customHeight="1">
      <x:c r="A37" t="str">
        <x:v>public_0033</x:v>
      </x:c>
      <x:c r="B37" t="str">
        <x:v>B08134XNNB</x:v>
      </x:c>
      <x:c r="C37" s="17" t="str">
        <x:v>Women's Walking Shoes Sock Sneakers - Mesh Slip On Air Cushion Lady Girls Modern Jazz Dance Easy Shoes Platform Loafers</x:v>
      </x:c>
      <x:c r="D37" s="17" t="str">
        <x:v>Clothing, Shoes &amp; Jewelry | Women | Shoes | Athletic | Walking</x:v>
      </x:c>
      <x:c r="E37" s="17" t="str">
        <x:v>Walking</x:v>
      </x:c>
      <x:c r="F37" s="17" t="str">
        <x:v>Mesh Fabric | Imported | MD + Air Cushion sole | This shoe's sizing is equivalent to street shoe size.Please choose a larger size than usual for easy-lace style and winter style. | Boxed toe for toe stands,super lightweight and flexible just like socks,breathable and smooth fabric provide great freedom and comfortable feeling. Let you enjoy your travel on holidays. | MD out-sole with air cushion.High-quality rubber materail is non-slip and wear-resistant.Platform measures approximately 1.96'' | Perforated arch for ventilation and breathability.Classic air cushion design makes these shoes are perfect work shoes for those who needs to stand or walk for long time. | These shoes are suitable for any daily used,such as:long time standing work,walking,casual,floor shoes,plantar fasciitis,nursing,fishing,gardening,dress,shopping,travel,driving,jazz,tap dance,street jazz,ballet,folk dance,zumba,athletic,workout.</x:v>
      </x:c>
      <x:c r="G37" s="17" t="str">
        <x:v>Package Dimensions: 13.35 x 8.98 x 5.12 inches; 14.11 Ounces | Department: Womens | Date First Available: December 17, 2018 | Manufacturer: RAY</x:v>
      </x:c>
      <x:c r="H37" s="17" t="str"/>
      <x:c r="I37" s="76" t="n">
        <x:v>34.99</x:v>
      </x:c>
      <x:c r="J37" s="75" t="n">
        <x:v>4</x:v>
      </x:c>
      <x:c r="K37" s="77" t="n">
        <x:v>99389</x:v>
      </x:c>
      <x:c r="L37" s="77" t="str">
        <x:v>Slow Man</x:v>
      </x:c>
      <x:c r="M37" s="77" t="n">
        <x:f>LEN(C37)</x:f>
        <x:v>119</x:v>
      </x:c>
      <x:c r="N37" s="77" t="n">
        <x:f>LEN(F37)</x:f>
        <x:v>917</x:v>
      </x:c>
      <x:c r="O37" s="77" t="n">
        <x:f>LEN(G37)</x:f>
        <x:v>143</x:v>
      </x:c>
      <x:c r="P37" s="77" t="n">
        <x:f>LEN(H37)</x:f>
        <x:v>0</x:v>
      </x:c>
      <x:c r="Q37" s="77" t="n">
        <x:f>IF(LEN(C37)&gt;0,1,0)+IF(LEN(D37)&gt;0,1,0)+IF(LEN(F37)&gt;0,1,0)+IF(LEN(G37)&gt;0,1,0)+IF(LEN(H37)&gt;0,1,0)+IF(ISNUMBER(I37),1,0)+IF(ISNUMBER(J37),1,0)+IF(ISNUMBER(K37),1,0)+IF(LEN(L37)&gt;0,1,0)</x:f>
        <x:v>8</x:v>
      </x:c>
      <x:c r="R37" s="78" t="n">
        <x:f>Q37/9</x:f>
        <x:v>0.8888888888888888</x:v>
      </x:c>
    </x:row>
    <x:row r="38" ht="72" customHeight="1">
      <x:c r="A38" t="str">
        <x:v>public_0034</x:v>
      </x:c>
      <x:c r="B38" t="str">
        <x:v>B07Q9PNNB5</x:v>
      </x:c>
      <x:c r="C38" s="17" t="str">
        <x:v>DUOYANGJIASHA Loafers for Women Casual Slip on Dress Loafers Womens Comfortable Leather Driving Shoes Outdoor Walking Flats Shoes</x:v>
      </x:c>
      <x:c r="D38" s="17" t="str">
        <x:v>Clothing, Shoes &amp; Jewelry | Women | Shoes | Loafers &amp; Slip-Ons</x:v>
      </x:c>
      <x:c r="E38" s="17" t="str">
        <x:v>Loafers &amp; Slip-Ons</x:v>
      </x:c>
      <x:c r="F38" s="17" t="str">
        <x:v>Rubber sole | Cowhide Leather,Rubber Sole,Hand-Sewn Loafers for Women | Leather Loafers Women:can be bend and curled in 360°,soft and comfortable | Women Flat Shoes can be worn in Two kinds,Using as Loafer or Slipper,easily put on or off | Wear-resisting rubber sole with function of skid resistance,soft and comfortable,making you lighter when walking | Suitable for occasion:Slip on shoes,dress shoes,party,going out,indoor,office,shopping,standing,walking shoes,working,etc .</x:v>
      </x:c>
      <x:c r="G38" s="17" t="str">
        <x:v>Department: womens | Date First Available: April 2, 2019</x:v>
      </x:c>
      <x:c r="H38" s="17" t="str"/>
      <x:c r="I38" s="76" t="n">
        <x:v>25.76</x:v>
      </x:c>
      <x:c r="J38" s="75" t="n">
        <x:v>4.2</x:v>
      </x:c>
      <x:c r="K38" s="77" t="n">
        <x:v>5428</x:v>
      </x:c>
      <x:c r="L38" s="77" t="str">
        <x:v>DUOYANGJIASHA</x:v>
      </x:c>
      <x:c r="M38" s="77" t="n">
        <x:f>LEN(C38)</x:f>
        <x:v>129</x:v>
      </x:c>
      <x:c r="N38" s="77" t="n">
        <x:f>LEN(F38)</x:f>
        <x:v>478</x:v>
      </x:c>
      <x:c r="O38" s="77" t="n">
        <x:f>LEN(G38)</x:f>
        <x:v>56</x:v>
      </x:c>
      <x:c r="P38" s="77" t="n">
        <x:f>LEN(H38)</x:f>
        <x:v>0</x:v>
      </x:c>
      <x:c r="Q38" s="77" t="n">
        <x:f>IF(LEN(C38)&gt;0,1,0)+IF(LEN(D38)&gt;0,1,0)+IF(LEN(F38)&gt;0,1,0)+IF(LEN(G38)&gt;0,1,0)+IF(LEN(H38)&gt;0,1,0)+IF(ISNUMBER(I38),1,0)+IF(ISNUMBER(J38),1,0)+IF(ISNUMBER(K38),1,0)+IF(LEN(L38)&gt;0,1,0)</x:f>
        <x:v>8</x:v>
      </x:c>
      <x:c r="R38" s="78" t="n">
        <x:f>Q38/9</x:f>
        <x:v>0.8888888888888888</x:v>
      </x:c>
    </x:row>
    <x:row r="39" ht="72" customHeight="1">
      <x:c r="A39" t="str">
        <x:v>public_0035</x:v>
      </x:c>
      <x:c r="B39" t="str">
        <x:v>B0BN6CCHB7</x:v>
      </x:c>
      <x:c r="C39" s="17" t="str">
        <x:v>Skechers Men's Go Max-Athletic Air Mesh Slip on Walking Shoe Sneaker</x:v>
      </x:c>
      <x:c r="D39" s="17" t="str">
        <x:v>Clothing, Shoes &amp; Jewelry | Men | Shoes | Athletic | Walking</x:v>
      </x:c>
      <x:c r="E39" s="17" t="str">
        <x:v>Walking</x:v>
      </x:c>
      <x:c r="F39" s="17" t="str">
        <x:v>100% Textile | Imported | Rubber sole | Shaft measures approximately low-top from arch | Get the maximum comfort and cushioning for athletic walking with the Skechers GOwalk Max. STRETCH FIT fabric upper with cushioned, supportive sole design. Designed with Skechers Performance technology and materials specifically for athletic walking. Air Cooled Goga Mat insole for shock absorption and support. | UPPER: Super lightweight STRETCH FIT fabric upper for ideal fit. Slip on design with heel pull on loop. Extra padded heel for walking comfort. Nearly one piece breathable mesh upper. | MIDSOLE/CUSHION: 5GEN sole - proprietary lightweight injection-molded compound with memory retention helps absorb impact. OUTSOLE: Flexible rubber sole provides durability and stability | INSOLE: Air Cooled Goga Mat insole provides shock absorption and support. | MACHINE WASHABLE shoe design - wash on gentle cycle cold, hang to air dry.</x:v>
      </x:c>
      <x:c r="G39" s="17" t="str">
        <x:v>Product Dimensions: 10.9 x 7.4 x 4.2 inches; 1.4 Pounds | Department: mens | Date First Available: September 1, 2019 | Manufacturer: Skechers</x:v>
      </x:c>
      <x:c r="H39" s="17" t="str">
        <x:v>Get the maximum comfort and cushioning for athletic walking with the Skechers go walk max. Mesh fabric upper with cushioned, supportive sole design. Designed with Skechers performance technology and materials specifically for athletic walking. Goga max technology insole with high-rebound cushioning.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 Skechers is an award-winning global leader in lifestyle footwear offering shoes that appeal to trend-savvy men, women and kids everywhere. The brand's styles include the latest innovative athletic, casual and fashion sneakers as well as sandals and boots—with many collections featuring Skechers air-cooled memory foam insoles for added comfort. Plus, Skechers offers a range of slip-resistant work FOOTWEAR for men and women, as well as cool, fun, playful and lighted styles that boys and girls love. Always ahead of the fashion curve, Skechers has made its sport, casual and dress casual shoes essential to every closet.Consigue la máxima comodidad y amortiguación para caminar atlético con el Skechers GO WALK Max. Parte superior de tela de malla con diseño de suela acolchada. Diseñado con tecnología de rendimiento Skechers y materiales específicamente para caminar atlético. Plantilla de tecnología Goga Max con amortiguación de alto rebote. El éxito de la compañía se deriva de su línea de productos de alta calidad, diversificada y asequible que satisface las diversas necesidades de estilo de vida de los consumidores. Desde su creación en 1992, la oferta diversa de productos Skechers ha crecido desde botas de estilo utilitario para incluir siete marcas Skechers y cinco líneas de moda de marca única para hombres y mujeres. Skechers es un líder mundial galardonado en calzado de estilo</x:v>
      </x:c>
      <x:c r="I39" s="76" t="n">
        <x:v>54.97</x:v>
      </x:c>
      <x:c r="J39" s="75" t="n">
        <x:v>4.5</x:v>
      </x:c>
      <x:c r="K39" s="77" t="n">
        <x:v>35329</x:v>
      </x:c>
      <x:c r="L39" s="77" t="str">
        <x:v>Skechers</x:v>
      </x:c>
      <x:c r="M39" s="77" t="n">
        <x:f>LEN(C39)</x:f>
        <x:v>68</x:v>
      </x:c>
      <x:c r="N39" s="77" t="n">
        <x:f>LEN(F39)</x:f>
        <x:v>925</x:v>
      </x:c>
      <x:c r="O39" s="77" t="n">
        <x:f>LEN(G39)</x:f>
        <x:v>141</x:v>
      </x:c>
      <x:c r="P39" s="77" t="n">
        <x:f>LEN(H39)</x:f>
        <x:v>2033</x:v>
      </x:c>
      <x:c r="Q39" s="77" t="n">
        <x:f>IF(LEN(C39)&gt;0,1,0)+IF(LEN(D39)&gt;0,1,0)+IF(LEN(F39)&gt;0,1,0)+IF(LEN(G39)&gt;0,1,0)+IF(LEN(H39)&gt;0,1,0)+IF(ISNUMBER(I39),1,0)+IF(ISNUMBER(J39),1,0)+IF(ISNUMBER(K39),1,0)+IF(LEN(L39)&gt;0,1,0)</x:f>
        <x:v>9</x:v>
      </x:c>
      <x:c r="R39" s="78" t="n">
        <x:f>Q39/9</x:f>
        <x:v>1</x:v>
      </x:c>
    </x:row>
    <x:row r="40" ht="72" customHeight="1">
      <x:c r="A40" t="str">
        <x:v>public_0036</x:v>
      </x:c>
      <x:c r="B40" t="str">
        <x:v>B08BWR1T58</x:v>
      </x:c>
      <x:c r="C40" s="17" t="str">
        <x:v>47 Pairs Fashion Earrings for Women Girls, Boho Statement Tassel Rattan Leather Earrings Butterfly Acrylic Hoop Stud Drop Dangle Earrings Set, Hypoallergenic for Sensitive Ears</x:v>
      </x:c>
      <x:c r="D40" s="17" t="str">
        <x:v>Clothing, Shoes &amp; Jewelry | Women | Jewelry | Earrings | Drop &amp; Dangle</x:v>
      </x:c>
      <x:c r="E40" s="17" t="str">
        <x:v>Drop &amp; Dangle</x:v>
      </x:c>
      <x:c r="F40" s="17" t="str">
        <x:v>DAILY JEWELRY SET: 47 Pairs earrings in 1 collection Box, Various trendy styles, hoop earrings, drop earrings, dangle earrings,stud earrings, offer you many options to wear, Chic design bring you different visual experience, make you look more charming and elegant in the crowds. | FASHIONABLE EARRINGS BULK: Each pair of the earrings is carefully selected from the most popular earrings favored by customers.These fashion dangle earring set including butterfly,bear,boba milk tea pink,toilet paper,chic twist shape,3-Layer thread tassel dangles, pin chunky circle hoop and leaf earrings. You will always find a perfect pair for whether normal, casual, or daily occasions. | HYPOALLERGENIC and LIGHTWEIGHT: Surgical steel earrings needle ear studs,lead-free and Nickle-free, safe for your sensitive skin, stud earrings made of quality alloy or cubic zirconia, durable and lightweight,good workmanship ensures a smooth surface and good sheen, can serve for long time use. | What You Get: 3 pairs of tassel earrings, 5 pairs of Sliver boho hoop earrings, 5 pairs of Gold chunky earrings, 7 pairs of Funny earrings, 27 pairs of stud earrings, 1 Jewelry collection box for gifting. Best gifts for yourself, friends and your lover. As costume accessroy,these earrings bulk are enough stylish and cool, rich and colorful design make them easy to match with most party costumes and help you to easily create a unique and cute Elegant look! | 270-DAY WARRANTY: We provide the Bohemian women earrings set with 270-Day money back or exchange guarantee. If you do not satisfied with our product or simply just don't like it, please contact us, we will give you a replacement or full refund.</x:v>
      </x:c>
      <x:c r="G40" s="17" t="str">
        <x:v>Package Dimensions: 5.5 x 4 x 1.79 inches | Department: womens | Date First Available: July 10, 2020 | Manufacturer: FIFATA</x:v>
      </x:c>
      <x:c r="H40" s="17" t="str"/>
      <x:c r="I40" s="76" t="n">
        <x:v>16.19</x:v>
      </x:c>
      <x:c r="J40" s="75" t="n">
        <x:v>4.4</x:v>
      </x:c>
      <x:c r="K40" s="77" t="n">
        <x:v>3958</x:v>
      </x:c>
      <x:c r="L40" s="77" t="str">
        <x:v>FIFATA</x:v>
      </x:c>
      <x:c r="M40" s="77" t="n">
        <x:f>LEN(C40)</x:f>
        <x:v>176</x:v>
      </x:c>
      <x:c r="N40" s="77" t="n">
        <x:f>LEN(F40)</x:f>
        <x:v>1679</x:v>
      </x:c>
      <x:c r="O40" s="77" t="n">
        <x:f>LEN(G40)</x:f>
        <x:v>123</x:v>
      </x:c>
      <x:c r="P40" s="77" t="n">
        <x:f>LEN(H40)</x:f>
        <x:v>0</x:v>
      </x:c>
      <x:c r="Q40" s="77" t="n">
        <x:f>IF(LEN(C40)&gt;0,1,0)+IF(LEN(D40)&gt;0,1,0)+IF(LEN(F40)&gt;0,1,0)+IF(LEN(G40)&gt;0,1,0)+IF(LEN(H40)&gt;0,1,0)+IF(ISNUMBER(I40),1,0)+IF(ISNUMBER(J40),1,0)+IF(ISNUMBER(K40),1,0)+IF(LEN(L40)&gt;0,1,0)</x:f>
        <x:v>8</x:v>
      </x:c>
      <x:c r="R40" s="78" t="n">
        <x:f>Q40/9</x:f>
        <x:v>0.8888888888888888</x:v>
      </x:c>
    </x:row>
    <x:row r="41" ht="72" customHeight="1">
      <x:c r="A41" t="str">
        <x:v>public_0037</x:v>
      </x:c>
      <x:c r="B41" t="str">
        <x:v>B08KKBBMMD</x:v>
      </x:c>
      <x:c r="C41" s="17" t="str">
        <x:v>The Children's Place Boys' Pull on Cargo Pants</x:v>
      </x:c>
      <x:c r="D41" s="17" t="str">
        <x:v>Clothing, Shoes &amp; Jewelry | Boys | Clothing | Pants</x:v>
      </x:c>
      <x:c r="E41" s="17" t="str">
        <x:v>Pants</x:v>
      </x:c>
      <x:c r="F41" s="17" t="str">
        <x:v>Imported | Pull On closure | Machine Wash | Made of 100% Cotton | This closet essential comes in specially treated cotton for a soft feel that's stonewashed for an abraded look | Styled with an elastic pull-on waist and inner adjustable waist tabs; plus side slant, cargo flap and back welt pockets | A great pick for everyday wear, these chinos can pair with polos and graphic tees alike | The Children's Place offers value-priced clothes and apparel that are fun and easy to put together | They'll love this style…you'll love this place</x:v>
      </x:c>
      <x:c r="G41" s="17" t="str">
        <x:v>Department: Boys | Date First Available: May 10, 2023 | Manufacturer: The Children's Place Children's Apparel</x:v>
      </x:c>
      <x:c r="H41" s="17" t="str">
        <x:v>We've updated this classic style with a skinnier fit he'll love.</x:v>
      </x:c>
      <x:c r="I41" s="76" t="n">
        <x:v>13.99</x:v>
      </x:c>
      <x:c r="J41" s="75" t="n">
        <x:v>4.6</x:v>
      </x:c>
      <x:c r="K41" s="77" t="n">
        <x:v>13787</x:v>
      </x:c>
      <x:c r="L41" s="77" t="str">
        <x:v>The Children's Place</x:v>
      </x:c>
      <x:c r="M41" s="77" t="n">
        <x:f>LEN(C41)</x:f>
        <x:v>46</x:v>
      </x:c>
      <x:c r="N41" s="77" t="n">
        <x:f>LEN(F41)</x:f>
        <x:v>538</x:v>
      </x:c>
      <x:c r="O41" s="77" t="n">
        <x:f>LEN(G41)</x:f>
        <x:v>109</x:v>
      </x:c>
      <x:c r="P41" s="77" t="n">
        <x:f>LEN(H41)</x:f>
        <x:v>64</x:v>
      </x:c>
      <x:c r="Q41" s="77" t="n">
        <x:f>IF(LEN(C41)&gt;0,1,0)+IF(LEN(D41)&gt;0,1,0)+IF(LEN(F41)&gt;0,1,0)+IF(LEN(G41)&gt;0,1,0)+IF(LEN(H41)&gt;0,1,0)+IF(ISNUMBER(I41),1,0)+IF(ISNUMBER(J41),1,0)+IF(ISNUMBER(K41),1,0)+IF(LEN(L41)&gt;0,1,0)</x:f>
        <x:v>9</x:v>
      </x:c>
      <x:c r="R41" s="78" t="n">
        <x:f>Q41/9</x:f>
        <x:v>1</x:v>
      </x:c>
    </x:row>
    <x:row r="42" ht="72" customHeight="1">
      <x:c r="A42" t="str">
        <x:v>public_0038</x:v>
      </x:c>
      <x:c r="B42" t="str">
        <x:v>B07B5RGY2N</x:v>
      </x:c>
      <x:c r="C42" s="17" t="str">
        <x:v>Blowfish Malibu Women's Fruit Sneaker</x:v>
      </x:c>
      <x:c r="D42" s="17" t="str">
        <x:v>Clothing, Shoes &amp; Jewelry | Women | Shoes | Fashion Sneakers</x:v>
      </x:c>
      <x:c r="E42" s="17" t="str">
        <x:v>Fashion Sneakers</x:v>
      </x:c>
      <x:c r="F42" s="17" t="str">
        <x:v>Textile | Made in the USA or Imported | Synthetic sole | Lace Slip On Sneaker | Blanket Stich on back heel</x:v>
      </x:c>
      <x:c r="G42" s="17" t="str">
        <x:v>Is Discontinued By Manufacturer: No | Product Dimensions: 10 x 15 x 6 inches; 2 Pounds | Item model number: ZS-0269 | Department: Womens | Date First Available: April 26, 2018 | Manufacturer: Blowfish Malibu</x:v>
      </x:c>
      <x:c r="H42" s="17" t="str">
        <x:v>Blowfish Malibu Women's Fruit Sneaker is a Lace Slip on sneaker with multiple colors available</x:v>
      </x:c>
      <x:c r="I42" s="76" t="n">
        <x:v>32.95</x:v>
      </x:c>
      <x:c r="J42" s="75" t="n">
        <x:v>4.6</x:v>
      </x:c>
      <x:c r="K42" s="77" t="n">
        <x:v>19488</x:v>
      </x:c>
      <x:c r="L42" s="77" t="str">
        <x:v>Blowfish Malibu</x:v>
      </x:c>
      <x:c r="M42" s="77" t="n">
        <x:f>LEN(C42)</x:f>
        <x:v>37</x:v>
      </x:c>
      <x:c r="N42" s="77" t="n">
        <x:f>LEN(F42)</x:f>
        <x:v>106</x:v>
      </x:c>
      <x:c r="O42" s="77" t="n">
        <x:f>LEN(G42)</x:f>
        <x:v>207</x:v>
      </x:c>
      <x:c r="P42" s="77" t="n">
        <x:f>LEN(H42)</x:f>
        <x:v>94</x:v>
      </x:c>
      <x:c r="Q42" s="77" t="n">
        <x:f>IF(LEN(C42)&gt;0,1,0)+IF(LEN(D42)&gt;0,1,0)+IF(LEN(F42)&gt;0,1,0)+IF(LEN(G42)&gt;0,1,0)+IF(LEN(H42)&gt;0,1,0)+IF(ISNUMBER(I42),1,0)+IF(ISNUMBER(J42),1,0)+IF(ISNUMBER(K42),1,0)+IF(LEN(L42)&gt;0,1,0)</x:f>
        <x:v>9</x:v>
      </x:c>
      <x:c r="R42" s="78" t="n">
        <x:f>Q42/9</x:f>
        <x:v>1</x:v>
      </x:c>
    </x:row>
    <x:row r="43" ht="72" customHeight="1">
      <x:c r="A43" t="str">
        <x:v>public_0039</x:v>
      </x:c>
      <x:c r="B43" t="str">
        <x:v>B07TZCJW9X</x:v>
      </x:c>
      <x:c r="C43" s="17" t="str">
        <x:v>Women's Pro Series Cycling Short Sleeve Jersey, Cargo Bib Shorts, or Kit Bundle</x:v>
      </x:c>
      <x:c r="D43" s="17" t="str">
        <x:v>Clothing, Shoes &amp; Jewelry | Sport Specific Clothing | Cycling | Women | Jerseys</x:v>
      </x:c>
      <x:c r="E43" s="17" t="str">
        <x:v>Jerseys</x:v>
      </x:c>
      <x:c r="F43" s="17" t="str">
        <x:v>80% Polyester, 20% Spandex | Zipper closure | Hand Wash Only | WOMEN PRO SERIES, LIMITED EDITION - Sublimated graphics from top to bottom for one-piece look and design. | ITALIAN FABRIC, HAND CRAFTED - Breathable fabric wicks quickly away moisture and keep you dry and Italian 3D Gel padding provides great comfort for longer rides. | Thigh and back reflectors made from high visibility taping have been added for dusk and night riding. | Urban printed elasticated grippers to stop top both jersey and shorts from riding up | Full length zip, three back pockets for storing small items, plus THIGH cargo / phone pockets on bib shorts.</x:v>
      </x:c>
      <x:c r="G43" s="17" t="str">
        <x:v>Department: womens | Date First Available: July 7, 2019</x:v>
      </x:c>
      <x:c r="H43" s="17" t="str"/>
      <x:c r="I43" s="76" t="n">
        <x:v>29.95</x:v>
      </x:c>
      <x:c r="J43" s="75" t="n">
        <x:v>4</x:v>
      </x:c>
      <x:c r="K43" s="77" t="n">
        <x:v>159</x:v>
      </x:c>
      <x:c r="L43" s="77" t="str">
        <x:v>Urban Cycling Apparel</x:v>
      </x:c>
      <x:c r="M43" s="77" t="n">
        <x:f>LEN(C43)</x:f>
        <x:v>79</x:v>
      </x:c>
      <x:c r="N43" s="77" t="n">
        <x:f>LEN(F43)</x:f>
        <x:v>634</x:v>
      </x:c>
      <x:c r="O43" s="77" t="n">
        <x:f>LEN(G43)</x:f>
        <x:v>55</x:v>
      </x:c>
      <x:c r="P43" s="77" t="n">
        <x:f>LEN(H43)</x:f>
        <x:v>0</x:v>
      </x:c>
      <x:c r="Q43" s="77" t="n">
        <x:f>IF(LEN(C43)&gt;0,1,0)+IF(LEN(D43)&gt;0,1,0)+IF(LEN(F43)&gt;0,1,0)+IF(LEN(G43)&gt;0,1,0)+IF(LEN(H43)&gt;0,1,0)+IF(ISNUMBER(I43),1,0)+IF(ISNUMBER(J43),1,0)+IF(ISNUMBER(K43),1,0)+IF(LEN(L43)&gt;0,1,0)</x:f>
        <x:v>8</x:v>
      </x:c>
      <x:c r="R43" s="78" t="n">
        <x:f>Q43/9</x:f>
        <x:v>0.8888888888888888</x:v>
      </x:c>
    </x:row>
    <x:row r="44" ht="72" customHeight="1">
      <x:c r="A44" t="str">
        <x:v>public_0040</x:v>
      </x:c>
      <x:c r="B44" t="str">
        <x:v>B08ZJWTCDR</x:v>
      </x:c>
      <x:c r="C44" s="17" t="str">
        <x:v>Champion Men's Joggers, Everyday Joggers, Lightweight, Comfortable Joggers for Men, 31"</x:v>
      </x:c>
      <x:c r="D44" s="17" t="str">
        <x:v>Clothing, Shoes &amp; Jewelry | Men | Clothing | Active | Active Pants | Sweatpants</x:v>
      </x:c>
      <x:c r="E44" s="17" t="str">
        <x:v>Sweatpants</x:v>
      </x:c>
      <x:c r="F44" s="17" t="str">
        <x:v>100% Cotton | Imported | Drawstring closure | THE FIT - Standard-fit men's joggers with a 31" inseam. | THE FEEL - Soft, 6.1 oz. cotton blend feels great on the skin. | ADDED COMFORT - Elastic waistband and internal drawcord provide a custom fit. | POCKETS - Two side pockets store the essentials. | YOU'VE GOT OPTIONS - From basic colors to black joggers for men. | SPOT THE C - Iconic C logo hits at the hip of these men's joggers. | EASY CARE - Machine wash these joggers for men with cold water and like colors for easy care that reduces energy use.</x:v>
      </x:c>
      <x:c r="G44" s="17" t="str">
        <x:v>Product Dimensions: 8.2 x 12.2 x 1.2 inches; 6.1 Ounces | Item model number: P7308 | Department: Mens | Date First Available: April 11, 2018 | Manufacturer: Champion</x:v>
      </x:c>
      <x:c r="H44" s="17" t="str">
        <x:v>THE CLASSIC SPORT LOOK YOU LOVE. Are you looking for a comfortable pair of men’s joggers that will work with your routine and schedule? The Everyday Cotton Joggers for men offer classic, lightweight style, are made for round wear, and are a must-have addition to your closet. These comfortable men’s joggers feature a classic tapered leg with ribbed cuffs, adjustable elastic waistband, and side pockets for all your essentials. Our feel-good, wear-anytime joggers are perfect for matching with your favorite tee or jacket for a casual, easy-going look. The iconic C logo patch hits at the hit and reps your true brand pride.</x:v>
      </x:c>
      <x:c r="I44" s="76" t="n">
        <x:v>21</x:v>
      </x:c>
      <x:c r="J44" s="75" t="n">
        <x:v>4.4</x:v>
      </x:c>
      <x:c r="K44" s="77" t="n">
        <x:v>35397</x:v>
      </x:c>
      <x:c r="L44" s="77" t="str">
        <x:v>Champion</x:v>
      </x:c>
      <x:c r="M44" s="77" t="n">
        <x:f>LEN(C44)</x:f>
        <x:v>87</x:v>
      </x:c>
      <x:c r="N44" s="77" t="n">
        <x:f>LEN(F44)</x:f>
        <x:v>553</x:v>
      </x:c>
      <x:c r="O44" s="77" t="n">
        <x:f>LEN(G44)</x:f>
        <x:v>165</x:v>
      </x:c>
      <x:c r="P44" s="77" t="n">
        <x:f>LEN(H44)</x:f>
        <x:v>625</x:v>
      </x:c>
      <x:c r="Q44" s="77" t="n">
        <x:f>IF(LEN(C44)&gt;0,1,0)+IF(LEN(D44)&gt;0,1,0)+IF(LEN(F44)&gt;0,1,0)+IF(LEN(G44)&gt;0,1,0)+IF(LEN(H44)&gt;0,1,0)+IF(ISNUMBER(I44),1,0)+IF(ISNUMBER(J44),1,0)+IF(ISNUMBER(K44),1,0)+IF(LEN(L44)&gt;0,1,0)</x:f>
        <x:v>9</x:v>
      </x:c>
      <x:c r="R44" s="78" t="n">
        <x:f>Q44/9</x:f>
        <x:v>1</x:v>
      </x:c>
    </x:row>
    <x:row r="45" ht="72" customHeight="1">
      <x:c r="A45" t="str">
        <x:v>public_0041</x:v>
      </x:c>
      <x:c r="B45" t="str">
        <x:v>B09MSY8926</x:v>
      </x:c>
      <x:c r="C45" s="17" t="str">
        <x:v>LETDIOSTO Women's Plus Size Tops Casual Blouse Short Sleeve Lace Tunic Tops Fit Flare, M-4XL</x:v>
      </x:c>
      <x:c r="D45" s="17" t="str">
        <x:v>Clothing, Shoes &amp; Jewelry | Women | Clothing | Tops, Tees &amp; Blouses | Tunics</x:v>
      </x:c>
      <x:c r="E45" s="17" t="str">
        <x:v>Tunics</x:v>
      </x:c>
      <x:c r="F45" s="17" t="str">
        <x:v>3X women tops care: Hand wash or machine wash in gentle; Hang to dry; No ironing; No shrinkage; | 进口 | Pull On closure | Hand Wash Only | 3X women tops care: Hand wash or machine wash in gentle; Hang to dry; No ironing; No shrinkage; | Women summer tops: 3XL plus size tunics has enough length with pleats to hide the belly perfectly; | Material: This basic plus tunics top is made of 95% polyester, 5% spandex, soft, comfortable, stretchy, light-weight; | With its pleats and flowy design, this plus size shirts for women shows you in better shape; | Casual loose fit 3XL tunics comes with various colors in plain and floral printed for your choices;</x:v>
      </x:c>
      <x:c r="G45" s="17" t="str">
        <x:v>Department: Womens | Date First Available: June 1, 2021</x:v>
      </x:c>
      <x:c r="H45" s="17" t="str"/>
      <x:c r="I45" s="76" t="n">
        <x:v>24.99</x:v>
      </x:c>
      <x:c r="J45" s="75" t="n">
        <x:v>4.3</x:v>
      </x:c>
      <x:c r="K45" s="77" t="n">
        <x:v>7609</x:v>
      </x:c>
      <x:c r="L45" s="77" t="str">
        <x:v>LETDIOSTO</x:v>
      </x:c>
      <x:c r="M45" s="77" t="n">
        <x:f>LEN(C45)</x:f>
        <x:v>92</x:v>
      </x:c>
      <x:c r="N45" s="77" t="n">
        <x:f>LEN(F45)</x:f>
        <x:v>651</x:v>
      </x:c>
      <x:c r="O45" s="77" t="n">
        <x:f>LEN(G45)</x:f>
        <x:v>55</x:v>
      </x:c>
      <x:c r="P45" s="77" t="n">
        <x:f>LEN(H45)</x:f>
        <x:v>0</x:v>
      </x:c>
      <x:c r="Q45" s="77" t="n">
        <x:f>IF(LEN(C45)&gt;0,1,0)+IF(LEN(D45)&gt;0,1,0)+IF(LEN(F45)&gt;0,1,0)+IF(LEN(G45)&gt;0,1,0)+IF(LEN(H45)&gt;0,1,0)+IF(ISNUMBER(I45),1,0)+IF(ISNUMBER(J45),1,0)+IF(ISNUMBER(K45),1,0)+IF(LEN(L45)&gt;0,1,0)</x:f>
        <x:v>8</x:v>
      </x:c>
      <x:c r="R45" s="78" t="n">
        <x:f>Q45/9</x:f>
        <x:v>0.8888888888888888</x:v>
      </x:c>
    </x:row>
    <x:row r="46" ht="72" customHeight="1">
      <x:c r="A46" t="str">
        <x:v>public_0042</x:v>
      </x:c>
      <x:c r="B46" t="str">
        <x:v>B01LWOGORL</x:v>
      </x:c>
      <x:c r="C46" s="17" t="str">
        <x:v>Timex Men's Classic Digital Watch</x:v>
      </x:c>
      <x:c r="D46" s="17" t="str">
        <x:v>Clothing, Shoes &amp; Jewelry | Men | Watches | Wrist Watches</x:v>
      </x:c>
      <x:c r="E46" s="17" t="str">
        <x:v>Wrist Watches</x:v>
      </x:c>
      <x:c r="F46" s="17" t="str">
        <x:v>Imported | Gold-tone 18mm stainless steel expansion band fits up to 8-inch wrist circumference | 100-hour chronograph with lap &amp; split times; month, day &amp; date calendar | Alarm; 24-hour military time mode; 2 time zones | Gold-tone 34mm resin case with acrylic lens; green digital display; Indiglo light-up watch dial | Water resistant to 30m (100ft): in general, withstands splashes or brief immersion in water, but not suitable for swimming or bathing</x:v>
      </x:c>
      <x:c r="G46" s="17" t="str">
        <x:v>Is Discontinued By Manufacturer: No | Product Dimensions: 8 x 1.34 x 0.39 inches; 1.6 Ounces | Item model number: T78677 | Department: Men | Batteries: 1 Lithium Metal batteries required. (included) | Date First Available: November 12, 2003 | Manufacturer: Timex | Country of Origin: Philippines</x:v>
      </x:c>
      <x:c r="H46" s="17" t="str">
        <x:v>The refined 80s retro style of the Classic Digital Dress Stainless Steel Expansion Band Watch gives your wardrobe a refreshingly sophisticated twist.</x:v>
      </x:c>
      <x:c r="I46" s="76" t="n">
        <x:v>33.16</x:v>
      </x:c>
      <x:c r="J46" s="75" t="n">
        <x:v>4.6</x:v>
      </x:c>
      <x:c r="K46" s="77" t="n">
        <x:v>6161</x:v>
      </x:c>
      <x:c r="L46" s="77" t="str">
        <x:v>Timex</x:v>
      </x:c>
      <x:c r="M46" s="77" t="n">
        <x:f>LEN(C46)</x:f>
        <x:v>33</x:v>
      </x:c>
      <x:c r="N46" s="77" t="n">
        <x:f>LEN(F46)</x:f>
        <x:v>452</x:v>
      </x:c>
      <x:c r="O46" s="77" t="n">
        <x:f>LEN(G46)</x:f>
        <x:v>295</x:v>
      </x:c>
      <x:c r="P46" s="77" t="n">
        <x:f>LEN(H46)</x:f>
        <x:v>149</x:v>
      </x:c>
      <x:c r="Q46" s="77" t="n">
        <x:f>IF(LEN(C46)&gt;0,1,0)+IF(LEN(D46)&gt;0,1,0)+IF(LEN(F46)&gt;0,1,0)+IF(LEN(G46)&gt;0,1,0)+IF(LEN(H46)&gt;0,1,0)+IF(ISNUMBER(I46),1,0)+IF(ISNUMBER(J46),1,0)+IF(ISNUMBER(K46),1,0)+IF(LEN(L46)&gt;0,1,0)</x:f>
        <x:v>9</x:v>
      </x:c>
      <x:c r="R46" s="78" t="n">
        <x:f>Q46/9</x:f>
        <x:v>1</x:v>
      </x:c>
    </x:row>
    <x:row r="47" ht="72" customHeight="1">
      <x:c r="A47" t="str">
        <x:v>public_0043</x:v>
      </x:c>
      <x:c r="B47" t="str">
        <x:v>B0C1KNGLPX</x:v>
      </x:c>
      <x:c r="C47" s="17" t="str">
        <x:v>Levi's Women's Classic Bootcut Jeans</x:v>
      </x:c>
      <x:c r="D47" s="17" t="str">
        <x:v>Clothing, Shoes &amp; Jewelry | Women | Clothing | Jeans</x:v>
      </x:c>
      <x:c r="E47" s="17" t="str">
        <x:v>Jeans</x:v>
      </x:c>
      <x:c r="F47" s="17" t="str">
        <x:v>60% Cotton, 23% Viscose, 16% Polyester, 1% Elastane | Imported | Zipper closure | Machine Wash | Mid Rise Women's Boot cut Jeans: Sits at Waist | Easy through hip and thigh | Women's Stretch Boot cut Pants Sizing, Inseam: 30"" (Short); 32"" (Medium); 34"" (Long) | Front Rise: 9 1/2"; Back Rise: 15 7/8"; Leg Opening: 18" | The model in the image is 5' 8" and is wearing 27 x M=32.</x:v>
      </x:c>
      <x:c r="G47" s="17" t="str">
        <x:v>Item model number: 23649-0029 | Department: womens | Date First Available: June 19, 2019 | Manufacturer: Levi's</x:v>
      </x:c>
      <x:c r="H47" s="17" t="str">
        <x:v>Levi's® Women's Size Guide Slip into style that takes you back, the Levi's® Womens Classic Bootcut jeans. Made with Water&lt;Less® technology. Leather brand patch at the back waist. Woven flag patch set at the back right pocket. Mid-rise, mid stretch denim. Five-pocket design. Belt-loop waistband. Zip fly and button closure. 79% cotton, 19% polyester, 2% elastane. Machine wash cold inside out and tumble dry. Imported. Measurements: Waist Measurement: 28 in Outseam: 40 in Inseam: 31 in Front Rise: 9 in Back Rise: 12 in Leg Opening: 18 in Product measurements were taken using size 2 (26), inseam M. Please note that measurements may vary by size.</x:v>
      </x:c>
      <x:c r="I47" s="76" t="n">
        <x:v>37.95</x:v>
      </x:c>
      <x:c r="J47" s="75" t="n">
        <x:v>4.4</x:v>
      </x:c>
      <x:c r="K47" s="77" t="n">
        <x:v>15762</x:v>
      </x:c>
      <x:c r="L47" s="77" t="str">
        <x:v>Levi's</x:v>
      </x:c>
      <x:c r="M47" s="77" t="n">
        <x:f>LEN(C47)</x:f>
        <x:v>36</x:v>
      </x:c>
      <x:c r="N47" s="77" t="n">
        <x:f>LEN(F47)</x:f>
        <x:v>381</x:v>
      </x:c>
      <x:c r="O47" s="77" t="n">
        <x:f>LEN(G47)</x:f>
        <x:v>111</x:v>
      </x:c>
      <x:c r="P47" s="77" t="n">
        <x:f>LEN(H47)</x:f>
        <x:v>648</x:v>
      </x:c>
      <x:c r="Q47" s="77" t="n">
        <x:f>IF(LEN(C47)&gt;0,1,0)+IF(LEN(D47)&gt;0,1,0)+IF(LEN(F47)&gt;0,1,0)+IF(LEN(G47)&gt;0,1,0)+IF(LEN(H47)&gt;0,1,0)+IF(ISNUMBER(I47),1,0)+IF(ISNUMBER(J47),1,0)+IF(ISNUMBER(K47),1,0)+IF(LEN(L47)&gt;0,1,0)</x:f>
        <x:v>9</x:v>
      </x:c>
      <x:c r="R47" s="78" t="n">
        <x:f>Q47/9</x:f>
        <x:v>1</x:v>
      </x:c>
    </x:row>
    <x:row r="48" ht="72" customHeight="1">
      <x:c r="A48" t="str">
        <x:v>public_0044</x:v>
      </x:c>
      <x:c r="B48" t="str">
        <x:v>B09BQ4G5BD</x:v>
      </x:c>
      <x:c r="C48" s="17" t="str">
        <x:v>K898 Men's Square Leg Swimming Jammer Shorts UPF50+,Men Swimsuit Swim Jammers Fabric Shape Retention</x:v>
      </x:c>
      <x:c r="D48" s="17" t="str">
        <x:v>Clothing, Shoes &amp; Jewelry | Sport Specific Clothing | Competitive Swimwear | Men | Jammers</x:v>
      </x:c>
      <x:c r="E48" s="17" t="str">
        <x:v>Jammers</x:v>
      </x:c>
      <x:c r="F48" s="17" t="str">
        <x:v>Polyester,Spandex | Rope closure | 【100% chlorine-resistant durable】KGKE mens swimming jammer swimsuit have 4-Level chlorine resistant fabric,worth to prevent chaffing and fadding.FBT fabrics keep shape retention after many times wearing | 【UV Sun Protection】Square leg short-swims with UPF50+ materials protect skin from the sun's damaging rays | 【Quick-dry Soft Lightweight】 82% Polyester 18% Spandex swimming square jammers made it quick dry, soft. 4-way stretch square-leg design with flat seams for more comfortable | 【Occasions for Swim Shorts】Perfect for swimming team train,pool swim race,sea water playing,summer men swim wear.Go and Enjoy Summer Swim Water | 【Waist Rope to Fit】Waist rope for adjusting your best fit,swim materials for compression swimming demands</x:v>
      </x:c>
      <x:c r="G48" s="17" t="str">
        <x:v>Department: mens | Date First Available: August 3, 2021</x:v>
      </x:c>
      <x:c r="H48" s="17" t="str"/>
      <x:c r="I48" s="76" t="n">
        <x:v>20.97</x:v>
      </x:c>
      <x:c r="J48" s="75" t="n">
        <x:v>4.3</x:v>
      </x:c>
      <x:c r="K48" s="77" t="n">
        <x:v>1274</x:v>
      </x:c>
      <x:c r="L48" s="77" t="str">
        <x:v>K898</x:v>
      </x:c>
      <x:c r="M48" s="77" t="n">
        <x:f>LEN(C48)</x:f>
        <x:v>100</x:v>
      </x:c>
      <x:c r="N48" s="77" t="n">
        <x:f>LEN(F48)</x:f>
        <x:v>774</x:v>
      </x:c>
      <x:c r="O48" s="77" t="n">
        <x:f>LEN(G48)</x:f>
        <x:v>55</x:v>
      </x:c>
      <x:c r="P48" s="77" t="n">
        <x:f>LEN(H48)</x:f>
        <x:v>0</x:v>
      </x:c>
      <x:c r="Q48" s="77" t="n">
        <x:f>IF(LEN(C48)&gt;0,1,0)+IF(LEN(D48)&gt;0,1,0)+IF(LEN(F48)&gt;0,1,0)+IF(LEN(G48)&gt;0,1,0)+IF(LEN(H48)&gt;0,1,0)+IF(ISNUMBER(I48),1,0)+IF(ISNUMBER(J48),1,0)+IF(ISNUMBER(K48),1,0)+IF(LEN(L48)&gt;0,1,0)</x:f>
        <x:v>8</x:v>
      </x:c>
      <x:c r="R48" s="78" t="n">
        <x:f>Q48/9</x:f>
        <x:v>0.8888888888888888</x:v>
      </x:c>
    </x:row>
    <x:row r="49" ht="72" customHeight="1">
      <x:c r="A49" t="str">
        <x:v>public_0045</x:v>
      </x:c>
      <x:c r="B49" t="str">
        <x:v>B07Z8NTWVV</x:v>
      </x:c>
      <x:c r="C49" s="17" t="str">
        <x:v>HOCOSIT Women's Floral Print Short Ruffle Sleeve Pleated Front V Neck Button Tunic Tops</x:v>
      </x:c>
      <x:c r="D49" s="17" t="str">
        <x:v>Clothing, Shoes &amp; Jewelry | Women | Clothing | Tops, Tees &amp; Blouses | Tunics</x:v>
      </x:c>
      <x:c r="E49" s="17" t="str">
        <x:v>Tunics</x:v>
      </x:c>
      <x:c r="F49" s="17" t="str">
        <x:v>95% Polyester, 5% Spandex | Imported | Button closure | Hand Wash Only | Features:Elegant ruffle sleeve, V-neck design, Popular floarl print, Short sleeve, Cute pleated front, Decorative buttons. | Material:95%Polyester,5%Spandex | Applicable occasions: high-quality fabrics, soft and comfortable when worn, the stylish appearance will give you a lot of appreciation. It is a must-have for pants, life, work, school, and party. | Size selection: Please select the size chart in the picture provided by HOCOSIT. Please do not follow the US standard size chart. | Precautions:HAND WASH IN COLD WATER / DO NOT BLEACH / LAY FLAT TO DRY / DRY CLEAN IF NEEDED</x:v>
      </x:c>
      <x:c r="G49" s="17" t="str">
        <x:v>Product Dimensions: 3.94 x 3.15 x 0.35 inches | Department: Womens | Date First Available: October 17, 2019</x:v>
      </x:c>
      <x:c r="H49" s="17" t="str"/>
      <x:c r="I49" s="76" t="n">
        <x:v>27.99</x:v>
      </x:c>
      <x:c r="J49" s="75" t="n">
        <x:v>4.4</x:v>
      </x:c>
      <x:c r="K49" s="77" t="n">
        <x:v>7579</x:v>
      </x:c>
      <x:c r="L49" s="77" t="str">
        <x:v>HOCOSIT</x:v>
      </x:c>
      <x:c r="M49" s="77" t="n">
        <x:f>LEN(C49)</x:f>
        <x:v>87</x:v>
      </x:c>
      <x:c r="N49" s="77" t="n">
        <x:f>LEN(F49)</x:f>
        <x:v>653</x:v>
      </x:c>
      <x:c r="O49" s="77" t="n">
        <x:f>LEN(G49)</x:f>
        <x:v>107</x:v>
      </x:c>
      <x:c r="P49" s="77" t="n">
        <x:f>LEN(H49)</x:f>
        <x:v>0</x:v>
      </x:c>
      <x:c r="Q49" s="77" t="n">
        <x:f>IF(LEN(C49)&gt;0,1,0)+IF(LEN(D49)&gt;0,1,0)+IF(LEN(F49)&gt;0,1,0)+IF(LEN(G49)&gt;0,1,0)+IF(LEN(H49)&gt;0,1,0)+IF(ISNUMBER(I49),1,0)+IF(ISNUMBER(J49),1,0)+IF(ISNUMBER(K49),1,0)+IF(LEN(L49)&gt;0,1,0)</x:f>
        <x:v>8</x:v>
      </x:c>
      <x:c r="R49" s="78" t="n">
        <x:f>Q49/9</x:f>
        <x:v>0.8888888888888888</x:v>
      </x:c>
    </x:row>
    <x:row r="50" ht="72" customHeight="1">
      <x:c r="A50" t="str">
        <x:v>public_0046</x:v>
      </x:c>
      <x:c r="B50" t="str">
        <x:v>B0B42PVX1F</x:v>
      </x:c>
      <x:c r="C50" s="17" t="str">
        <x:v>Wool Plus Size Thigh High Socks For Thick Thighs- Extra Long Womens Warm Cable Knit Over Knee Stockings Leg Warmers</x:v>
      </x:c>
      <x:c r="D50" s="17" t="str">
        <x:v>Clothing, Shoes &amp; Jewelry | Women | Clothing | Socks &amp; Hosiery | Leg Warmers</x:v>
      </x:c>
      <x:c r="E50" s="17" t="str">
        <x:v>Leg Warmers</x:v>
      </x:c>
      <x:c r="F50" s="17" t="str">
        <x:v>44% Acrylic, 28% Cotton, 20% Merino Wool, 8% Polyester | Imported | No Closure closure | Hand Wash Only | 44% Acrylic, 28% Cotton, 20% Merino Wool, 8% Polyester. Premium Merino Wool and High-Quality Cotton for all-day warmth and comfort. Please contact us if Any Defective or Missing Garters. | 🐏Real European Plus Size for Thick Thigh🌸 Toe to Top Length: 31 inches/79cm. The stretch width at the top of the sock reaches 42 inches. Recommended: For upper thighs that measure 27 inches or larger. | 🐏Premium Wool, Soft &amp; Comfortable🌸 We use up to 20% Merino Wool and the Plus Size Over Knee Socks woven with high-quality materials. Just wearing these Long Socks during early spring, autumn, winter and you will feel incredibly soft and cozy. | 🐏Free Non-Slip Thigh Garter Belt🌸 Say goodbye to roll down and embarrassment! The thigh garter belts will ensure that the thigh high socks are fixed in correct position you want. Made of Elastic, 1" inch wide, adjusts up to 45 inches around. So it can be used perfectly with plus size goddess. | 🐏Combine Fashion &amp; Warmth🌸 These Merino Wool Thigh Highs is a classic style that you can rock winter, spring or fall. They can flawlessly complete your uniforms, shorts, miniskirts and match them with flat or heeled ankle boots for a versatile outfit or knee high boots. You must need these stylish thigh highs in your closet. | 🐏Best Gift &amp; Choice for Big Girls🌸 Our Thigh Socks are everything you and your beautiful legs need! They are essential socks in daily life, also are excellent present for your love, girlfriend, little one, best friend on Birthday, Valentine's Day, Halloween, Christmas, Mother's Day, Thanksgiving and Any Anniversary.</x:v>
      </x:c>
      <x:c r="G50" s="17" t="str">
        <x:v>Department: womens | Date First Available: June 14, 2022</x:v>
      </x:c>
      <x:c r="H50" s="17" t="str"/>
      <x:c r="I50" s="76" t="n">
        <x:v>17.99</x:v>
      </x:c>
      <x:c r="J50" s="75" t="n">
        <x:v>4.2</x:v>
      </x:c>
      <x:c r="K50" s="77" t="n">
        <x:v>301</x:v>
      </x:c>
      <x:c r="L50" s="77" t="str">
        <x:v>Moon Wood</x:v>
      </x:c>
      <x:c r="M50" s="77" t="n">
        <x:f>LEN(C50)</x:f>
        <x:v>115</x:v>
      </x:c>
      <x:c r="N50" s="77" t="n">
        <x:f>LEN(F50)</x:f>
        <x:v>1695</x:v>
      </x:c>
      <x:c r="O50" s="77" t="n">
        <x:f>LEN(G50)</x:f>
        <x:v>56</x:v>
      </x:c>
      <x:c r="P50" s="77" t="n">
        <x:f>LEN(H50)</x:f>
        <x:v>0</x:v>
      </x:c>
      <x:c r="Q50" s="77" t="n">
        <x:f>IF(LEN(C50)&gt;0,1,0)+IF(LEN(D50)&gt;0,1,0)+IF(LEN(F50)&gt;0,1,0)+IF(LEN(G50)&gt;0,1,0)+IF(LEN(H50)&gt;0,1,0)+IF(ISNUMBER(I50),1,0)+IF(ISNUMBER(J50),1,0)+IF(ISNUMBER(K50),1,0)+IF(LEN(L50)&gt;0,1,0)</x:f>
        <x:v>8</x:v>
      </x:c>
      <x:c r="R50" s="78" t="n">
        <x:f>Q50/9</x:f>
        <x:v>0.8888888888888888</x:v>
      </x:c>
    </x:row>
    <x:row r="51" ht="72" customHeight="1">
      <x:c r="A51" t="str">
        <x:v>public_0047</x:v>
      </x:c>
      <x:c r="B51" t="str">
        <x:v>B0BYZX7B1L</x:v>
      </x:c>
      <x:c r="C51" s="17" t="str">
        <x:v>Lunarable Multicolor Unisex Bandana</x:v>
      </x:c>
      <x:c r="D51" s="17" t="str">
        <x:v>Clothing, Shoes &amp; Jewelry | Novelty &amp; More | Clothing | Novelty | Men | Accessories | Bandanas</x:v>
      </x:c>
      <x:c r="E51" s="17" t="str">
        <x:v>Bandanas</x:v>
      </x:c>
      <x:c r="F51" s="17" t="str">
        <x:v>100% Polyester | Adjustable closure | 22 x 22 INCHES - Fits Most People. Soft &amp; Comfortable. Color: Pale Pink Ruby Coral MADE IN USA. | MADE FROM - 100% High-quality premium polyester fabric. Very durable. Highly unique. Versatile. FUN. | FEATURES - Vivid colors &amp; Clear image. SEWN ON ALL 4 SIDES. Breathable. For hot &amp; cold weather. | MACHINE WASHABLE - Delicate cycle. NO FADING and dries FAST. No dyes harming health of your family. | MODERN PRINTS - Printed with state of the art digital printing technology. PRINTED ON ONE SIDE ONLY.</x:v>
      </x:c>
      <x:c r="G51" s="17" t="str">
        <x:v>Item model number: ban_parent_newlist_amb_2 | Department: Mens | Date First Available: March 20, 2023</x:v>
      </x:c>
      <x:c r="H51" s="17" t="str"/>
      <x:c r="I51" s="76" t="n">
        <x:v>17.99</x:v>
      </x:c>
      <x:c r="J51" s="75" t="n">
        <x:v>4.2</x:v>
      </x:c>
      <x:c r="K51" s="77" t="n">
        <x:v>11</x:v>
      </x:c>
      <x:c r="L51" s="77" t="str">
        <x:v>Lunarable</x:v>
      </x:c>
      <x:c r="M51" s="77" t="n">
        <x:f>LEN(C51)</x:f>
        <x:v>35</x:v>
      </x:c>
      <x:c r="N51" s="77" t="n">
        <x:f>LEN(F51)</x:f>
        <x:v>539</x:v>
      </x:c>
      <x:c r="O51" s="77" t="n">
        <x:f>LEN(G51)</x:f>
        <x:v>101</x:v>
      </x:c>
      <x:c r="P51" s="77" t="n">
        <x:f>LEN(H51)</x:f>
        <x:v>0</x:v>
      </x:c>
      <x:c r="Q51" s="77" t="n">
        <x:f>IF(LEN(C51)&gt;0,1,0)+IF(LEN(D51)&gt;0,1,0)+IF(LEN(F51)&gt;0,1,0)+IF(LEN(G51)&gt;0,1,0)+IF(LEN(H51)&gt;0,1,0)+IF(ISNUMBER(I51),1,0)+IF(ISNUMBER(J51),1,0)+IF(ISNUMBER(K51),1,0)+IF(LEN(L51)&gt;0,1,0)</x:f>
        <x:v>8</x:v>
      </x:c>
      <x:c r="R51" s="78" t="n">
        <x:f>Q51/9</x:f>
        <x:v>0.8888888888888888</x:v>
      </x:c>
    </x:row>
    <x:row r="52" ht="72" customHeight="1">
      <x:c r="A52" t="str">
        <x:v>public_0048</x:v>
      </x:c>
      <x:c r="B52" t="str">
        <x:v>B00VQBMJUQ</x:v>
      </x:c>
      <x:c r="C52" s="17" t="str">
        <x:v>Vizari Infinity FG Soccer Cleat (Toddler/Little Kid/Big Kid)</x:v>
      </x:c>
      <x:c r="D52" s="17" t="str">
        <x:v>Clothing, Shoes &amp; Jewelry | Boys | Shoes | Athletic | Soccer</x:v>
      </x:c>
      <x:c r="E52" s="17" t="str">
        <x:v>Soccer</x:v>
      </x:c>
      <x:c r="F52" s="17" t="str">
        <x:v>100% Synthetic | Rubber sole | FEATURES: Infinity style cleats are constructed from durable synthetic materials that are water resistant. Easily adjustable laces allow these shoes to easily form to your foot. | RUGGED OUTSOLE: Our flexible rubber outsoles have a two tone design and feature rugged studs to aid with traction on turf and outdoor fields. | COMFORT: A well-padded collar and footbed make these shoes extremely comfortable. Wear them during long games and practices without discomfort. | BALL CONTROL: The synthetic uppers of our shoes have a slightly textured surface that helps you control the ball more easily. | FUN STYLE: Our Infinity cleats come in fun two-tone color combinations that will add a splash of color to your uniform.</x:v>
      </x:c>
      <x:c r="G52" s="17" t="str">
        <x:v>Is Discontinued By Manufacturer: No | Package Dimensions: 1 x 1 x 1 inches; 4 Ounces | Item model number: Infinity FG | Department: Unisex-child | Date First Available: December 23, 2014 | Manufacturer: Vizari</x:v>
      </x:c>
      <x:c r="H52" s="17" t="str"/>
      <x:c r="I52" s="76" t="n">
        <x:v>29.99</x:v>
      </x:c>
      <x:c r="J52" s="75" t="n">
        <x:v>4.6</x:v>
      </x:c>
      <x:c r="K52" s="77" t="n">
        <x:v>3724</x:v>
      </x:c>
      <x:c r="L52" s="77" t="str">
        <x:v>Vizari</x:v>
      </x:c>
      <x:c r="M52" s="77" t="n">
        <x:f>LEN(C52)</x:f>
        <x:v>60</x:v>
      </x:c>
      <x:c r="N52" s="77" t="n">
        <x:f>LEN(F52)</x:f>
        <x:v>748</x:v>
      </x:c>
      <x:c r="O52" s="77" t="n">
        <x:f>LEN(G52)</x:f>
        <x:v>209</x:v>
      </x:c>
      <x:c r="P52" s="77" t="n">
        <x:f>LEN(H52)</x:f>
        <x:v>0</x:v>
      </x:c>
      <x:c r="Q52" s="77" t="n">
        <x:f>IF(LEN(C52)&gt;0,1,0)+IF(LEN(D52)&gt;0,1,0)+IF(LEN(F52)&gt;0,1,0)+IF(LEN(G52)&gt;0,1,0)+IF(LEN(H52)&gt;0,1,0)+IF(ISNUMBER(I52),1,0)+IF(ISNUMBER(J52),1,0)+IF(ISNUMBER(K52),1,0)+IF(LEN(L52)&gt;0,1,0)</x:f>
        <x:v>8</x:v>
      </x:c>
      <x:c r="R52" s="78" t="n">
        <x:f>Q52/9</x:f>
        <x:v>0.8888888888888888</x:v>
      </x:c>
    </x:row>
    <x:row r="53" ht="72" customHeight="1">
      <x:c r="A53" t="str">
        <x:v>public_0049</x:v>
      </x:c>
      <x:c r="B53" t="str">
        <x:v>B08G4WVYLJ</x:v>
      </x:c>
      <x:c r="C53" s="17" t="str">
        <x:v>Dacomfy Mens Slip On Shoes, Men's Loafers &amp; Slip-ons Leather Walking Shoes for Men, Hand Stitching Comfortable Breathable Brown Black Khaki</x:v>
      </x:c>
      <x:c r="D53" s="17" t="str">
        <x:v>Clothing, Shoes &amp; Jewelry | Men | Shoes | Loafers &amp; Slip-Ons</x:v>
      </x:c>
      <x:c r="E53" s="17" t="str">
        <x:v>Loafers &amp; Slip-Ons</x:v>
      </x:c>
      <x:c r="F53" s="17" t="str">
        <x:v>Rubber sole | 👟BEST MATERIAL.These mens shoes casual slip on has premium microfiber leather upper,soft rubber sole.It's a good choice for outdoor all season. | 👟COMFORTABLE AND BREATHABLE.These lightweight hiking casual shoes for men provides all-day comfy.The breathe lining with a comfortable insole.Having a flexible sole. | 👟EXQUISITE HAND STITCHING.The slip on shoes for men casual are hand stitching work.They are stylish,working driving and walking provides stability,the stitches are firm and not easy to break. | 👟EASY SLIP-ON.Widened toe for more space, and men shoes casual slip on shoes design for easy on/off, super convenience to wear in outdoor and looks simple elegant and stylish. | 👟VERSATILE.We can worn these men slip on shoes with jeans and a T-shirt.Also can worn them with a button-up and blazer.Taking party,working,walking and driving is suitable.</x:v>
      </x:c>
      <x:c r="G53" s="17" t="str">
        <x:v>Department: Mens | Date First Available: August 18, 2020</x:v>
      </x:c>
      <x:c r="H53" s="17" t="str"/>
      <x:c r="I53" s="76" t="n">
        <x:v>49.99</x:v>
      </x:c>
      <x:c r="J53" s="75" t="n">
        <x:v>3.9</x:v>
      </x:c>
      <x:c r="K53" s="77" t="n">
        <x:v>758</x:v>
      </x:c>
      <x:c r="L53" s="77" t="str">
        <x:v>Dacomfy</x:v>
      </x:c>
      <x:c r="M53" s="77" t="n">
        <x:f>LEN(C53)</x:f>
        <x:v>139</x:v>
      </x:c>
      <x:c r="N53" s="77" t="n">
        <x:f>LEN(F53)</x:f>
        <x:v>877</x:v>
      </x:c>
      <x:c r="O53" s="77" t="n">
        <x:f>LEN(G53)</x:f>
        <x:v>56</x:v>
      </x:c>
      <x:c r="P53" s="77" t="n">
        <x:f>LEN(H53)</x:f>
        <x:v>0</x:v>
      </x:c>
      <x:c r="Q53" s="77" t="n">
        <x:f>IF(LEN(C53)&gt;0,1,0)+IF(LEN(D53)&gt;0,1,0)+IF(LEN(F53)&gt;0,1,0)+IF(LEN(G53)&gt;0,1,0)+IF(LEN(H53)&gt;0,1,0)+IF(ISNUMBER(I53),1,0)+IF(ISNUMBER(J53),1,0)+IF(ISNUMBER(K53),1,0)+IF(LEN(L53)&gt;0,1,0)</x:f>
        <x:v>8</x:v>
      </x:c>
      <x:c r="R53" s="78" t="n">
        <x:f>Q53/9</x:f>
        <x:v>0.8888888888888888</x:v>
      </x:c>
    </x:row>
    <x:row r="54" ht="72" customHeight="1">
      <x:c r="A54" t="str">
        <x:v>public_0050</x:v>
      </x:c>
      <x:c r="B54" t="str">
        <x:v>B07BYR6T7W</x:v>
      </x:c>
      <x:c r="C54" s="17" t="str">
        <x:v>EverBoots Mens Work Boots for Men, Leather EverFit Lightweight Comfort Boot, Anti Slip &amp; Shock Absorption, Soft Oil Grain, Goodyear Welt, Industrial Construction, Roofing, Electrician Moc Toe Wedge</x:v>
      </x:c>
      <x:c r="D54" s="17" t="str">
        <x:v>Clothing, Shoes &amp; Jewelry | Men | Uniforms, Work &amp; Safety | Shoes | Work &amp; Utility | Industrial &amp; Construction Boots</x:v>
      </x:c>
      <x:c r="E54" s="17" t="str">
        <x:v>Industrial &amp; Construction Boots</x:v>
      </x:c>
      <x:c r="F54" s="17" t="str">
        <x:v>100% Leather | EVA/Rubber sole | Shaft measures approximately 6inch from arch | Boot opening measures approximately 14 around | Anti-Fatigue All Day Comfort - Perfect for anyone standing or working long hours. Easily remove the insoles to find your right fit. Crafted with steel shank to reduce and alleviate pressure on your foot when in use. Suitable for stairs or ladders. | Stylish &amp; Durable - 2mm thick premium comfortable and water-resistant leather that lessens superficial tears and damage. Built for work but perfect for any occasion as these can be dressed up or dress down. Fit for garage working or contractors. | Ultimate Safety Support - Our thick outsole is designed to prevent sharp objects from piercing your body while providing stable movement on uneven surfaces. Great for recreational outdoor hiking and composite indoor projects in warehouse and factory. | Easy to Wear - EverBoots men's shoes are designed for immediate pain-free comfort and can be worn straight out of the box, with no need to break them in. Features a backloop for easy on and off without having to bend down or fuss with zippers. | Tough As Ever 90 Day Guarantee - Trust in the reliability of EverBoots. You can count on the premium quality service and durability of our footwear. If you have any daily performance concerns within the first 90 days of use, we are here to help.</x:v>
      </x:c>
      <x:c r="G54" s="17" t="str">
        <x:v>Package Dimensions: 14.33 x 11.61 x 5.31 inches; 3.62 Pounds | Department: mens | Date First Available: April 5, 2018</x:v>
      </x:c>
      <x:c r="H54" s="17" t="str"/>
      <x:c r="I54" s="76" t="n">
        <x:v>87.99</x:v>
      </x:c>
      <x:c r="J54" s="75" t="n">
        <x:v>4.2</x:v>
      </x:c>
      <x:c r="K54" s="77" t="n">
        <x:v>3350</x:v>
      </x:c>
      <x:c r="L54" s="77" t="str">
        <x:v>EVER BOOTS</x:v>
      </x:c>
      <x:c r="M54" s="77" t="n">
        <x:f>LEN(C54)</x:f>
        <x:v>197</x:v>
      </x:c>
      <x:c r="N54" s="77" t="n">
        <x:f>LEN(F54)</x:f>
        <x:v>1370</x:v>
      </x:c>
      <x:c r="O54" s="77" t="n">
        <x:f>LEN(G54)</x:f>
        <x:v>117</x:v>
      </x:c>
      <x:c r="P54" s="77" t="n">
        <x:f>LEN(H54)</x:f>
        <x:v>0</x:v>
      </x:c>
      <x:c r="Q54" s="77" t="n">
        <x:f>IF(LEN(C54)&gt;0,1,0)+IF(LEN(D54)&gt;0,1,0)+IF(LEN(F54)&gt;0,1,0)+IF(LEN(G54)&gt;0,1,0)+IF(LEN(H54)&gt;0,1,0)+IF(ISNUMBER(I54),1,0)+IF(ISNUMBER(J54),1,0)+IF(ISNUMBER(K54),1,0)+IF(LEN(L54)&gt;0,1,0)</x:f>
        <x:v>8</x:v>
      </x:c>
      <x:c r="R54" s="78" t="n">
        <x:f>Q54/9</x:f>
        <x:v>0.8888888888888888</x:v>
      </x:c>
    </x:row>
    <x:row r="55" ht="72" customHeight="1">
      <x:c r="A55" t="str">
        <x:v>public_0051</x:v>
      </x:c>
      <x:c r="B55" t="str">
        <x:v>B07N1624C5</x:v>
      </x:c>
      <x:c r="C55" s="17" t="str">
        <x:v>Skechers Women's Go Walk 5-True Sneaker</x:v>
      </x:c>
      <x:c r="D55" s="17" t="str">
        <x:v>Clothing, Shoes &amp; Jewelry | Women | Shoes | Athletic | Walking</x:v>
      </x:c>
      <x:c r="E55" s="17" t="str">
        <x:v>Walking</x:v>
      </x:c>
      <x:c r="F55" s="17" t="str">
        <x:v>Rubber sole | Skechers Go Walk 5-True shoe is designed with high-rebound comfort pillar technology underfoot that reacts to your every step for the ultimate comfort | Our Go Walk 5-True shoe is made with Skechers Air Cooled Goga Mat a breathable insole that provides high-rebound cushioning | Our Skechers shoe provides a dual density outsole for added stability and support | This shoe is a quick-fit portal on heel for easy access | Our Skechers shoe provides extra cushioned comfort heel and collar panels</x:v>
      </x:c>
      <x:c r="G55" s="17" t="str">
        <x:v>Product Dimensions: 10 x 15 x 6 inches; 7 Ounces | Item model number: 15905 | Department: womens | Date First Available: February 18, 2019 | Manufacturer: Skechers</x:v>
      </x:c>
      <x:c r="H55" s="17" t="str">
        <x:v>Heathered Mesh Lace Up</x:v>
      </x:c>
      <x:c r="I55" s="76" t="n">
        <x:v>56.95</x:v>
      </x:c>
      <x:c r="J55" s="75" t="n">
        <x:v>4.6</x:v>
      </x:c>
      <x:c r="K55" s="77" t="n">
        <x:v>7078</x:v>
      </x:c>
      <x:c r="L55" s="77" t="str">
        <x:v>Skechers</x:v>
      </x:c>
      <x:c r="M55" s="77" t="n">
        <x:f>LEN(C55)</x:f>
        <x:v>39</x:v>
      </x:c>
      <x:c r="N55" s="77" t="n">
        <x:f>LEN(F55)</x:f>
        <x:v>508</x:v>
      </x:c>
      <x:c r="O55" s="77" t="n">
        <x:f>LEN(G55)</x:f>
        <x:v>163</x:v>
      </x:c>
      <x:c r="P55" s="77" t="n">
        <x:f>LEN(H55)</x:f>
        <x:v>22</x:v>
      </x:c>
      <x:c r="Q55" s="77" t="n">
        <x:f>IF(LEN(C55)&gt;0,1,0)+IF(LEN(D55)&gt;0,1,0)+IF(LEN(F55)&gt;0,1,0)+IF(LEN(G55)&gt;0,1,0)+IF(LEN(H55)&gt;0,1,0)+IF(ISNUMBER(I55),1,0)+IF(ISNUMBER(J55),1,0)+IF(ISNUMBER(K55),1,0)+IF(LEN(L55)&gt;0,1,0)</x:f>
        <x:v>9</x:v>
      </x:c>
      <x:c r="R55" s="78" t="n">
        <x:f>Q55/9</x:f>
        <x:v>1</x:v>
      </x:c>
    </x:row>
    <x:row r="56" ht="72" customHeight="1">
      <x:c r="A56" t="str">
        <x:v>public_0052</x:v>
      </x:c>
      <x:c r="B56" t="str">
        <x:v>B09G2ZNZY4</x:v>
      </x:c>
      <x:c r="C56" s="17" t="str">
        <x:v>Grlasen Women's Zipper Summer Pleated Button Short Sleeve T-Shirt Summer V-Neck Solid Color Casual top</x:v>
      </x:c>
      <x:c r="D56" s="17" t="str">
        <x:v>Clothing, Shoes &amp; Jewelry | Women | Clothing | Tops, Tees &amp; Blouses | Tunics</x:v>
      </x:c>
      <x:c r="E56" s="17" t="str">
        <x:v>Tunics</x:v>
      </x:c>
      <x:c r="F56" s="17" t="str">
        <x:v>60% polyester | Button closure | Hand Wash Only | Material: 60% Polyester, 35% Rayon, 5% Spandex. It's very soft and breathable. It's perfect for everyday wear | Features:Pleated T-shirts , solid short sleeves, button design, V-neck, very slim version makes you look very slim, better outlines your perfect waistline | Occasion: any occasion, daily, travel, party, work, street, etc. can be worn in spring, summer, autumn and winter | Matching: this simple top can be matched with skinny jeans, skirt, tights, jeans shorts, casual pants, slacks, sandals, high heels, boots and necklaces to create a proper look! | Washing Tip: Hand wash or gentle machine wash in cold water/Hang or line dry/ Do not bleach</x:v>
      </x:c>
      <x:c r="G56" s="17" t="str">
        <x:v>Package Dimensions: 11.42 x 8.66 x 0.7 inches; 5.28 Ounces | Department: Womens | Date First Available: September 13, 2021</x:v>
      </x:c>
      <x:c r="H56" s="17" t="str"/>
      <x:c r="I56" s="76" t="n">
        <x:v>24.98</x:v>
      </x:c>
      <x:c r="J56" s="75" t="n">
        <x:v>4.1</x:v>
      </x:c>
      <x:c r="K56" s="77" t="n">
        <x:v>2182</x:v>
      </x:c>
      <x:c r="L56" s="77" t="str">
        <x:v>Grlasen</x:v>
      </x:c>
      <x:c r="M56" s="77" t="n">
        <x:f>LEN(C56)</x:f>
        <x:v>102</x:v>
      </x:c>
      <x:c r="N56" s="77" t="n">
        <x:f>LEN(F56)</x:f>
        <x:v>705</x:v>
      </x:c>
      <x:c r="O56" s="77" t="n">
        <x:f>LEN(G56)</x:f>
        <x:v>122</x:v>
      </x:c>
      <x:c r="P56" s="77" t="n">
        <x:f>LEN(H56)</x:f>
        <x:v>0</x:v>
      </x:c>
      <x:c r="Q56" s="77" t="n">
        <x:f>IF(LEN(C56)&gt;0,1,0)+IF(LEN(D56)&gt;0,1,0)+IF(LEN(F56)&gt;0,1,0)+IF(LEN(G56)&gt;0,1,0)+IF(LEN(H56)&gt;0,1,0)+IF(ISNUMBER(I56),1,0)+IF(ISNUMBER(J56),1,0)+IF(ISNUMBER(K56),1,0)+IF(LEN(L56)&gt;0,1,0)</x:f>
        <x:v>8</x:v>
      </x:c>
      <x:c r="R56" s="78" t="n">
        <x:f>Q56/9</x:f>
        <x:v>0.8888888888888888</x:v>
      </x:c>
    </x:row>
    <x:row r="57" ht="72" customHeight="1">
      <x:c r="A57" t="str">
        <x:v>public_0053</x:v>
      </x:c>
      <x:c r="B57" t="str">
        <x:v>B07TZK3GZK</x:v>
      </x:c>
      <x:c r="C57" s="17" t="str">
        <x:v>Passport Holder Cover Travel RFID Blocking Passport Cover Rose Gold Cute Flowers Passport Wallet with Elastic Band for Women</x:v>
      </x:c>
      <x:c r="D57" s="17" t="str">
        <x:v>Clothing, Shoes &amp; Jewelry | Luggage &amp; Travel Gear | Travel Accessories | Passport Covers</x:v>
      </x:c>
      <x:c r="E57" s="17" t="str">
        <x:v>Passport Covers</x:v>
      </x:c>
      <x:c r="F57" s="17" t="str">
        <x:v>Leather lining | Dry Cloth Clean | ★【Multifunction Passport Cover】:Coco Rossi Multifunction Passport holder cover for women,features 1 passport holder,4 card slots,1 cash holder (also checkbook holder ) and 1 boarding pass holder.ideal gift choice, luxury style with contrast color matching design; Smooth and durable touch, provides you an amazing touch feeling. | ★【Original Unique Passport Holder】: This passport holder was designed by Coco Rossi,Original pattern is match your clothes and bags,fashion stylish style,This passport holder cover with high quality metal accessories，specially designed for women | ★【Safe and Protected Passport Holder】:This travel passport holder with RFID blocking.Block RFID readers from scanning your cards information. Perfectly protect your credit cards,passport,id cards.It is easy and convienient to take it everywhere, travel,casual,outing,weekend hiking,shopping,daily use etc. | ★【High Quality Material】:Our passport holder cover is designed with premium and high-quality PU Leather.Perfect gift for women, lady, girls or anyone who loves it; Suitable for Valentine's day, birthday, Mother's day, Christmas and other holiday gifts. | ★【Service for Passport Wallet】: We are committed to creating exquisite services, any questions, please contact our customer service, we will solve the problem for you in 24 hours.If your card holder don’t perform to your satisfaction, return it to us within 30 DAYS with proof of purchase for a hassle-free refund, exchange, or replacement.</x:v>
      </x:c>
      <x:c r="G57" s="17" t="str">
        <x:v>Brand: Coco Rossi | Color: Black | Material: Faux Leather | Style: Casual | Special Feature: Rfid Blocking,Slim | Department: Womens | Date First Available: July 8, 2019</x:v>
      </x:c>
      <x:c r="H57" s="17" t="str">
        <x:v>Product Information | 1. Product Name: Passport Holder Cover / Credit Card Holder / Travel Wallet  2. Product Color: As the Picture Shown  3. Subject Targets: Women &amp; Girls &amp; Ladies  4. Product Material: Made of premium synthetic leather  5. Applicable Occasion: Party,Dating,Travel,Casual,shopping,Daily Use etc. | ▸Why You Will Choose the slim Passport Wallet?◂ | 1. [Cute Flowers and glitter Design] : Solid color with rose flowers pattern,makes you look fashionable and attractive.  2. [Passport Case Design] : features 4 card slots, 1 cash holder (also checkbook holder ) and 1 boarding pass holder.This cute passport cover with Elastic Band; 3. [Good Touch Feel] : Coated protective oil makes surface glossy, super good touch feel. Scratch-resistant and anti-fingerprint.  4. [Multi Card Design] : Your cards/cash/passport/can be well organized in this powerful passport case! Completely meet your holiday and traveling demands. ;  5. [Humanized Design] : Easy to take card out, compatible best gift for friends,diversified choices by advanced materials,Ideal gift choice, luxury style with contrast color matching design; | ▸Package Includes◂ | 1. 1x Passport holder cover Only  2. Please Note: Accessories ONLY, Card not included</x:v>
      </x:c>
      <x:c r="I57" s="76" t="n">
        <x:v>10.99</x:v>
      </x:c>
      <x:c r="J57" s="75" t="n">
        <x:v>4.7</x:v>
      </x:c>
      <x:c r="K57" s="77" t="n">
        <x:v>3989</x:v>
      </x:c>
      <x:c r="L57" s="77" t="str">
        <x:v>Coco Rossi</x:v>
      </x:c>
      <x:c r="M57" s="77" t="n">
        <x:f>LEN(C57)</x:f>
        <x:v>124</x:v>
      </x:c>
      <x:c r="N57" s="77" t="n">
        <x:f>LEN(F57)</x:f>
        <x:v>1517</x:v>
      </x:c>
      <x:c r="O57" s="77" t="n">
        <x:f>LEN(G57)</x:f>
        <x:v>169</x:v>
      </x:c>
      <x:c r="P57" s="77" t="n">
        <x:f>LEN(H57)</x:f>
        <x:v>1237</x:v>
      </x:c>
      <x:c r="Q57" s="77" t="n">
        <x:f>IF(LEN(C57)&gt;0,1,0)+IF(LEN(D57)&gt;0,1,0)+IF(LEN(F57)&gt;0,1,0)+IF(LEN(G57)&gt;0,1,0)+IF(LEN(H57)&gt;0,1,0)+IF(ISNUMBER(I57),1,0)+IF(ISNUMBER(J57),1,0)+IF(ISNUMBER(K57),1,0)+IF(LEN(L57)&gt;0,1,0)</x:f>
        <x:v>9</x:v>
      </x:c>
      <x:c r="R57" s="78" t="n">
        <x:f>Q57/9</x:f>
        <x:v>1</x:v>
      </x:c>
    </x:row>
    <x:row r="58" ht="72" customHeight="1">
      <x:c r="A58" t="str">
        <x:v>public_0054</x:v>
      </x:c>
      <x:c r="B58" t="str">
        <x:v>B08PP1ZJQ5</x:v>
      </x:c>
      <x:c r="C58" s="17" t="str">
        <x:v>Verdusa Women's Basic Casual Long Sleeve Round Neck Crop Top Pullover Sweatshirt</x:v>
      </x:c>
      <x:c r="D58" s="17" t="str">
        <x:v>Clothing, Shoes &amp; Jewelry | Women | Clothing | Fashion Hoodies &amp; Sweatshirts</x:v>
      </x:c>
      <x:c r="E58" s="17" t="str">
        <x:v>Fashion Hoodies &amp; Sweatshirts</x:v>
      </x:c>
      <x:c r="F58" s="17" t="str">
        <x:v>Soft Fabric | Pull On closure | Machine Wash | Soft fabric has some stretch | Crew Neck, Drop Shoulder, Crop Length, Regular Fit | Perfect for casual dailywear, sport, going out, workout in spring and fall | Model Measurements: Height: 68.5 inch, Bust: 29.9 inch, Waist: 23.6 inch, Hips: 37 inch. Wear: S | Please refer to size guide carefully before purchasing at below description</x:v>
      </x:c>
      <x:c r="G58" s="17" t="str">
        <x:v>Department: Womens | Date First Available: December 4, 2020</x:v>
      </x:c>
      <x:c r="H58" s="17" t="str"/>
      <x:c r="I58" s="76" t="n">
        <x:v>19.99</x:v>
      </x:c>
      <x:c r="J58" s="75" t="n">
        <x:v>4</x:v>
      </x:c>
      <x:c r="K58" s="77" t="n">
        <x:v>132</x:v>
      </x:c>
      <x:c r="L58" s="77" t="str">
        <x:v>Verdusa</x:v>
      </x:c>
      <x:c r="M58" s="77" t="n">
        <x:f>LEN(C58)</x:f>
        <x:v>80</x:v>
      </x:c>
      <x:c r="N58" s="77" t="n">
        <x:f>LEN(F58)</x:f>
        <x:v>382</x:v>
      </x:c>
      <x:c r="O58" s="77" t="n">
        <x:f>LEN(G58)</x:f>
        <x:v>59</x:v>
      </x:c>
      <x:c r="P58" s="77" t="n">
        <x:f>LEN(H58)</x:f>
        <x:v>0</x:v>
      </x:c>
      <x:c r="Q58" s="77" t="n">
        <x:f>IF(LEN(C58)&gt;0,1,0)+IF(LEN(D58)&gt;0,1,0)+IF(LEN(F58)&gt;0,1,0)+IF(LEN(G58)&gt;0,1,0)+IF(LEN(H58)&gt;0,1,0)+IF(ISNUMBER(I58),1,0)+IF(ISNUMBER(J58),1,0)+IF(ISNUMBER(K58),1,0)+IF(LEN(L58)&gt;0,1,0)</x:f>
        <x:v>8</x:v>
      </x:c>
      <x:c r="R58" s="78" t="n">
        <x:f>Q58/9</x:f>
        <x:v>0.8888888888888888</x:v>
      </x:c>
    </x:row>
    <x:row r="59" ht="72" customHeight="1">
      <x:c r="A59" t="str">
        <x:v>public_0055</x:v>
      </x:c>
      <x:c r="B59" t="str">
        <x:v>B0C1TDJ9HZ</x:v>
      </x:c>
      <x:c r="C59" s="17" t="str">
        <x:v>Crocs Unisex-Adult Baya Clogs, Neo Mint, 7 Women/5 Men</x:v>
      </x:c>
      <x:c r="D59" s="17" t="str">
        <x:v>Clothing, Shoes &amp; Jewelry | Women | Shoes | Mules &amp; Clogs</x:v>
      </x:c>
      <x:c r="E59" s="17" t="str">
        <x:v>Mules &amp; Clogs</x:v>
      </x:c>
      <x:c r="F59" s="17" t="str">
        <x:v>100% Croslite Foam | Imported | Ethylene Vinyl Acetate sole | Shaft measures approximately 1" from arch | Heel measures approximately 0.66" | CONTOURED COMFORT: Make a comfy statement with the Crocs Baya Clogs; a twist on the signature Crocs Classic Clogs. They provide additional ventilation and durability, making them the Crocs women and men need | LIGHTWEIGHT: These Crocs for men and women are incredibly lightweight, water-friendly and buoyant. The Croslite foam offers an Iconic Crocs Comfort that is perfect for relaxing at home or strolling downtown | WHAT SIZE SHOULD I BUY?: These shoes offer a roomy fit and we recommend ordering a size down to the next largest whole size | VENTILATION AND DURABILITY: These innovative Crocs clogs for women and men offer a durable build with advanced ventilation and breathability. New design helps drain water and debris when kickin' around in wet conditions | MAKE THEM YOUR OWN: These women's and men's Crocs offer a roomy and generous fit that is sure to match your foot. The Crocs clogs can be customized with Jibbitz charms to reflect your own personal flair</x:v>
      </x:c>
      <x:c r="G59" s="17" t="str">
        <x:v>Is Discontinued By Manufacturer: No | Package Dimensions: 11.73 x 9.21 x 4.17 inches; 12 Pounds | Item model number: 10126 | Department: Unisex-adult | Date First Available: December 6, 2020 | Manufacturer: Crocs | Country of Origin: Indonesia</x:v>
      </x:c>
      <x:c r="H59" s="17" t="str">
        <x:v>Make a comfy Crocs statement with the Crocs Baya Clog. A twist on the signature Classic Clog, it features the lightweight, durable build you love with advanced ventilation for breathability and to help drain water and debris.</x:v>
      </x:c>
      <x:c r="I59" s="76" t="n">
        <x:v>30.93</x:v>
      </x:c>
      <x:c r="J59" s="75" t="n">
        <x:v>4.7</x:v>
      </x:c>
      <x:c r="K59" s="77" t="n">
        <x:v>282</x:v>
      </x:c>
      <x:c r="L59" s="77" t="str">
        <x:v>Crocs</x:v>
      </x:c>
      <x:c r="M59" s="77" t="n">
        <x:f>LEN(C59)</x:f>
        <x:v>54</x:v>
      </x:c>
      <x:c r="N59" s="77" t="n">
        <x:f>LEN(F59)</x:f>
        <x:v>1111</x:v>
      </x:c>
      <x:c r="O59" s="77" t="n">
        <x:f>LEN(G59)</x:f>
        <x:v>243</x:v>
      </x:c>
      <x:c r="P59" s="77" t="n">
        <x:f>LEN(H59)</x:f>
        <x:v>225</x:v>
      </x:c>
      <x:c r="Q59" s="77" t="n">
        <x:f>IF(LEN(C59)&gt;0,1,0)+IF(LEN(D59)&gt;0,1,0)+IF(LEN(F59)&gt;0,1,0)+IF(LEN(G59)&gt;0,1,0)+IF(LEN(H59)&gt;0,1,0)+IF(ISNUMBER(I59),1,0)+IF(ISNUMBER(J59),1,0)+IF(ISNUMBER(K59),1,0)+IF(LEN(L59)&gt;0,1,0)</x:f>
        <x:v>9</x:v>
      </x:c>
      <x:c r="R59" s="78" t="n">
        <x:f>Q59/9</x:f>
        <x:v>1</x:v>
      </x:c>
    </x:row>
    <x:row r="60" ht="72" customHeight="1">
      <x:c r="A60" t="str">
        <x:v>public_0056</x:v>
      </x:c>
      <x:c r="B60" t="str">
        <x:v>B0B2RF64YD</x:v>
      </x:c>
      <x:c r="C60" s="17" t="str">
        <x:v>Amazon Essentials Men's Short-Sleeve Crewneck T-Shirt, Pack of 2</x:v>
      </x:c>
      <x:c r="D60" s="17" t="str">
        <x:v>Clothing, Shoes &amp; Jewelry | Men | Clothing | Shirts | T-Shirts</x:v>
      </x:c>
      <x:c r="E60" s="17" t="str">
        <x:v>T-Shirts</x:v>
      </x:c>
      <x:c r="F60" s="17" t="str">
        <x:v>Solids: 100% Cotton; Heathers: 60% Cotton, 40% Polyester | Imported | No Closure closure | Machine Wash | Two-pack of classic regular-fit tees featuring all-cotton construction, a crew neckline and short-sleeves for comfort | Everyday made better: we listen to customer feedback and fine-tune every detail to ensure quality, fit, and comfort | Model is 6'1" and wearing size Medium</x:v>
      </x:c>
      <x:c r="G60" s="17" t="str">
        <x:v>Package Dimensions: 13.23 x 10.12 x 1.69 inches; 15.2 Ounces | Item model number: S17AE45000 | Department: Mens | Date First Available: May 31, 2022 | Manufacturer: Amazon Essentials</x:v>
      </x:c>
      <x:c r="H60" s="17" t="str">
        <x:v>An Amazon brand - Two-pack of tees in a classic, loose-fit featuring all-cotton construction and crew neckline</x:v>
      </x:c>
      <x:c r="I60" s="76" t="str"/>
      <x:c r="J60" s="75" t="n">
        <x:v>4.2</x:v>
      </x:c>
      <x:c r="K60" s="77" t="n">
        <x:v>22305</x:v>
      </x:c>
      <x:c r="L60" s="77" t="str">
        <x:v>Amazon Essentials</x:v>
      </x:c>
      <x:c r="M60" s="77" t="n">
        <x:f>LEN(C60)</x:f>
        <x:v>64</x:v>
      </x:c>
      <x:c r="N60" s="77" t="n">
        <x:f>LEN(F60)</x:f>
        <x:v>381</x:v>
      </x:c>
      <x:c r="O60" s="77" t="n">
        <x:f>LEN(G60)</x:f>
        <x:v>182</x:v>
      </x:c>
      <x:c r="P60" s="77" t="n">
        <x:f>LEN(H60)</x:f>
        <x:v>110</x:v>
      </x:c>
      <x:c r="Q60" s="77" t="n">
        <x:f>IF(LEN(C60)&gt;0,1,0)+IF(LEN(D60)&gt;0,1,0)+IF(LEN(F60)&gt;0,1,0)+IF(LEN(G60)&gt;0,1,0)+IF(LEN(H60)&gt;0,1,0)+IF(ISNUMBER(I60),1,0)+IF(ISNUMBER(J60),1,0)+IF(ISNUMBER(K60),1,0)+IF(LEN(L60)&gt;0,1,0)</x:f>
        <x:v>8</x:v>
      </x:c>
      <x:c r="R60" s="78" t="n">
        <x:f>Q60/9</x:f>
        <x:v>0.8888888888888888</x:v>
      </x:c>
    </x:row>
    <x:row r="61" ht="72" customHeight="1">
      <x:c r="A61" t="str">
        <x:v>public_0057</x:v>
      </x:c>
      <x:c r="B61" t="str">
        <x:v>B085RX192V</x:v>
      </x:c>
      <x:c r="C61" s="17" t="str">
        <x:v>Crocs Women’s Freesail Clog</x:v>
      </x:c>
      <x:c r="D61" s="17" t="str">
        <x:v>Clothing, Shoes &amp; Jewelry | Women | Shoes | Mules &amp; Clogs</x:v>
      </x:c>
      <x:c r="E61" s="17" t="str">
        <x:v>Mules &amp; Clogs</x:v>
      </x:c>
      <x:c r="F61" s="17" t="str">
        <x:v>100% Croslite | Imported | Ethylene Vinyl Acetate sole | Shaft measures approximately 0#inches from arch | Heel measures approximately 0.8" | COMFORTABLE MULE FOR WOMEN: With a color and style for every personality, the Freesail Clogs are the Crocs women need to start a comfort revolution around the world | LIGHTWEIGHT AND FUN: The Crocs for women feature lightweight Iconic Crocs Comfort. Ventilation ports add breathability and help shed water and debris quickly | WHAT SIZE SHOULD I BUY?: These shoes offer a relaxed fit and we recommend ordering a size down to the next largest whole size | DESIGNED TO FIT: These slip-on clogs are easy to take on and off, while being extremely durable. These Crocs can be customized with Jibbitz charms to reflect your own personal flair | EASY TO CLEAN: The Crocs Freesail Clogs are not only comfortable but also easy to clean just using soap and water and allowing for a quick dry</x:v>
      </x:c>
      <x:c r="G61" s="17" t="str">
        <x:v>Item Weight: 4 Ounces | Item model number: 206216 | Department: Womens | Date First Available: May 4, 2016 | Manufacturer: Crocs</x:v>
      </x:c>
      <x:c r="H61" s="17" t="str">
        <x:v>Elegant floral graphics croslite foam construction for support and cushioning customizable with jibbitz charms iconic Crocs comfort: lightweight. Flexible. 360-Degree comfort.</x:v>
      </x:c>
      <x:c r="I61" s="76" t="n">
        <x:v>49.95</x:v>
      </x:c>
      <x:c r="J61" s="75" t="n">
        <x:v>4.5</x:v>
      </x:c>
      <x:c r="K61" s="77" t="n">
        <x:v>9196</x:v>
      </x:c>
      <x:c r="L61" s="77" t="str">
        <x:v>Crocs</x:v>
      </x:c>
      <x:c r="M61" s="77" t="n">
        <x:f>LEN(C61)</x:f>
        <x:v>27</x:v>
      </x:c>
      <x:c r="N61" s="77" t="n">
        <x:f>LEN(F61)</x:f>
        <x:v>923</x:v>
      </x:c>
      <x:c r="O61" s="77" t="n">
        <x:f>LEN(G61)</x:f>
        <x:v>128</x:v>
      </x:c>
      <x:c r="P61" s="77" t="n">
        <x:f>LEN(H61)</x:f>
        <x:v>175</x:v>
      </x:c>
      <x:c r="Q61" s="77" t="n">
        <x:f>IF(LEN(C61)&gt;0,1,0)+IF(LEN(D61)&gt;0,1,0)+IF(LEN(F61)&gt;0,1,0)+IF(LEN(G61)&gt;0,1,0)+IF(LEN(H61)&gt;0,1,0)+IF(ISNUMBER(I61),1,0)+IF(ISNUMBER(J61),1,0)+IF(ISNUMBER(K61),1,0)+IF(LEN(L61)&gt;0,1,0)</x:f>
        <x:v>9</x:v>
      </x:c>
      <x:c r="R61" s="78" t="n">
        <x:f>Q61/9</x:f>
        <x:v>1</x:v>
      </x:c>
    </x:row>
    <x:row r="62" ht="72" customHeight="1">
      <x:c r="A62" t="str">
        <x:v>public_0058</x:v>
      </x:c>
      <x:c r="B62" t="str">
        <x:v>B08L83YQTZ</x:v>
      </x:c>
      <x:c r="C62" s="17" t="str">
        <x:v>JTANIB Women Packable Rain Jacket Waterproof Lightweight Raincoat Hooded for Hiking Outdoor Travel</x:v>
      </x:c>
      <x:c r="D62" s="17" t="str">
        <x:v>Clothing, Shoes &amp; Jewelry | Women | Clothing | Coats, Jackets &amp; Vests | Trench, Rain &amp; Anoraks | Raincoats</x:v>
      </x:c>
      <x:c r="E62" s="17" t="str">
        <x:v>Raincoats</x:v>
      </x:c>
      <x:c r="F62" s="17" t="str">
        <x:v>100% Polyester | Imported | Zipper closure | 【EFFORTLESS STORAGE】: Simple folding and fit easily into the storage bag, the rain jacket is lightweight only 0.33lb, this packable rain jacket easily carried on the back or in your travel bag then ready to go, takes up no space at all. Perfect for those long-distance hiking. | 【PROFESSIONAL SUNSCREEN】: Wind, rain, or heat won't ruin your travelling experience with our raincoat! When you go outdoors, professional UV resistant fabric helps block harmful ultraviolet rays, with a blocking rate of up to 99.95%, constantly protecting your skin health. | 【ENHANCED WATERPROOF】：Whether it's rainy or foggy, the newly upgraded waterproof rain jacket can effectively block the penetration of water molecules and quickly dry out after wind and rain. | 【PROTABLE DESIGN】：With a big hooded hat design, you don’t need to worry about strong winds at night, pull the rope easily to protect your head while standing in the wind. | 【MUTI COLOR&amp;SCENE USE】: Please bring our windbreaker when riding a mountain. Multi color is easier to detect and protect yourself in extremely dangerous situations.</x:v>
      </x:c>
      <x:c r="G62" s="17" t="str">
        <x:v>Package Dimensions: 15.75 x 12.99 x 1.18 inches; 8.82 Ounces | Department: womens | Date First Available: October 15, 2020</x:v>
      </x:c>
      <x:c r="H62" s="17" t="str"/>
      <x:c r="I62" s="76" t="n">
        <x:v>31.99</x:v>
      </x:c>
      <x:c r="J62" s="75" t="n">
        <x:v>4.3</x:v>
      </x:c>
      <x:c r="K62" s="77" t="n">
        <x:v>1032</x:v>
      </x:c>
      <x:c r="L62" s="77" t="str">
        <x:v>JTANIB</x:v>
      </x:c>
      <x:c r="M62" s="77" t="n">
        <x:f>LEN(C62)</x:f>
        <x:v>98</x:v>
      </x:c>
      <x:c r="N62" s="77" t="n">
        <x:f>LEN(F62)</x:f>
        <x:v>1130</x:v>
      </x:c>
      <x:c r="O62" s="77" t="n">
        <x:f>LEN(G62)</x:f>
        <x:v>122</x:v>
      </x:c>
      <x:c r="P62" s="77" t="n">
        <x:f>LEN(H62)</x:f>
        <x:v>0</x:v>
      </x:c>
      <x:c r="Q62" s="77" t="n">
        <x:f>IF(LEN(C62)&gt;0,1,0)+IF(LEN(D62)&gt;0,1,0)+IF(LEN(F62)&gt;0,1,0)+IF(LEN(G62)&gt;0,1,0)+IF(LEN(H62)&gt;0,1,0)+IF(ISNUMBER(I62),1,0)+IF(ISNUMBER(J62),1,0)+IF(ISNUMBER(K62),1,0)+IF(LEN(L62)&gt;0,1,0)</x:f>
        <x:v>8</x:v>
      </x:c>
      <x:c r="R62" s="78" t="n">
        <x:f>Q62/9</x:f>
        <x:v>0.8888888888888888</x:v>
      </x:c>
    </x:row>
    <x:row r="63" ht="72" customHeight="1">
      <x:c r="A63" t="str">
        <x:v>public_0059</x:v>
      </x:c>
      <x:c r="B63" t="str">
        <x:v>B01H6DGA16</x:v>
      </x:c>
      <x:c r="C63" s="17" t="str">
        <x:v>Supplim Women's Body Shaper Waist Cincher Underbust Corset Bodysuit Shapewear</x:v>
      </x:c>
      <x:c r="D63" s="17" t="str">
        <x:v>Clothing, Shoes &amp; Jewelry | Women | Clothing | Lingerie, Sleep &amp; Lounge | Lingerie | Shapewear | Bodysuits</x:v>
      </x:c>
      <x:c r="E63" s="17" t="str">
        <x:v>Bodysuits</x:v>
      </x:c>
      <x:c r="F63" s="17" t="str">
        <x:v>62.4% Nylon 37.6% Spandex | Imported | Pull On closure | Hand Wash Only | MEASURE WAISTLINE and CHOOSE BEST SIZE - Fupa control shapewear runs samller,refer to left Size Chart Picture and measure waistline(1 inch above navel),we advise size up if you are currently between 2 sizes. For any confusion, please contact us at once &amp; we are always happy to serve you. | BREATHABLE &amp; COMFORTABLE SHAPEWEAR - This body shaper is made of high-quality Polyamide + Spandex and sexy lace with strong elasticity for all day wearing; double-layer fabrics around midsection design help to flatten your tummy,reduce your waistline and suck your stomach in with moderate compression,give you a smoother and emphasize you're natural curves. | INVISIBLE COMPRESSION SHAPEWEAR - Seamless shapewear for women tummy control, 360 degree fajas bodysuit trim waist compress belly and lift the butt, seamless handicraf make it invisible under your daily outfits with no panty lines, give you a smoother and slimmer look immediately. | 🩱 U-SHAPE OPEN BUST BODYSUITS - The U-type underbust corset push up breast effectively, allow you wear your favorite bra and makes your breast appealing and more erect. Adjustable wide straps of this faja bodysuit are with non-slip design, high elasticity make it snug to wear, firm control the loose fat around your armpits and back. | CONVENIENT USE &amp; BUTT LIFTER SHAPEWEAR - The buttock part of this firm control shapewear help tighten our bottom and enhance hip abundant. It creates a natural lift to your hips, flatters any body type and gives you the sexy curve you want, making your butts look bigger and sexier. The exclusive open crotch design in bottom makes it more comfortable and simple to go to the bathroom without having to remove body shaper. | APPLICABLE CROWD &amp; OCCASIONS - This fajas colombianas shapewear bodysuit could be as a waist trainer, flatten abdomen,reduce waistline,hide unwanted bulges,supostpartum recovery, improve posture.Also for everyone slimming abdomen tuck bodysuit can be used during working, workout sports, fitness excise, formal occasions, wedding, dating, party, daily life, expedite fat burn while exercise, to loss weight and keep healthy, gives you a perfect feminine figure.</x:v>
      </x:c>
      <x:c r="G63" s="17" t="str">
        <x:v>Department: Womens | Date First Available: June 17, 2016</x:v>
      </x:c>
      <x:c r="H63" s="17" t="str"/>
      <x:c r="I63" s="76" t="str"/>
      <x:c r="J63" s="75" t="n">
        <x:v>4</x:v>
      </x:c>
      <x:c r="K63" s="77" t="n">
        <x:v>4781</x:v>
      </x:c>
      <x:c r="L63" s="77" t="str">
        <x:v>Supplim</x:v>
      </x:c>
      <x:c r="M63" s="77" t="n">
        <x:f>LEN(C63)</x:f>
        <x:v>77</x:v>
      </x:c>
      <x:c r="N63" s="77" t="n">
        <x:f>LEN(F63)</x:f>
        <x:v>2234</x:v>
      </x:c>
      <x:c r="O63" s="77" t="n">
        <x:f>LEN(G63)</x:f>
        <x:v>56</x:v>
      </x:c>
      <x:c r="P63" s="77" t="n">
        <x:f>LEN(H63)</x:f>
        <x:v>0</x:v>
      </x:c>
      <x:c r="Q63" s="77" t="n">
        <x:f>IF(LEN(C63)&gt;0,1,0)+IF(LEN(D63)&gt;0,1,0)+IF(LEN(F63)&gt;0,1,0)+IF(LEN(G63)&gt;0,1,0)+IF(LEN(H63)&gt;0,1,0)+IF(ISNUMBER(I63),1,0)+IF(ISNUMBER(J63),1,0)+IF(ISNUMBER(K63),1,0)+IF(LEN(L63)&gt;0,1,0)</x:f>
        <x:v>7</x:v>
      </x:c>
      <x:c r="R63" s="78" t="n">
        <x:f>Q63/9</x:f>
        <x:v>0.7777777777777778</x:v>
      </x:c>
    </x:row>
    <x:row r="64" ht="72" customHeight="1">
      <x:c r="A64" t="str">
        <x:v>public_0060</x:v>
      </x:c>
      <x:c r="B64" t="str">
        <x:v>B08R61K9B9</x:v>
      </x:c>
      <x:c r="C64" s="17" t="str">
        <x:v>Fruit of the Loom mens Woven Sleep Pajama Pant</x:v>
      </x:c>
      <x:c r="D64" s="17" t="str">
        <x:v>Clothing, Shoes &amp; Jewelry | Men | Clothing | Sleep &amp; Lounge | Sleep Bottoms</x:v>
      </x:c>
      <x:c r="E64" s="17" t="str">
        <x:v>Sleep Bottoms</x:v>
      </x:c>
      <x:c r="F64" s="17" t="str">
        <x:v>55% Cotton, 45% Polyester | Imported | Drawstring Waist closure | Machine Wash | Soft-hand feel/woven fabric | Elasticized waist with twill tape draw cord of contrasting color | Two side slit pockets | Tag-free label for comfort | Relaxed fit</x:v>
      </x:c>
      <x:c r="G64" s="17" t="str">
        <x:v>Department: Mens | Date First Available: December 21, 2020 | Manufacturer: Fruit of the Loom</x:v>
      </x:c>
      <x:c r="H64" s="17" t="str">
        <x:v>When it comes to men's sleepwear options, there are only a few that capture the true essence of in-home, lounge wear, befitting the modern man, especially when he is leisure and at play. Fruit of the Loom Men's Woven Broadcloth Sleep Pant is the kind of sleep pant that you put on and never want to take off. You'll find yourself reluctantly removing them in the morning when it's time for work. When the weekend comes, though, it's all about the woven sleep pant! The pants keep you warm and snuggly throughout the day and night. The relaxed fit is perfect for either hanging around the house or tackling any projects on your to-do list. With two side slit pockets with plenty of storage space (for the remote control, your mobile phone and a few random knick-knacks here and there), you can stay on the couch without having to get up, except maybe when it's time to fix a snack or a meal. The elasticized waistband with the hidden twill tape draw cord gives you the freedom to adjust the fit as needed. Fruit of the Loom has truly hit it out of the ballpark with these woven broadcloth pants, ideal for the modern man.</x:v>
      </x:c>
      <x:c r="I64" s="76" t="str"/>
      <x:c r="J64" s="75" t="n">
        <x:v>4.4</x:v>
      </x:c>
      <x:c r="K64" s="77" t="n">
        <x:v>9072</x:v>
      </x:c>
      <x:c r="L64" s="77" t="str">
        <x:v>Fruit of the Loom</x:v>
      </x:c>
      <x:c r="M64" s="77" t="n">
        <x:f>LEN(C64)</x:f>
        <x:v>46</x:v>
      </x:c>
      <x:c r="N64" s="77" t="n">
        <x:f>LEN(F64)</x:f>
        <x:v>242</x:v>
      </x:c>
      <x:c r="O64" s="77" t="n">
        <x:f>LEN(G64)</x:f>
        <x:v>92</x:v>
      </x:c>
      <x:c r="P64" s="77" t="n">
        <x:f>LEN(H64)</x:f>
        <x:v>1120</x:v>
      </x:c>
      <x:c r="Q64" s="77" t="n">
        <x:f>IF(LEN(C64)&gt;0,1,0)+IF(LEN(D64)&gt;0,1,0)+IF(LEN(F64)&gt;0,1,0)+IF(LEN(G64)&gt;0,1,0)+IF(LEN(H64)&gt;0,1,0)+IF(ISNUMBER(I64),1,0)+IF(ISNUMBER(J64),1,0)+IF(ISNUMBER(K64),1,0)+IF(LEN(L64)&gt;0,1,0)</x:f>
        <x:v>8</x:v>
      </x:c>
      <x:c r="R64" s="78" t="n">
        <x:f>Q64/9</x:f>
        <x:v>0.8888888888888888</x:v>
      </x:c>
    </x:row>
    <x:row r="65" ht="72" customHeight="1">
      <x:c r="A65" t="str">
        <x:v>public_0061</x:v>
      </x:c>
      <x:c r="B65" t="str">
        <x:v>B08HCP9YTV</x:v>
      </x:c>
      <x:c r="C65" s="17" t="str">
        <x:v>1pc Surgical Steel Piercing Ring for Nose Septum Cartilage Helix Tragus Conch Rook Daith Lobe 20g-18g-16g-14g-12g-10g 5mm-6mm-7mm-8mm-9mm-10mm-11mm-12mm-14mm-16mm Silver/Gold/Rose Gold/Black/Rainbow</x:v>
      </x:c>
      <x:c r="D65" s="17" t="str">
        <x:v>Clothing, Shoes &amp; Jewelry | Women | Jewelry | Body Jewelry | Piercing Jewelry | Rings</x:v>
      </x:c>
      <x:c r="E65" s="17" t="str">
        <x:v>Rings</x:v>
      </x:c>
      <x:c r="F65" s="17" t="str">
        <x:v>Snap closure | Sold by piece! 14g nose hoop ring size: 14 gauge (ring thickness: 1.6mm), inner diameter 6mm (15/64" ).Gauge means the thickness of the hoop.Please decide the gauge firstly (measure the ring you had or ask the piercing shop for you),then choose a right inner diameter for your nose or ear piercings. | This hinged nose ring hoop is very easy to put in and close and you can't see the seams, comfortable to wear without sharp edge. It spins completely, makes for easy cleaning. You can sleep, work and have a shower with it in because the snaps closed well and won't fall out. And it won't fall out in the shower. | Hoop nose ring material: 316L surgical steel.Works fine for most people who are sensitve to base metals.Perfect for nose,septum,nostril,cartilage,helix,tragus,conch,daith,rook,ear lobe,lip,nipple,eyebow and belly piercings. | Nose rings hoops color and size options: silver,gold,rose gold,black,rainbow and blue are available.20g /20 gauge, 18g /18 gauge,16g /16 gauge, 14g /14 gauge, 12g /12 gauge, 10g/10 gauge are available. Inner diameter options:5mm,6mm,7mm,8mm,9mm,10mm,11mm,12mm,13mm,14mm,16mm. | Please feel free to contact our service team if you have any question</x:v>
      </x:c>
      <x:c r="G65" s="17" t="str">
        <x:v>Department: womens | Date First Available: December 27, 2019 | Manufacturer: zhenghao</x:v>
      </x:c>
      <x:c r="H65" s="17" t="str"/>
      <x:c r="I65" s="76" t="n">
        <x:v>9.99</x:v>
      </x:c>
      <x:c r="J65" s="75" t="n">
        <x:v>4.3</x:v>
      </x:c>
      <x:c r="K65" s="77" t="n">
        <x:v>10297</x:v>
      </x:c>
      <x:c r="L65" s="77" t="str">
        <x:v>JOFUKIN</x:v>
      </x:c>
      <x:c r="M65" s="77" t="n">
        <x:f>LEN(C65)</x:f>
        <x:v>198</x:v>
      </x:c>
      <x:c r="N65" s="77" t="n">
        <x:f>LEN(F65)</x:f>
        <x:v>1203</x:v>
      </x:c>
      <x:c r="O65" s="77" t="n">
        <x:f>LEN(G65)</x:f>
        <x:v>85</x:v>
      </x:c>
      <x:c r="P65" s="77" t="n">
        <x:f>LEN(H65)</x:f>
        <x:v>0</x:v>
      </x:c>
      <x:c r="Q65" s="77" t="n">
        <x:f>IF(LEN(C65)&gt;0,1,0)+IF(LEN(D65)&gt;0,1,0)+IF(LEN(F65)&gt;0,1,0)+IF(LEN(G65)&gt;0,1,0)+IF(LEN(H65)&gt;0,1,0)+IF(ISNUMBER(I65),1,0)+IF(ISNUMBER(J65),1,0)+IF(ISNUMBER(K65),1,0)+IF(LEN(L65)&gt;0,1,0)</x:f>
        <x:v>8</x:v>
      </x:c>
      <x:c r="R65" s="78" t="n">
        <x:f>Q65/9</x:f>
        <x:v>0.8888888888888888</x:v>
      </x:c>
    </x:row>
    <x:row r="66" ht="72" customHeight="1">
      <x:c r="A66" t="str">
        <x:v>public_0062</x:v>
      </x:c>
      <x:c r="B66" t="str">
        <x:v>B015K51VPM</x:v>
      </x:c>
      <x:c r="C66" s="17" t="str">
        <x:v>chouyatou Women's Casual Stretch Waist Washed Denim A-line Maxi Skirt</x:v>
      </x:c>
      <x:c r="D66" s="17" t="str">
        <x:v>Clothing, Shoes &amp; Jewelry | Women | Clothing | Skirts | Casual</x:v>
      </x:c>
      <x:c r="E66" s="17" t="str">
        <x:v>Casual</x:v>
      </x:c>
      <x:c r="F66" s="17" t="str">
        <x:v>Fabric: 70%Cotton, 28.5%Polyester, 1.5%Spandex | Imported | Tie closure | Wash inside out, separately from other colors | Lining out wash cold separately, do not bleach | Maxi denim skirt for women featuring classic and plain design, basic a line flared silhouette, full ankle length, elastic waist in high rise, which can offer you more comort | High waisted jean skirt with 5 pockets, made of soft and premium washed denim farbic, solid color: black/ blue/ deep blue available, vintage and trendy style; Suit for every season to wear because of the medium thickness | Versatile maxi skirt in wardrobe. You can match this long skirt with your t shirt, crop top, sweater, sweatshirt, jacket, coats, etc. Perfect choice for daily life, streetwear, school, office, work, weekend, going out, travel, beach, party, etc | SIZE: Please refer to the Last Picture -"Size Chart" before ordering. If you are not sure about the size, please contact us without hesitation</x:v>
      </x:c>
      <x:c r="G66" s="17" t="str">
        <x:v>Product Dimensions: 1 x 1 x 1 inches; 1 Pounds | Department: Womens | Date First Available: March 6, 2017</x:v>
      </x:c>
      <x:c r="H66" s="17" t="str"/>
      <x:c r="I66" s="76" t="n">
        <x:v>28.9</x:v>
      </x:c>
      <x:c r="J66" s="75" t="n">
        <x:v>4.3</x:v>
      </x:c>
      <x:c r="K66" s="77" t="n">
        <x:v>1622</x:v>
      </x:c>
      <x:c r="L66" s="77" t="str">
        <x:v>chouyatou</x:v>
      </x:c>
      <x:c r="M66" s="77" t="n">
        <x:f>LEN(C66)</x:f>
        <x:v>69</x:v>
      </x:c>
      <x:c r="N66" s="77" t="n">
        <x:f>LEN(F66)</x:f>
        <x:v>959</x:v>
      </x:c>
      <x:c r="O66" s="77" t="n">
        <x:f>LEN(G66)</x:f>
        <x:v>105</x:v>
      </x:c>
      <x:c r="P66" s="77" t="n">
        <x:f>LEN(H66)</x:f>
        <x:v>0</x:v>
      </x:c>
      <x:c r="Q66" s="77" t="n">
        <x:f>IF(LEN(C66)&gt;0,1,0)+IF(LEN(D66)&gt;0,1,0)+IF(LEN(F66)&gt;0,1,0)+IF(LEN(G66)&gt;0,1,0)+IF(LEN(H66)&gt;0,1,0)+IF(ISNUMBER(I66),1,0)+IF(ISNUMBER(J66),1,0)+IF(ISNUMBER(K66),1,0)+IF(LEN(L66)&gt;0,1,0)</x:f>
        <x:v>8</x:v>
      </x:c>
      <x:c r="R66" s="78" t="n">
        <x:f>Q66/9</x:f>
        <x:v>0.8888888888888888</x:v>
      </x:c>
    </x:row>
    <x:row r="67" ht="72" customHeight="1">
      <x:c r="A67" t="str">
        <x:v>public_0063</x:v>
      </x:c>
      <x:c r="B67" t="str">
        <x:v>B09MKL5TBK</x:v>
      </x:c>
      <x:c r="C67" s="17" t="str">
        <x:v>BALEAF Womens' 7" Long Running Athletic Shorts with Liner Workout Zipper Pocket</x:v>
      </x:c>
      <x:c r="D67" s="17" t="str">
        <x:v>Clothing, Shoes &amp; Jewelry | Sport Specific Clothing | Running | Women | Shorts</x:v>
      </x:c>
      <x:c r="E67" s="17" t="str">
        <x:v>Shorts</x:v>
      </x:c>
      <x:c r="F67" s="17" t="str">
        <x:v>Body: 95% Polyester, 5% Spandex; Waist: 90% Polyester, 10% Spandex; Liner: 90% Polyester, 10% Spandex | elastic closure | 3" Width Waistband: The elastic flat waist provides tummy control and features 4-way stretch performance. | 7" Inseam: Made of lightweight and stretchy fabric, the 7 inches loose-fit shorts provide free movement without rubbing and chafing during activities. | Built-in Briefs: Soft briefs provide a supportive, breathable fit when exercising. | Back Zipper Pocket: 1 zipper pocket on the rear waist secures essentials like money, keys, ID cards, or gels. | Occasions: Perfect for everyday wear, running, workout, sports, yoga, gym, travel, beach, pilates, fitness, and other activities.</x:v>
      </x:c>
      <x:c r="G67" s="17" t="str">
        <x:v>Department: Womens | Date First Available: October 22, 2019</x:v>
      </x:c>
      <x:c r="H67" s="17" t="str"/>
      <x:c r="I67" s="76" t="n">
        <x:v>29.99</x:v>
      </x:c>
      <x:c r="J67" s="75" t="n">
        <x:v>4.3</x:v>
      </x:c>
      <x:c r="K67" s="77" t="n">
        <x:v>6566</x:v>
      </x:c>
      <x:c r="L67" s="77" t="str">
        <x:v>BALEAF</x:v>
      </x:c>
      <x:c r="M67" s="77" t="n">
        <x:f>LEN(C67)</x:f>
        <x:v>79</x:v>
      </x:c>
      <x:c r="N67" s="77" t="n">
        <x:f>LEN(F67)</x:f>
        <x:v>709</x:v>
      </x:c>
      <x:c r="O67" s="77" t="n">
        <x:f>LEN(G67)</x:f>
        <x:v>59</x:v>
      </x:c>
      <x:c r="P67" s="77" t="n">
        <x:f>LEN(H67)</x:f>
        <x:v>0</x:v>
      </x:c>
      <x:c r="Q67" s="77" t="n">
        <x:f>IF(LEN(C67)&gt;0,1,0)+IF(LEN(D67)&gt;0,1,0)+IF(LEN(F67)&gt;0,1,0)+IF(LEN(G67)&gt;0,1,0)+IF(LEN(H67)&gt;0,1,0)+IF(ISNUMBER(I67),1,0)+IF(ISNUMBER(J67),1,0)+IF(ISNUMBER(K67),1,0)+IF(LEN(L67)&gt;0,1,0)</x:f>
        <x:v>8</x:v>
      </x:c>
      <x:c r="R67" s="78" t="n">
        <x:f>Q67/9</x:f>
        <x:v>0.8888888888888888</x:v>
      </x:c>
    </x:row>
    <x:row r="68" ht="72" customHeight="1">
      <x:c r="A68" t="str">
        <x:v>public_0064</x:v>
      </x:c>
      <x:c r="B68" t="str">
        <x:v>B019DU687Q</x:v>
      </x:c>
      <x:c r="C68" s="17" t="str">
        <x:v>Memorose Womens Sexy Long Sleeve Cut-Out Bandage Bodycon Clubwear Midi Dress</x:v>
      </x:c>
      <x:c r="D68" s="17" t="str">
        <x:v>Clothing, Shoes &amp; Jewelry | Women | Clothing | Dresses | Club &amp; Night Out</x:v>
      </x:c>
      <x:c r="E68" s="17" t="str">
        <x:v>Club &amp; Night Out</x:v>
      </x:c>
      <x:c r="F68" s="17" t="str">
        <x:v>cotton blend | Pull On closure | Hand Wash Only | Material: Cotton Blend Polyester Spandex With Good Elastic | Features of dress: Deep V Neck, Cut Out Front, Long Sleeves, Solid Color, Slim Fit Bodycon Bandage Clubwear Midi Dress | Suit for party, beach, evening, date, club, bar, dinner, office, birthday party, cocktail, nightclub, going out, dancing, homecoming, vacation, casual daily wear, etc. for women/juniors/teens/girls | Size S/M/L/XL Available, The Asian size is smaller than US size. S: Bust 31.25", Hips 33.75", Waist 25.25"; M: Bust 33.25", Hips 35.25", Waist 26.75"; L: Bust 34.75", Hips 37.75", Waist 28.25"; XL: Bust 36.25", Hips 38.5", Waist 30". Please compare the detail sizes, if you are not sure about your size, please choose one size up. | Care: Due to the difference between different monitors, the picture may not reflect the actual color of the item. Hand Wash Recommended With Cold Water/DON'T Bleach/Hang Or Line Dry</x:v>
      </x:c>
      <x:c r="G68" s="17" t="str">
        <x:v>Is Discontinued By Manufacturer: No | Product Dimensions: 5.91 x 7.48 x 1.97 inches; 4.8 Ounces | Item model number: xpt044BlackL | Department: Womens | Date First Available: December 15, 2015 | Manufacturer: Memorose</x:v>
      </x:c>
      <x:c r="H68" s="17" t="str"/>
      <x:c r="I68" s="76" t="str"/>
      <x:c r="J68" s="75" t="n">
        <x:v>3.8</x:v>
      </x:c>
      <x:c r="K68" s="77" t="n">
        <x:v>2773</x:v>
      </x:c>
      <x:c r="L68" s="77" t="str">
        <x:v>Memorose</x:v>
      </x:c>
      <x:c r="M68" s="77" t="n">
        <x:f>LEN(C68)</x:f>
        <x:v>76</x:v>
      </x:c>
      <x:c r="N68" s="77" t="n">
        <x:f>LEN(F68)</x:f>
        <x:v>946</x:v>
      </x:c>
      <x:c r="O68" s="77" t="n">
        <x:f>LEN(G68)</x:f>
        <x:v>217</x:v>
      </x:c>
      <x:c r="P68" s="77" t="n">
        <x:f>LEN(H68)</x:f>
        <x:v>0</x:v>
      </x:c>
      <x:c r="Q68" s="77" t="n">
        <x:f>IF(LEN(C68)&gt;0,1,0)+IF(LEN(D68)&gt;0,1,0)+IF(LEN(F68)&gt;0,1,0)+IF(LEN(G68)&gt;0,1,0)+IF(LEN(H68)&gt;0,1,0)+IF(ISNUMBER(I68),1,0)+IF(ISNUMBER(J68),1,0)+IF(ISNUMBER(K68),1,0)+IF(LEN(L68)&gt;0,1,0)</x:f>
        <x:v>7</x:v>
      </x:c>
      <x:c r="R68" s="78" t="n">
        <x:f>Q68/9</x:f>
        <x:v>0.7777777777777778</x:v>
      </x:c>
    </x:row>
    <x:row r="69" ht="72" customHeight="1">
      <x:c r="A69" t="str">
        <x:v>public_0065</x:v>
      </x:c>
      <x:c r="B69" t="str">
        <x:v>B0BSQ9TCYC</x:v>
      </x:c>
      <x:c r="C69" s="17" t="str">
        <x:v>Arctix Women's Essential Insulated Bib Overalls</x:v>
      </x:c>
      <x:c r="D69" s="17" t="str">
        <x:v>Clothing, Shoes &amp; Jewelry | Sport Specific Clothing | Skiing | Women | Bibs &amp; Pants | Bibs</x:v>
      </x:c>
      <x:c r="E69" s="17" t="str">
        <x:v>Bibs</x:v>
      </x:c>
      <x:c r="F69" s="17" t="str">
        <x:v>100% Polyester | Imported | Zipper closure | Machine Wash | Warm and durable yet lightweight enough to allow a full range of motion, these high-performance overalls feature a ThermaLock fabric shell with 85 grams of ThermaTech insulation to protect against temperatures from -20° to +35° | Heavy-duty zipper closure | Multi-layer fabric offers moisture-repelling power to ensure dryness and warmth in even the roughest weather | Adjustable suspenders offer customized fit, plus elasticized side gussets to accommodate extra mobility | Reinforced, sealed seams provide extra protection against wind and rain</x:v>
      </x:c>
      <x:c r="G69" s="17" t="str">
        <x:v>Item model number: 1450 | Department: womens | Date First Available: January 4, 2021 | Manufacturer: Arctix</x:v>
      </x:c>
      <x:c r="H69" s="17" t="str">
        <x:v>Season after season, the 1450 Arctix Women's Insulated Bib Overalls serve as an outstanding value priced snow bib and a versatile cornerstone of the Arctix line. These pants feature a 100% Polyester Dobby shell with ThermaLock W/R + W/P 3000mm Coating, offering a maximum degree of durability and protection from the elements, while allowing a full range of motion. 85 grams ThermaTech Insulation offers warmth in a lightweight, low bulk garment, keeping you warm at temperatures from -20° to +35° depending on your level of activity. DWR finish (Durable Water Repellent) helps repel water from fabric surface. The adjustable comfort suspenders provide the perfect fit with elasticized side gussets for maximum motion. The boot zippers make them easy for on and off access along with boot gaiters with grippers to form a seamless integration with the boots to keep the warmth in, and the moisture out. These relaxed fit pants also include 600 Denier Ballistic reinforced ankle, scuff and hem guards to hold up against daily wear &amp; tear, and conveniently has an O-ring for keys, gloves and/or lift tickets. The pants provide zippered hand warmer style pockets, zippered fly, and belt loops. They are water and wind resistant, and are conveniently machine washable. Sizing options include a Short 29" inseam (5'1" – 5'4" heights), Regular 31" inseam (5'5" – 5'8"), and Tall 33" inseam (5'9" – 6'1").</x:v>
      </x:c>
      <x:c r="I69" s="76" t="str"/>
      <x:c r="J69" s="75" t="n">
        <x:v>4.6</x:v>
      </x:c>
      <x:c r="K69" s="77" t="n">
        <x:v>44070</x:v>
      </x:c>
      <x:c r="L69" s="77" t="str">
        <x:v>Arctix</x:v>
      </x:c>
      <x:c r="M69" s="77" t="n">
        <x:f>LEN(C69)</x:f>
        <x:v>47</x:v>
      </x:c>
      <x:c r="N69" s="77" t="n">
        <x:f>LEN(F69)</x:f>
        <x:v>606</x:v>
      </x:c>
      <x:c r="O69" s="77" t="n">
        <x:f>LEN(G69)</x:f>
        <x:v>107</x:v>
      </x:c>
      <x:c r="P69" s="77" t="n">
        <x:f>LEN(H69)</x:f>
        <x:v>1397</x:v>
      </x:c>
      <x:c r="Q69" s="77" t="n">
        <x:f>IF(LEN(C69)&gt;0,1,0)+IF(LEN(D69)&gt;0,1,0)+IF(LEN(F69)&gt;0,1,0)+IF(LEN(G69)&gt;0,1,0)+IF(LEN(H69)&gt;0,1,0)+IF(ISNUMBER(I69),1,0)+IF(ISNUMBER(J69),1,0)+IF(ISNUMBER(K69),1,0)+IF(LEN(L69)&gt;0,1,0)</x:f>
        <x:v>8</x:v>
      </x:c>
      <x:c r="R69" s="78" t="n">
        <x:f>Q69/9</x:f>
        <x:v>0.8888888888888888</x:v>
      </x:c>
    </x:row>
    <x:row r="70" ht="72" customHeight="1">
      <x:c r="A70" t="str">
        <x:v>public_0066</x:v>
      </x:c>
      <x:c r="B70" t="str">
        <x:v>B0BFLFSB2Y</x:v>
      </x:c>
      <x:c r="C70" s="17" t="str">
        <x:v>GRAPENT Women's Plus Size Sequin 3/4 Sleeves Evening Gown Party Long Maxi Dress</x:v>
      </x:c>
      <x:c r="D70" s="17" t="str">
        <x:v>Clothing, Shoes &amp; Jewelry | Women | Clothing | Dresses | Formal</x:v>
      </x:c>
      <x:c r="E70" s="17" t="str">
        <x:v>Formal</x:v>
      </x:c>
      <x:c r="F70" s="17" t="str">
        <x:v>96% Polyester, 4% Spandex | Imported | Zipper closure | Dry Clean Only | This long dress features solid slim bodice to keep it modest, surplice neckline make you look sexy. | It comes in 3/4 sleeves and high waist with curve-cinching band, which will elongate your charming feminine silhouette. | Differs from its bustier design, this maxi dress has flared skirt detailing with sequins. Side zip closure. | This maxi dress is perfect for evening party, formal, club or other special occasions. | Model is 5'9", bust 40.5", waist 33", hip 42", bra cup D, wearing size Large / 12W. Size X-Large fits US 14W, Size XX-Large fits US 16W, Size 3X-Large fits US 18W, Size 4X-Large fits US 20W, Size 5X-Large fits US 22W, Size 6X-Large fits US 24W, Size 7X-Large fits US 26W.</x:v>
      </x:c>
      <x:c r="G70" s="17" t="str">
        <x:v>Item model number: GP-KLAGOH | Department: Womens | Date First Available: March 2, 2017</x:v>
      </x:c>
      <x:c r="H70" s="17" t="str"/>
      <x:c r="I70" s="76" t="n">
        <x:v>63.99</x:v>
      </x:c>
      <x:c r="J70" s="75" t="n">
        <x:v>4</x:v>
      </x:c>
      <x:c r="K70" s="77" t="n">
        <x:v>3419</x:v>
      </x:c>
      <x:c r="L70" s="77" t="str">
        <x:v>GRAPENT</x:v>
      </x:c>
      <x:c r="M70" s="77" t="n">
        <x:f>LEN(C70)</x:f>
        <x:v>79</x:v>
      </x:c>
      <x:c r="N70" s="77" t="n">
        <x:f>LEN(F70)</x:f>
        <x:v>767</x:v>
      </x:c>
      <x:c r="O70" s="77" t="n">
        <x:f>LEN(G70)</x:f>
        <x:v>87</x:v>
      </x:c>
      <x:c r="P70" s="77" t="n">
        <x:f>LEN(H70)</x:f>
        <x:v>0</x:v>
      </x:c>
      <x:c r="Q70" s="77" t="n">
        <x:f>IF(LEN(C70)&gt;0,1,0)+IF(LEN(D70)&gt;0,1,0)+IF(LEN(F70)&gt;0,1,0)+IF(LEN(G70)&gt;0,1,0)+IF(LEN(H70)&gt;0,1,0)+IF(ISNUMBER(I70),1,0)+IF(ISNUMBER(J70),1,0)+IF(ISNUMBER(K70),1,0)+IF(LEN(L70)&gt;0,1,0)</x:f>
        <x:v>8</x:v>
      </x:c>
      <x:c r="R70" s="78" t="n">
        <x:f>Q70/9</x:f>
        <x:v>0.8888888888888888</x:v>
      </x:c>
    </x:row>
    <x:row r="71" ht="72" customHeight="1">
      <x:c r="A71" t="str">
        <x:v>public_0067</x:v>
      </x:c>
      <x:c r="B71" t="str">
        <x:v>B09G9BXJZM</x:v>
      </x:c>
      <x:c r="C71" s="17" t="str">
        <x:v>TLZC Men's Lightweight Bomber Jacket Windbreaker Slim Fit Active Coat Outerwear</x:v>
      </x:c>
      <x:c r="D71" s="17" t="str">
        <x:v>Clothing, Shoes &amp; Jewelry | Men | Clothing | Jackets &amp; Coats | Lightweight Jackets | Windbreakers</x:v>
      </x:c>
      <x:c r="E71" s="17" t="str">
        <x:v>Windbreakers</x:v>
      </x:c>
      <x:c r="F71" s="17" t="str">
        <x:v>Polyester | Imported | Zipper closure | Machine Wash | Style: thin, lightweight bomber jacket | Feature: rib collar, cuff and hem; zipper closure; functional pocket and inside pocket men jacket | Pattern: slim fit; stylish design, long sleeve windbreakers | Occasion: suiable for fall, spring and early winter; hiking, sports, running, casual fashion varsity jackets | Wash: machine washable but can not bleach</x:v>
      </x:c>
      <x:c r="G71" s="17" t="str">
        <x:v>Package Dimensions: 11.02 x 7.87 x 0.79 inches; 1.21 Pounds | Item model number: bomber jacket-002 | Department: Mens | Date First Available: September 14, 2021</x:v>
      </x:c>
      <x:c r="H71" s="17" t="str"/>
      <x:c r="I71" s="76" t="n">
        <x:v>35.98</x:v>
      </x:c>
      <x:c r="J71" s="75" t="n">
        <x:v>4.5</x:v>
      </x:c>
      <x:c r="K71" s="77" t="n">
        <x:v>986</x:v>
      </x:c>
      <x:c r="L71" s="77" t="str">
        <x:v>TLZC</x:v>
      </x:c>
      <x:c r="M71" s="77" t="n">
        <x:f>LEN(C71)</x:f>
        <x:v>79</x:v>
      </x:c>
      <x:c r="N71" s="77" t="n">
        <x:f>LEN(F71)</x:f>
        <x:v>410</x:v>
      </x:c>
      <x:c r="O71" s="77" t="n">
        <x:f>LEN(G71)</x:f>
        <x:v>160</x:v>
      </x:c>
      <x:c r="P71" s="77" t="n">
        <x:f>LEN(H71)</x:f>
        <x:v>0</x:v>
      </x:c>
      <x:c r="Q71" s="77" t="n">
        <x:f>IF(LEN(C71)&gt;0,1,0)+IF(LEN(D71)&gt;0,1,0)+IF(LEN(F71)&gt;0,1,0)+IF(LEN(G71)&gt;0,1,0)+IF(LEN(H71)&gt;0,1,0)+IF(ISNUMBER(I71),1,0)+IF(ISNUMBER(J71),1,0)+IF(ISNUMBER(K71),1,0)+IF(LEN(L71)&gt;0,1,0)</x:f>
        <x:v>8</x:v>
      </x:c>
      <x:c r="R71" s="78" t="n">
        <x:f>Q71/9</x:f>
        <x:v>0.8888888888888888</x:v>
      </x:c>
    </x:row>
    <x:row r="72" ht="72" customHeight="1">
      <x:c r="A72" t="str">
        <x:v>public_0068</x:v>
      </x:c>
      <x:c r="B72" t="str">
        <x:v>B08SH8GF6K</x:v>
      </x:c>
      <x:c r="C72" s="17" t="str">
        <x:v>Skechers Women's Go Walk 6-Big Splash Sneaker</x:v>
      </x:c>
      <x:c r="D72" s="17" t="str">
        <x:v>Clothing, Shoes &amp; Jewelry | Women | Shoes | Athletic | Walking</x:v>
      </x:c>
      <x:c r="E72" s="17" t="str">
        <x:v>Walking</x:v>
      </x:c>
      <x:c r="F72" s="17" t="str">
        <x:v>Imported | Rubber sole | Dual-density outsole with Hyper Pillar comfort technology | Lightweight and responsive Ultra Go midsole cushioning | Skechers Air Cooled Goga Mat foot bed energizes every step | Ortholite insole for long-term cushioning, moisture management, and breathability | Breathable athletic mesh upper</x:v>
      </x:c>
      <x:c r="G72" s="17" t="str">
        <x:v>Product Dimensions: 10 x 15 x 6 inches; 2 Pounds | Item model number: 124508 | Department: Womens | Date First Available: January 8, 2021 | Manufacturer: Skechers</x:v>
      </x:c>
      <x:c r="H72" s="17" t="str">
        <x:v>Athletic Mesh Slip On Walking Shoes운동용 메시 슬립온 워킹화</x:v>
      </x:c>
      <x:c r="I72" s="76" t="str"/>
      <x:c r="J72" s="75" t="n">
        <x:v>4.4</x:v>
      </x:c>
      <x:c r="K72" s="77" t="n">
        <x:v>2218</x:v>
      </x:c>
      <x:c r="L72" s="77" t="str">
        <x:v>Skechers</x:v>
      </x:c>
      <x:c r="M72" s="77" t="n">
        <x:f>LEN(C72)</x:f>
        <x:v>45</x:v>
      </x:c>
      <x:c r="N72" s="77" t="n">
        <x:f>LEN(F72)</x:f>
        <x:v>317</x:v>
      </x:c>
      <x:c r="O72" s="77" t="n">
        <x:f>LEN(G72)</x:f>
        <x:v>162</x:v>
      </x:c>
      <x:c r="P72" s="77" t="n">
        <x:f>LEN(H72)</x:f>
        <x:v>49</x:v>
      </x:c>
      <x:c r="Q72" s="77" t="n">
        <x:f>IF(LEN(C72)&gt;0,1,0)+IF(LEN(D72)&gt;0,1,0)+IF(LEN(F72)&gt;0,1,0)+IF(LEN(G72)&gt;0,1,0)+IF(LEN(H72)&gt;0,1,0)+IF(ISNUMBER(I72),1,0)+IF(ISNUMBER(J72),1,0)+IF(ISNUMBER(K72),1,0)+IF(LEN(L72)&gt;0,1,0)</x:f>
        <x:v>8</x:v>
      </x:c>
      <x:c r="R72" s="78" t="n">
        <x:f>Q72/9</x:f>
        <x:v>0.8888888888888888</x:v>
      </x:c>
    </x:row>
    <x:row r="73" ht="72" customHeight="1">
      <x:c r="A73" t="str">
        <x:v>public_0069</x:v>
      </x:c>
      <x:c r="B73" t="str">
        <x:v>B07ZFBQ76H</x:v>
      </x:c>
      <x:c r="C73" s="17" t="str">
        <x:v>Acrylic Earrings For Women Girls Statement Geometric Earrings Resin Acetate Drop Dangle Earrings Mottled Hoop Earrings Fashion Jewelry</x:v>
      </x:c>
      <x:c r="D73" s="17" t="str">
        <x:v>Clothing, Shoes &amp; Jewelry | Women | Jewelry | Earrings | Drop &amp; Dangle</x:v>
      </x:c>
      <x:c r="E73" s="17" t="str">
        <x:v>Drop &amp; Dangle</x:v>
      </x:c>
      <x:c r="F73" s="17" t="str">
        <x:v>【FASHION DESIGN 】—Acrylic mottled hoop earrings. Square and oval silhouette. Marbled Floral and Leopard design. Post back. Light-weight earrings. these acrylic earrings are the perfect statement pair for day and night wear, will make you charmer and elegant, beautiful and attractive. | 【COMFORTABLE TO WEAR】—Acrylic Leopard dangle earring give a summer-ready feel to any look. Post back closures for pieced ears. Size: 2.5''in length weight 0.2oz a pair,Lightweight,Easy to put on and take off, comfortable to wear.made of Eco-friend Acrylic,alloy.Lead-Free, Nickle-Free, can be stored for a long time, not easy to corrosion. never fade and is not allergy for your skin, not harmful for your health. | 【PERFECT GIFT】—Geometric drop dangle earring with Excellent Luster and Unimpeachable Rust very popular with women and girls packaged in a velvet bag, a wonderful gift giving mom, wife, girlfriend, best friend, girls, teen girls or a special treat for yourself, as Mother's Day Gift, Christmas present, Birthday Gifts, Anniversary Gifts, Wedding Gifts or other Holiday Gifts. | 【MATCH TO MOST OCCASIONS】—Minimalist Acrylic Hoop Earrings works well with your daily outfit,Can wear it with many things go to many occasions.Such as Valentine’s Day, Christmas’ Day, Mother’s Day,Thanksgiving Day,Birthday, wedding, party, anniversary, prom and casual days.Acrylic Acetate Drop Earrings ,give you charming look and win more compliments</x:v>
      </x:c>
      <x:c r="G73" s="17" t="str">
        <x:v>Is Discontinued By Manufacturer: No | Package Dimensions: 1.18 x 0.79 x 0.39 inches; 0.63 Ounces | Item model number: earring013- Light Leopard | Department: Womens | Date First Available: August 13, 2018 | Manufacturer: YAHPERN</x:v>
      </x:c>
      <x:c r="H73" s="17" t="str">
        <x:v>ACRYLIC MOTTLED HOOP EARRINGS. SQUARE AND OVAL SILHOUETTE. MARBLED FLORAL AND LEOPARD DESIGN. POST BACK. LIGHT-WEIGHT EARRINGS. THESE ACRYLIC EARRINGS ARE THE PERFECT STATEMENT PAIR FOR DAY AND NIGHT WEAR, WILL MAKE YOU CHARMER AND ELEGANT, BEAUTIFUL AND ATTRACTIVE,ALSO WORKS WELL WITH YOUR DAILY OUTFIT,CAN WEAR IT WITH MANY THINGS GO TO MANY OCCASIONS , WELL MATCH TO DIFFERENT CLOTHING,SUCH AS T-SHIRT, SWEATER, VEST, DRESS AND SO ON, PROVIDE YOU THE MOST CHARMING LOOK AND ATTRACTIVE IN THE CROWD. | About LPON | LPON, As a famous jewelry brand. Writing history with innovative ideas and elegant design, Purest tradition of manufacturing and elegant cultural heritage, LPON became a symbol of the art of fashion accessories. As a shining star of jewelry brand,LPON are committed to create freedom, elegant, distinctive style for you.LPON Providing customers with the most meticulous service, many carefully built bracelet, necklace and earrings, representing commitment to be excellent jewelry brand. | Warm tips &amp; Maintenance Attention: | 1. Please avoid contacting with the acid and alkali, corrosive substances.  2. Please avoid the collision, so as to avoid surface scratches.  3. Please avoid Perfume, Body Lotion, Hairspray or any other Chemical that May Harm the shine of the metal.  4. Please avoid wearing it when sweating a lot, shower or sleep, etc.  5. Please wipe surface clean by soft cloth everyday and put into the box would be better. | Warranty | In case any broken problem happens, contact us without hesitation to solved the problem until satisfaction. LPON Jewelry Provide 30-day money-back guarantee service for all our jewelry.Customers can return and get refunded for any reason. You have no risk to try!</x:v>
      </x:c>
      <x:c r="I73" s="76" t="n">
        <x:v>11.99</x:v>
      </x:c>
      <x:c r="J73" s="75" t="n">
        <x:v>4.4</x:v>
      </x:c>
      <x:c r="K73" s="77" t="n">
        <x:v>2921</x:v>
      </x:c>
      <x:c r="L73" s="77" t="str">
        <x:v>YAHPERN</x:v>
      </x:c>
      <x:c r="M73" s="77" t="n">
        <x:f>LEN(C73)</x:f>
        <x:v>134</x:v>
      </x:c>
      <x:c r="N73" s="77" t="n">
        <x:f>LEN(F73)</x:f>
        <x:v>1432</x:v>
      </x:c>
      <x:c r="O73" s="77" t="n">
        <x:f>LEN(G73)</x:f>
        <x:v>228</x:v>
      </x:c>
      <x:c r="P73" s="77" t="n">
        <x:f>LEN(H73)</x:f>
        <x:v>1733</x:v>
      </x:c>
      <x:c r="Q73" s="77" t="n">
        <x:f>IF(LEN(C73)&gt;0,1,0)+IF(LEN(D73)&gt;0,1,0)+IF(LEN(F73)&gt;0,1,0)+IF(LEN(G73)&gt;0,1,0)+IF(LEN(H73)&gt;0,1,0)+IF(ISNUMBER(I73),1,0)+IF(ISNUMBER(J73),1,0)+IF(ISNUMBER(K73),1,0)+IF(LEN(L73)&gt;0,1,0)</x:f>
        <x:v>9</x:v>
      </x:c>
      <x:c r="R73" s="78" t="n">
        <x:f>Q73/9</x:f>
        <x:v>1</x:v>
      </x:c>
    </x:row>
    <x:row r="74" ht="72" customHeight="1">
      <x:c r="A74" t="str">
        <x:v>public_0070</x:v>
      </x:c>
      <x:c r="B74" t="str">
        <x:v>B010LVBVKA</x:v>
      </x:c>
      <x:c r="C74" s="17" t="str">
        <x:v>Travel Neck Wallet with RFID Blocking – Passport Holder Neck Pouch to Keep Your Cash And Documents Safe – Get Peace Of Mind When Traveling</x:v>
      </x:c>
      <x:c r="D74" s="17" t="str">
        <x:v>Clothing, Shoes &amp; Jewelry | Luggage &amp; Travel Gear | Travel Accessories | Travel Wallets</x:v>
      </x:c>
      <x:c r="E74" s="17" t="str">
        <x:v>Travel Wallets</x:v>
      </x:c>
      <x:c r="F74" s="17" t="str">
        <x:v>✅ PERFECT FOR TRAVEL - COMFORTABLE, LIGHTWEIGHT, AND WATER RESISTANT PASSPORT AND VACCINE CARD HOLDER designed to offer you a safe and secure location to store valuables , passports, and credit cards | ✅ RFID BLOCKING – RFID WALLET LINED WITH RADIO FREQUENCY SHIELDING MATERIAL WHICH BLOCKS UNWANTED SCANS , ensuring that your cards and personal information remain private and confidential . Feel SAFE FROM ELECTRONIC THIEVES AND PICKPOCKETS | Nylon lining | Zipper closure | Wet Wipe Clean | ✅ FLEXIBLE STORAGE – This Travel Wallet features THREE SMART STORAGE COMPARTMENTS to easily organize your documentation and valuables , including two zippered pockets, one Velcro- closure patch , and an ID window for boarding passes allowing easier security checks .The Travel Pouch comes with adjustable hook, strap and loop fastener | ✅ SUITABLE FOR MEN AND WOMEN - 5.5" high and 8" wide , the VENTURE 4TH RFID Passport Holder can be comfortably WORN AROUND THE NECK AND UNDERNEATH YOUR CLOTHING to protect against pickpockets . It's slim enough that it is virtually invisible even under thin layers of clothing concealing your cash and valuables | ✅ WILL LAST A LIFETIME OF TRIPS - These RFID Wallets are constructed from water resistant rip-stop nylon and designed to stand the test of time . Double stitched reinforced seams prevent rips and tears . This Travel Neck Wallet is a great Cruise Ship Accessory | ✅ DESIGNED FOR SAFE INTERNATIONAL TRAVEL – A valuable travel accessory for airplanes, airports , buses or trains , this Travel Pouch is VIRTUALLY INVISIBLE TO THIEVES and makes you feel secure at sporting events , music festivals and crowded marketplaces | ✅ HASSLE FREE ASSURANCE : Experience the ultimate in Travel Wallets or get your money back. Our Neck Pouch comes with peace of mind risk-free satisfaction guarantee. 24H INSTANT CONNECT - if you're not completely happy, we'll make sure your money is refunded - no questions asked, no fuss.</x:v>
      </x:c>
      <x:c r="G74" s="17" t="str">
        <x:v>Brand: VENTURE 4TH | Color: Beige | Material: Nylon | Style: Neck Pouch / Wallet | Pattern: Solid | Is Discontinued By Manufacturer: No | Product Dimensions: 5.5 x 8 x 8 inches; 2.4 Ounces | Department: unisex | Date First Available: June 28, 2015 | Manufacturer: VENTURE 4TH</x:v>
      </x:c>
      <x:c r="H74" s="17" t="str"/>
      <x:c r="I74" s="76" t="n">
        <x:v>18.95</x:v>
      </x:c>
      <x:c r="J74" s="75" t="n">
        <x:v>4.6</x:v>
      </x:c>
      <x:c r="K74" s="77" t="n">
        <x:v>9909</x:v>
      </x:c>
      <x:c r="L74" s="77" t="str">
        <x:v>VENTURE 4TH</x:v>
      </x:c>
      <x:c r="M74" s="77" t="n">
        <x:f>LEN(C74)</x:f>
        <x:v>138</x:v>
      </x:c>
      <x:c r="N74" s="77" t="n">
        <x:f>LEN(F74)</x:f>
        <x:v>1953</x:v>
      </x:c>
      <x:c r="O74" s="77" t="n">
        <x:f>LEN(G74)</x:f>
        <x:v>275</x:v>
      </x:c>
      <x:c r="P74" s="77" t="n">
        <x:f>LEN(H74)</x:f>
        <x:v>0</x:v>
      </x:c>
      <x:c r="Q74" s="77" t="n">
        <x:f>IF(LEN(C74)&gt;0,1,0)+IF(LEN(D74)&gt;0,1,0)+IF(LEN(F74)&gt;0,1,0)+IF(LEN(G74)&gt;0,1,0)+IF(LEN(H74)&gt;0,1,0)+IF(ISNUMBER(I74),1,0)+IF(ISNUMBER(J74),1,0)+IF(ISNUMBER(K74),1,0)+IF(LEN(L74)&gt;0,1,0)</x:f>
        <x:v>8</x:v>
      </x:c>
      <x:c r="R74" s="78" t="n">
        <x:f>Q74/9</x:f>
        <x:v>0.8888888888888888</x:v>
      </x:c>
    </x:row>
    <x:row r="75" ht="72" customHeight="1">
      <x:c r="A75" t="str">
        <x:v>public_0071</x:v>
      </x:c>
      <x:c r="B75" t="str">
        <x:v>B06XRFSDL4</x:v>
      </x:c>
      <x:c r="C75" s="17" t="str">
        <x:v>Mordenmiss Women's Loose Sweatshirt Spring/Fall Simple Shirt Tops</x:v>
      </x:c>
      <x:c r="D75" s="17" t="str">
        <x:v>Clothing, Shoes &amp; Jewelry | Women | Clothing | Fashion Hoodies &amp; Sweatshirts</x:v>
      </x:c>
      <x:c r="E75" s="17" t="str">
        <x:v>Fashion Hoodies &amp; Sweatshirts</x:v>
      </x:c>
      <x:c r="F75" s="17" t="str">
        <x:v>90% Cotton, 10% Others | Imported | Pull On closure | Machine Wash | This plus shirt is round neck, drop sleeves, two side pockets, side slit; | This casual long tunic tops can pair with shorts, leggings, jeans, tight pant for indoor and outdoor, can be easily dress up | Very loose style, comfortable to wear, breathable feel for spring and autumn | Size fit US S-2XL: Length:30.7", Bust:66.9", Sleeve:19.2", Hem:62.6" | Machine Washable Softly</x:v>
      </x:c>
      <x:c r="G75" s="17" t="str">
        <x:v>Is Discontinued By Manufacturer: No | Department: Womens | Date First Available: July 1, 2019</x:v>
      </x:c>
      <x:c r="H75" s="17" t="str"/>
      <x:c r="I75" s="76" t="n">
        <x:v>38.88</x:v>
      </x:c>
      <x:c r="J75" s="75" t="n">
        <x:v>4.2</x:v>
      </x:c>
      <x:c r="K75" s="77" t="n">
        <x:v>547</x:v>
      </x:c>
      <x:c r="L75" s="77" t="str">
        <x:v>Mordenmiss</x:v>
      </x:c>
      <x:c r="M75" s="77" t="n">
        <x:f>LEN(C75)</x:f>
        <x:v>65</x:v>
      </x:c>
      <x:c r="N75" s="77" t="n">
        <x:f>LEN(F75)</x:f>
        <x:v>445</x:v>
      </x:c>
      <x:c r="O75" s="77" t="n">
        <x:f>LEN(G75)</x:f>
        <x:v>93</x:v>
      </x:c>
      <x:c r="P75" s="77" t="n">
        <x:f>LEN(H75)</x:f>
        <x:v>0</x:v>
      </x:c>
      <x:c r="Q75" s="77" t="n">
        <x:f>IF(LEN(C75)&gt;0,1,0)+IF(LEN(D75)&gt;0,1,0)+IF(LEN(F75)&gt;0,1,0)+IF(LEN(G75)&gt;0,1,0)+IF(LEN(H75)&gt;0,1,0)+IF(ISNUMBER(I75),1,0)+IF(ISNUMBER(J75),1,0)+IF(ISNUMBER(K75),1,0)+IF(LEN(L75)&gt;0,1,0)</x:f>
        <x:v>8</x:v>
      </x:c>
      <x:c r="R75" s="78" t="n">
        <x:f>Q75/9</x:f>
        <x:v>0.8888888888888888</x:v>
      </x:c>
    </x:row>
    <x:row r="76" ht="72" customHeight="1">
      <x:c r="A76" t="str">
        <x:v>public_0072</x:v>
      </x:c>
      <x:c r="B76" t="str">
        <x:v>B09JG4V9ZR</x:v>
      </x:c>
      <x:c r="C76" s="17" t="str">
        <x:v>Facitisu Womens Winter Warm Jacket Long Down Faux Fur Hooded Quilted Sherpa Lined Coat</x:v>
      </x:c>
      <x:c r="D76" s="17" t="str">
        <x:v>Clothing, Shoes &amp; Jewelry | Women | Clothing | Coats, Jackets &amp; Vests | Trench, Rain &amp; Anoraks | Anoraks</x:v>
      </x:c>
      <x:c r="E76" s="17" t="str">
        <x:v>Anoraks</x:v>
      </x:c>
      <x:c r="F76" s="17" t="str">
        <x:v>Faux Fur | Drawstring closure | Hand Wash Only</x:v>
      </x:c>
      <x:c r="G76" s="17" t="str">
        <x:v>Department: womens | Date First Available: October 14, 2021</x:v>
      </x:c>
      <x:c r="H76" s="17" t="str"/>
      <x:c r="I76" s="76" t="n">
        <x:v>69.99</x:v>
      </x:c>
      <x:c r="J76" s="75" t="n">
        <x:v>3.8</x:v>
      </x:c>
      <x:c r="K76" s="77" t="n">
        <x:v>1859</x:v>
      </x:c>
      <x:c r="L76" s="77" t="str">
        <x:v>Facitisu</x:v>
      </x:c>
      <x:c r="M76" s="77" t="n">
        <x:f>LEN(C76)</x:f>
        <x:v>86</x:v>
      </x:c>
      <x:c r="N76" s="77" t="n">
        <x:f>LEN(F76)</x:f>
        <x:v>46</x:v>
      </x:c>
      <x:c r="O76" s="77" t="n">
        <x:f>LEN(G76)</x:f>
        <x:v>59</x:v>
      </x:c>
      <x:c r="P76" s="77" t="n">
        <x:f>LEN(H76)</x:f>
        <x:v>0</x:v>
      </x:c>
      <x:c r="Q76" s="77" t="n">
        <x:f>IF(LEN(C76)&gt;0,1,0)+IF(LEN(D76)&gt;0,1,0)+IF(LEN(F76)&gt;0,1,0)+IF(LEN(G76)&gt;0,1,0)+IF(LEN(H76)&gt;0,1,0)+IF(ISNUMBER(I76),1,0)+IF(ISNUMBER(J76),1,0)+IF(ISNUMBER(K76),1,0)+IF(LEN(L76)&gt;0,1,0)</x:f>
        <x:v>8</x:v>
      </x:c>
      <x:c r="R76" s="78" t="n">
        <x:f>Q76/9</x:f>
        <x:v>0.8888888888888888</x:v>
      </x:c>
    </x:row>
    <x:row r="77" ht="72" customHeight="1">
      <x:c r="A77" t="str">
        <x:v>public_0073</x:v>
      </x:c>
      <x:c r="B77" t="str">
        <x:v>B07QPM54V7</x:v>
      </x:c>
      <x:c r="C77" s="17" t="str">
        <x:v>WNEEDU Women's Summer Casual T Shirt Dresses Short Sleeve Swing Dress with Pockets</x:v>
      </x:c>
      <x:c r="D77" s="17" t="str">
        <x:v>Clothing, Shoes &amp; Jewelry | Women | Clothing | Dresses | Casual</x:v>
      </x:c>
      <x:c r="E77" s="17" t="str">
        <x:v>Casual</x:v>
      </x:c>
      <x:c r="F77" s="17" t="str">
        <x:v>♥【Try RISK FREE】: Wear COMFORTABLE or Your MONEY BACK! 30-day wear test! FREE shipping and returns.If for any reason you’re unhappy with your purchase,feel free to contact us. | Imported | Elastic closure | Hand Wash Only | This simple random floral print go to dress is 90% Polyester and 10% Spandex. the fabric is very soft and stretchy, which makes it light and ideal for summer weather but heavy enough to where you don’t worry about it flying up or getting stuck somewhere.Hand wash and they dry quickly with little or no ironing. No shrinkage. | The swing dress it has a slight rounded neckline. The body of the dress has a loose cut which moves with you and each step you take.The hemline is at the upper thigh level.The pockets are such a nice addition,it's loose enough but not baggy. | Wear this dress, go on holiday with friends, take a walk on the beach,They’re comfy enough to wear around the house and appropriate for office work.You can dress it up very easily with any combination of cape jewelry,sandals, heels,flip flops or even sneakers. | Occasion: Casual,Beach,Evening party,Shopping,Party,Travling,family etc. | US Size:XS(US 2),S(US 4-6),M(US 8-10),L(US 12-14),XL(US 16-18),2XL(US 20-22),3XL(24).We will try our best to update new color,you can add to your wishlist for easy search.</x:v>
      </x:c>
      <x:c r="G77" s="17" t="str">
        <x:v>Product Dimensions: 12 x 9 x 0.5 inches; 8 Ounces | Department: womens | Date First Available: April 15, 2019</x:v>
      </x:c>
      <x:c r="H77" s="17" t="str"/>
      <x:c r="I77" s="76" t="n">
        <x:v>19.59</x:v>
      </x:c>
      <x:c r="J77" s="75" t="n">
        <x:v>4.2</x:v>
      </x:c>
      <x:c r="K77" s="77" t="n">
        <x:v>16161</x:v>
      </x:c>
      <x:c r="L77" s="77" t="str">
        <x:v>WNEEDU</x:v>
      </x:c>
      <x:c r="M77" s="77" t="n">
        <x:f>LEN(C77)</x:f>
        <x:v>82</x:v>
      </x:c>
      <x:c r="N77" s="77" t="n">
        <x:f>LEN(F77)</x:f>
        <x:v>1305</x:v>
      </x:c>
      <x:c r="O77" s="77" t="n">
        <x:f>LEN(G77)</x:f>
        <x:v>109</x:v>
      </x:c>
      <x:c r="P77" s="77" t="n">
        <x:f>LEN(H77)</x:f>
        <x:v>0</x:v>
      </x:c>
      <x:c r="Q77" s="77" t="n">
        <x:f>IF(LEN(C77)&gt;0,1,0)+IF(LEN(D77)&gt;0,1,0)+IF(LEN(F77)&gt;0,1,0)+IF(LEN(G77)&gt;0,1,0)+IF(LEN(H77)&gt;0,1,0)+IF(ISNUMBER(I77),1,0)+IF(ISNUMBER(J77),1,0)+IF(ISNUMBER(K77),1,0)+IF(LEN(L77)&gt;0,1,0)</x:f>
        <x:v>8</x:v>
      </x:c>
      <x:c r="R77" s="78" t="n">
        <x:f>Q77/9</x:f>
        <x:v>0.8888888888888888</x:v>
      </x:c>
    </x:row>
    <x:row r="78" ht="72" customHeight="1">
      <x:c r="A78" t="str">
        <x:v>public_0074</x:v>
      </x:c>
      <x:c r="B78" t="str">
        <x:v>B07N15QTKC</x:v>
      </x:c>
      <x:c r="C78" s="17" t="str">
        <x:v>Skechers Women's Go Walk 5-Lucky Sneaker</x:v>
      </x:c>
      <x:c r="D78" s="17" t="str">
        <x:v>Clothing, Shoes &amp; Jewelry | Women | Shoes | Athletic | Walking</x:v>
      </x:c>
      <x:c r="E78" s="17" t="str">
        <x:v>Walking</x:v>
      </x:c>
      <x:c r="F78" s="17" t="str">
        <x:v>mesh | Imported | Synthetic sole | Shaft measures approximately not_applicable from arch | Lightweight dual-density Ultra Go outsole with comfort pillar technology | Skechers Air Cooled Goga Mat insole | Breathable air mesh upper | Machine washable, air dry</x:v>
      </x:c>
      <x:c r="G78" s="17" t="str">
        <x:v>Product Dimensions: 11.2 x 7.7 x 4.2 inches; 7.1 Ounces | Item model number: 15902 | Department: womens | Date First Available: September 21, 2015 | Manufacturer: Skechers</x:v>
      </x:c>
      <x:c r="H78" s="17" t="str">
        <x:v>Athletic Air Mesh Lace Up</x:v>
      </x:c>
      <x:c r="I78" s="76" t="n">
        <x:v>55.95</x:v>
      </x:c>
      <x:c r="J78" s="75" t="n">
        <x:v>4.6</x:v>
      </x:c>
      <x:c r="K78" s="77" t="n">
        <x:v>2559</x:v>
      </x:c>
      <x:c r="L78" s="77" t="str">
        <x:v>Skechers</x:v>
      </x:c>
      <x:c r="M78" s="77" t="n">
        <x:f>LEN(C78)</x:f>
        <x:v>40</x:v>
      </x:c>
      <x:c r="N78" s="77" t="n">
        <x:f>LEN(F78)</x:f>
        <x:v>257</x:v>
      </x:c>
      <x:c r="O78" s="77" t="n">
        <x:f>LEN(G78)</x:f>
        <x:v>171</x:v>
      </x:c>
      <x:c r="P78" s="77" t="n">
        <x:f>LEN(H78)</x:f>
        <x:v>25</x:v>
      </x:c>
      <x:c r="Q78" s="77" t="n">
        <x:f>IF(LEN(C78)&gt;0,1,0)+IF(LEN(D78)&gt;0,1,0)+IF(LEN(F78)&gt;0,1,0)+IF(LEN(G78)&gt;0,1,0)+IF(LEN(H78)&gt;0,1,0)+IF(ISNUMBER(I78),1,0)+IF(ISNUMBER(J78),1,0)+IF(ISNUMBER(K78),1,0)+IF(LEN(L78)&gt;0,1,0)</x:f>
        <x:v>9</x:v>
      </x:c>
      <x:c r="R78" s="78" t="n">
        <x:f>Q78/9</x:f>
        <x:v>1</x:v>
      </x:c>
    </x:row>
    <x:row r="79" ht="72" customHeight="1">
      <x:c r="A79" t="str">
        <x:v>public_0075</x:v>
      </x:c>
      <x:c r="B79" t="str">
        <x:v>B08L13LJ5M</x:v>
      </x:c>
      <x:c r="C79" s="17" t="str">
        <x:v>BULLIANT Men's Belt, Slide Ratchet Belt For Men Dress Pant Shirt Oxfords,trim To Fit</x:v>
      </x:c>
      <x:c r="D79" s="17" t="str">
        <x:v>Clothing, Shoes &amp; Jewelry | Men | Accessories | Belts</x:v>
      </x:c>
      <x:c r="E79" s="17" t="str">
        <x:v>Belts</x:v>
      </x:c>
      <x:c r="F79" s="17" t="str">
        <x:v>100% Leather | Genuine Leather,New Design for Exact Fit,Width 1 3/8"; | Ratchet closure | Dry Cloth Clean | Exact-Fit--Easy to customize the belt size,just need to remove the belt buckle,and cut the strap at needed size. To avoid useless of too short,just buying a bigger size; | Gift Idea--Expansive Designs,Fashion style,packed in an elegant gift box,it is so nice to give to your family or friend as a gift,and you can buy a little bigger,the user can easily make it short; | Easy To Use--No trouble of size in-between of holes! in the back of belt,there are 32 ratchet notches,it provides a micro size-adjustment of 0.25",which can follow the variation of your waist precisely; | Durability--Strap-Genuine Leather,flexible and firm; Buckle-Zinc alloyed with high quality coating for scratch resistance; | GUARANTEE--100% Guarantee available. Any product issue makes you dissatisfy with this belt within the GUARANTEE PERIOD,let us know and we will make it right,Full Refund or a Free Replacement,whichever you prefer.</x:v>
      </x:c>
      <x:c r="G79" s="17" t="str">
        <x:v>Department: mens | Date First Available: October 8, 2017</x:v>
      </x:c>
      <x:c r="H79" s="17" t="str"/>
      <x:c r="I79" s="76" t="n">
        <x:v>24.99</x:v>
      </x:c>
      <x:c r="J79" s="75" t="n">
        <x:v>4.6</x:v>
      </x:c>
      <x:c r="K79" s="77" t="n">
        <x:v>38612</x:v>
      </x:c>
      <x:c r="L79" s="77" t="str">
        <x:v>BULLIANT</x:v>
      </x:c>
      <x:c r="M79" s="77" t="n">
        <x:f>LEN(C79)</x:f>
        <x:v>84</x:v>
      </x:c>
      <x:c r="N79" s="77" t="n">
        <x:f>LEN(F79)</x:f>
        <x:v>1021</x:v>
      </x:c>
      <x:c r="O79" s="77" t="n">
        <x:f>LEN(G79)</x:f>
        <x:v>56</x:v>
      </x:c>
      <x:c r="P79" s="77" t="n">
        <x:f>LEN(H79)</x:f>
        <x:v>0</x:v>
      </x:c>
      <x:c r="Q79" s="77" t="n">
        <x:f>IF(LEN(C79)&gt;0,1,0)+IF(LEN(D79)&gt;0,1,0)+IF(LEN(F79)&gt;0,1,0)+IF(LEN(G79)&gt;0,1,0)+IF(LEN(H79)&gt;0,1,0)+IF(ISNUMBER(I79),1,0)+IF(ISNUMBER(J79),1,0)+IF(ISNUMBER(K79),1,0)+IF(LEN(L79)&gt;0,1,0)</x:f>
        <x:v>8</x:v>
      </x:c>
      <x:c r="R79" s="78" t="n">
        <x:f>Q79/9</x:f>
        <x:v>0.8888888888888888</x:v>
      </x:c>
    </x:row>
    <x:row r="80" ht="72" customHeight="1">
      <x:c r="A80" t="str">
        <x:v>public_0076</x:v>
      </x:c>
      <x:c r="B80" t="str">
        <x:v>B07XT6PLTB</x:v>
      </x:c>
      <x:c r="C80" s="17" t="str">
        <x:v>Proud Army Girlfriend US Flag Dog Tags Pride Military Lovers Zip Hoodie</x:v>
      </x:c>
      <x:c r="D80" s="17" t="str">
        <x:v>Clothing, Shoes &amp; Jewelry | Novelty &amp; More | Clothing | Novelty | Women | Hoodies</x:v>
      </x:c>
      <x:c r="E80" s="17" t="str">
        <x:v>Hoodies</x:v>
      </x:c>
      <x:c r="F80" s="17" t="str">
        <x:v>Solid colors: 80% Cotton, 20% Polyester; Heather Grey: 78% Cotton, 22% Poly; Dark Heather: 50% Cotton, 50% Polyester | Imported | Zipper closure | Machine Wash | Army family design for a proud military girlfriend of a US soldier or National Guardsman and veteran. US Flag military camouflage print for a proud army lover of our hero soldier to wear with pride. Get military graduation day / military deployment art! | Featuring a military camo and American flag military dog tags with a military family quote. Military gathering outfit for a proud army girlfriend to wear with pride. Show others how proud you are of your soldier boyfriend with this military art. | 8.5 oz, Classic fit, Twill-taped neck</x:v>
      </x:c>
      <x:c r="G80" s="17" t="str">
        <x:v>Package Dimensions: 12 x 12 x 5 inches; 1.3 Pounds | Department: Unisex-adult | Date First Available: September 12, 2019 | Manufacturer: Proud Cloth Military Family Shirts</x:v>
      </x:c>
      <x:c r="H80" s="17" t="str">
        <x:v>THE GRAPHIC IS ON THE BACK OF THIS PRODUCT. Army family design for a proud military girlfriend of a US soldier or National Guardsman and veteran. US Flag military camouflage print for a proud army lover of our hero soldier to wear with pride. Get military graduation day / military deployment art! Featuring a military camo and American flag military dog tags with a military family quote. Military gathering outfit for a proud army girlfriend to wear with pride. Show others how proud you are of your soldier boyfriend with this military art. This Proud Army Girlfriend US Flag Dog Tags Pride Military Lovers item is designed by Proud Cloth Military Family Shirts.</x:v>
      </x:c>
      <x:c r="I80" s="76" t="n">
        <x:v>36.85</x:v>
      </x:c>
      <x:c r="J80" s="75" t="n">
        <x:v>5</x:v>
      </x:c>
      <x:c r="K80" s="77" t="n">
        <x:v>3</x:v>
      </x:c>
      <x:c r="L80" s="77" t="str">
        <x:v>Proud Cloth Military Family Shirts</x:v>
      </x:c>
      <x:c r="M80" s="77" t="n">
        <x:f>LEN(C80)</x:f>
        <x:v>71</x:v>
      </x:c>
      <x:c r="N80" s="77" t="n">
        <x:f>LEN(F80)</x:f>
        <x:v>703</x:v>
      </x:c>
      <x:c r="O80" s="77" t="n">
        <x:f>LEN(G80)</x:f>
        <x:v>171</x:v>
      </x:c>
      <x:c r="P80" s="77" t="n">
        <x:f>LEN(H80)</x:f>
        <x:v>665</x:v>
      </x:c>
      <x:c r="Q80" s="77" t="n">
        <x:f>IF(LEN(C80)&gt;0,1,0)+IF(LEN(D80)&gt;0,1,0)+IF(LEN(F80)&gt;0,1,0)+IF(LEN(G80)&gt;0,1,0)+IF(LEN(H80)&gt;0,1,0)+IF(ISNUMBER(I80),1,0)+IF(ISNUMBER(J80),1,0)+IF(ISNUMBER(K80),1,0)+IF(LEN(L80)&gt;0,1,0)</x:f>
        <x:v>9</x:v>
      </x:c>
      <x:c r="R80" s="78" t="n">
        <x:f>Q80/9</x:f>
        <x:v>1</x:v>
      </x:c>
    </x:row>
    <x:row r="81" ht="72" customHeight="1">
      <x:c r="A81" t="str">
        <x:v>public_0077</x:v>
      </x:c>
      <x:c r="B81" t="str">
        <x:v>B077JDSZ27</x:v>
      </x:c>
      <x:c r="C81" s="17" t="str">
        <x:v>Ashford &amp; Brooks Mens Flannel Long Sleeve Sleep Nightshirt</x:v>
      </x:c>
      <x:c r="D81" s="17" t="str">
        <x:v>Clothing, Shoes &amp; Jewelry | Men | Clothing | Sleep &amp; Lounge | Sleep Tops</x:v>
      </x:c>
      <x:c r="E81" s="17" t="str">
        <x:v>Sleep Tops</x:v>
      </x:c>
      <x:c r="F81" s="17" t="str">
        <x:v>55% Cotton /45% Polyester Flannel | Button closure | Machine Wash | Premium Luxurious Cotton Blend Flannel classic Henley pullover long nightgown for men has a roomy relaxed fit making it very easy to put on and take off, perfect to lounge around the House or as a hospital gown and for surgery recovery. | Woven Flannel Fabric blend is designed to give you that soft and cozy touch that feels great against skin, at the same time prevent excessive shrinkage unlike the 100% Cotton Flannel fabric. | Modest Long mens kaftan robe features; Plaid patterns with piping, Long sleeve V neck baseball collar sleep shirt top with 3 button-down closure, 1 chest slip pocket, length approx. 46" Shoulder to hem. | Comfortable and durable, itll keep you warm and comfy during the cold winter days yet stylish at the same time. This Night long pajama top for men Makes a great gift present for dad, husband, brother for Holiday, Christmas, Birthday or for any occasion. | Easy Care Instructions: Machine wash cold, tumble dry low Remove Promptly cool iron if needed</x:v>
      </x:c>
      <x:c r="G81" s="17" t="str">
        <x:v>Is Discontinued By Manufacturer: No | Item model number: AB86355FNS | Department: Mens | Date First Available: November 16, 2017</x:v>
      </x:c>
      <x:c r="H81" s="17" t="str"/>
      <x:c r="I81" s="76" t="n">
        <x:v>38.99</x:v>
      </x:c>
      <x:c r="J81" s="75" t="n">
        <x:v>4.6</x:v>
      </x:c>
      <x:c r="K81" s="77" t="n">
        <x:v>1979</x:v>
      </x:c>
      <x:c r="L81" s="77" t="str">
        <x:v>Ashford &amp; Brooks</x:v>
      </x:c>
      <x:c r="M81" s="77" t="n">
        <x:f>LEN(C81)</x:f>
        <x:v>58</x:v>
      </x:c>
      <x:c r="N81" s="77" t="n">
        <x:f>LEN(F81)</x:f>
        <x:v>1054</x:v>
      </x:c>
      <x:c r="O81" s="77" t="n">
        <x:f>LEN(G81)</x:f>
        <x:v>128</x:v>
      </x:c>
      <x:c r="P81" s="77" t="n">
        <x:f>LEN(H81)</x:f>
        <x:v>0</x:v>
      </x:c>
      <x:c r="Q81" s="77" t="n">
        <x:f>IF(LEN(C81)&gt;0,1,0)+IF(LEN(D81)&gt;0,1,0)+IF(LEN(F81)&gt;0,1,0)+IF(LEN(G81)&gt;0,1,0)+IF(LEN(H81)&gt;0,1,0)+IF(ISNUMBER(I81),1,0)+IF(ISNUMBER(J81),1,0)+IF(ISNUMBER(K81),1,0)+IF(LEN(L81)&gt;0,1,0)</x:f>
        <x:v>8</x:v>
      </x:c>
      <x:c r="R81" s="78" t="n">
        <x:f>Q81/9</x:f>
        <x:v>0.8888888888888888</x:v>
      </x:c>
    </x:row>
    <x:row r="82" ht="72" customHeight="1">
      <x:c r="A82" t="str">
        <x:v>public_0078</x:v>
      </x:c>
      <x:c r="B82" t="str">
        <x:v>B0C5RLJDSF</x:v>
      </x:c>
      <x:c r="C82" s="17" t="str">
        <x:v>Hanes Women's Value, Crew Soft Moisture-Wicking Socks, Available in 10 and 14-Packs</x:v>
      </x:c>
      <x:c r="D82" s="17" t="str">
        <x:v>Clothing, Shoes &amp; Jewelry | Women | Clothing | Socks &amp; Hosiery | Socks | No Show &amp; Liner Socks</x:v>
      </x:c>
      <x:c r="E82" s="17" t="str">
        <x:v>No Show &amp; Liner Socks</x:v>
      </x:c>
      <x:c r="F82" s="17" t="str">
        <x:v>78% Cotton, 21% Polyester, 1% Spandex | Made in the USA or Imported | Pull On closure | Machine Wash | EXCELLENT FIT – made with a touch of soft and stretchy Spandex so it gently conforms to the shape of the foot. | KEEP YOUR COOL - Cool Comfort fabric wicks away moisture so your feet stay cool and dry all day. | COMFORT YOU DESERVE – Cushioned foot bottom make these cushioned socks a sure bet for everyday wear, from work, play, gym, sports, and beyond. | DURABLE – Reinforced heel and toe for added durability and sock longevity | SMOOTH SEAMS – Comfort Toe seams are our smoothest seams yet | ECO FRIENDLY - made with EcoSmart fabric that contains recycled fibers | EASY CARE – Throw your new socks right in the washing machine on laundry day. Wash on cold and save!</x:v>
      </x:c>
      <x:c r="G82" s="17" t="str">
        <x:v>Item model number: 68314P | Department: Womens | Date First Available: May 19, 2023 | Manufacturer: Hanes Women's Socks</x:v>
      </x:c>
      <x:c r="H82" s="17" t="str">
        <x:v>Hanes Women's Cool Comfort Socks offer the comfort, softness, and value you expect from Hanes. Perfect for everyday wear, these socks are a favorite basic. They have a reinforced heel and toe for durability and are built to last! A cushioned foot bottom provides all day comfort, and spandex throughout means a great all-day fit. Wicking Cool Comfort fabric helps keep feet cool and dry.</x:v>
      </x:c>
      <x:c r="I82" s="76" t="n">
        <x:v>7.69</x:v>
      </x:c>
      <x:c r="J82" s="75" t="n">
        <x:v>4.7</x:v>
      </x:c>
      <x:c r="K82" s="77" t="n">
        <x:v>36978</x:v>
      </x:c>
      <x:c r="L82" s="77" t="str">
        <x:v>Hanes</x:v>
      </x:c>
      <x:c r="M82" s="77" t="n">
        <x:f>LEN(C82)</x:f>
        <x:v>83</x:v>
      </x:c>
      <x:c r="N82" s="77" t="n">
        <x:f>LEN(F82)</x:f>
        <x:v>772</x:v>
      </x:c>
      <x:c r="O82" s="77" t="n">
        <x:f>LEN(G82)</x:f>
        <x:v>119</x:v>
      </x:c>
      <x:c r="P82" s="77" t="n">
        <x:f>LEN(H82)</x:f>
        <x:v>387</x:v>
      </x:c>
      <x:c r="Q82" s="77" t="n">
        <x:f>IF(LEN(C82)&gt;0,1,0)+IF(LEN(D82)&gt;0,1,0)+IF(LEN(F82)&gt;0,1,0)+IF(LEN(G82)&gt;0,1,0)+IF(LEN(H82)&gt;0,1,0)+IF(ISNUMBER(I82),1,0)+IF(ISNUMBER(J82),1,0)+IF(ISNUMBER(K82),1,0)+IF(LEN(L82)&gt;0,1,0)</x:f>
        <x:v>9</x:v>
      </x:c>
      <x:c r="R82" s="78" t="n">
        <x:f>Q82/9</x:f>
        <x:v>1</x:v>
      </x:c>
    </x:row>
    <x:row r="83" ht="72" customHeight="1">
      <x:c r="A83" t="str">
        <x:v>public_0079</x:v>
      </x:c>
      <x:c r="B83" t="str">
        <x:v>B0BFRMX3JG</x:v>
      </x:c>
      <x:c r="C83" s="17" t="str">
        <x:v>Jeasona Women’s Fuzzy Slipper Socks With Grippers Cozy Warm Cute Animal Gifts</x:v>
      </x:c>
      <x:c r="D83" s="17" t="str">
        <x:v>Clothing, Shoes &amp; Jewelry | Women | Clothing | Socks &amp; Hosiery | Slipper Socks</x:v>
      </x:c>
      <x:c r="E83" s="17" t="str">
        <x:v>Slipper Socks</x:v>
      </x:c>
      <x:c r="F83" s="17" t="str">
        <x:v>Rubber sole | Best Gifts Ideas: These cute fluffy slipper socks are featuring lovely animals pattern-owl, dog, cat, fox, penguin and reindeer. They are very good gifts for women. Gifts for mom. Best gifts for Christmas present, birthday present for families, girl, kids and elderly mother. | Super Soft and Cozy: These fuzzy slipper socks are made of Polyester 95%, Spandex 5%. The material is extraordinary soft and comfy. | Very Warm: These thick warm winter slipper socks featuring soft fleece lined. Perfect for cold weather and great around the house, make house slippers unnecessary. | Slipper Socks with Grippers Design: Silicon rubber grips on soles of socks prevent slips and falls on smooth floors. Great socks for the elderly to prevent falls | Size: These soft slipper socks are suitable for women US Size 5-8.</x:v>
      </x:c>
      <x:c r="G83" s="17" t="str">
        <x:v>Package Dimensions: 7 x 5 x 5 inches; 6 Ounces | Item model number: 1-509 | Department: Womens | Date First Available: September 19, 2022</x:v>
      </x:c>
      <x:c r="H83" s="17" t="str">
        <x:v>The main material of our socks is high quality raw material. Our socks have good breathable and durable.  These cute fleece lined slipper socks are featuring lovely animal pattern. They are best gifts for animal lovers.  They are very good gifts for women. Gifts for mom. Best gifts for Christmas present, birthday present for families, girl, kids and elderly mother.  Note:  1. Due to different monitors and lighting, the color of the actual socks may be slightly different with the above images. We strive to make the colors as accurate as possible. Thanks for your understanding!</x:v>
      </x:c>
      <x:c r="I83" s="76" t="n">
        <x:v>13.99</x:v>
      </x:c>
      <x:c r="J83" s="75" t="n">
        <x:v>4.7</x:v>
      </x:c>
      <x:c r="K83" s="77" t="n">
        <x:v>3029</x:v>
      </x:c>
      <x:c r="L83" s="77" t="str">
        <x:v>Jeasona</x:v>
      </x:c>
      <x:c r="M83" s="77" t="n">
        <x:f>LEN(C83)</x:f>
        <x:v>77</x:v>
      </x:c>
      <x:c r="N83" s="77" t="n">
        <x:f>LEN(F83)</x:f>
        <x:v>822</x:v>
      </x:c>
      <x:c r="O83" s="77" t="n">
        <x:f>LEN(G83)</x:f>
        <x:v>137</x:v>
      </x:c>
      <x:c r="P83" s="77" t="n">
        <x:f>LEN(H83)</x:f>
        <x:v>582</x:v>
      </x:c>
      <x:c r="Q83" s="77" t="n">
        <x:f>IF(LEN(C83)&gt;0,1,0)+IF(LEN(D83)&gt;0,1,0)+IF(LEN(F83)&gt;0,1,0)+IF(LEN(G83)&gt;0,1,0)+IF(LEN(H83)&gt;0,1,0)+IF(ISNUMBER(I83),1,0)+IF(ISNUMBER(J83),1,0)+IF(ISNUMBER(K83),1,0)+IF(LEN(L83)&gt;0,1,0)</x:f>
        <x:v>9</x:v>
      </x:c>
      <x:c r="R83" s="78" t="n">
        <x:f>Q83/9</x:f>
        <x:v>1</x:v>
      </x:c>
    </x:row>
    <x:row r="84" ht="72" customHeight="1">
      <x:c r="A84" t="str">
        <x:v>public_0080</x:v>
      </x:c>
      <x:c r="B84" t="str">
        <x:v>B0BPRQY4CF</x:v>
      </x:c>
      <x:c r="C84" s="17" t="str">
        <x:v>IZOD Men's Advantage Performance Short Sleeve Polo Shirt</x:v>
      </x:c>
      <x:c r="D84" s="17" t="str">
        <x:v>Clothing, Shoes &amp; Jewelry | Men | Clothing | Shirts | Polos</x:v>
      </x:c>
      <x:c r="E84" s="17" t="str">
        <x:v>Polos</x:v>
      </x:c>
      <x:c r="F84" s="17" t="str">
        <x:v>60% Cotton, 40% Polyester | Imported | Button closure | Machine Wash | Stretch fabric - sport flex technology moves with your body for maximum flexibility | Moisture-wicking - sweat and water-resistant moisture-wicking fabric for all-day comfort | Breathable material - a mix of cotton and polyester material creates a breathable, lightweight feel | Uv protection - special tight-knit thread protects your skin against the sun's harmful UV rays | Stay-put collar - no need for collar stays or an iron with a roll-resistant collar</x:v>
      </x:c>
      <x:c r="G84" s="17" t="str">
        <x:v>Item Weight: 1 Pounds | Department: unisex-adult | Date First Available: July 5, 2017 | Manufacturer: IZOD</x:v>
      </x:c>
      <x:c r="H84" s="17" t="str"/>
      <x:c r="I84" s="76" t="str"/>
      <x:c r="J84" s="75" t="n">
        <x:v>4.5</x:v>
      </x:c>
      <x:c r="K84" s="77" t="n">
        <x:v>20450</x:v>
      </x:c>
      <x:c r="L84" s="77" t="str">
        <x:v>IZOD</x:v>
      </x:c>
      <x:c r="M84" s="77" t="n">
        <x:f>LEN(C84)</x:f>
        <x:v>56</x:v>
      </x:c>
      <x:c r="N84" s="77" t="n">
        <x:f>LEN(F84)</x:f>
        <x:v>529</x:v>
      </x:c>
      <x:c r="O84" s="77" t="n">
        <x:f>LEN(G84)</x:f>
        <x:v>106</x:v>
      </x:c>
      <x:c r="P84" s="77" t="n">
        <x:f>LEN(H84)</x:f>
        <x:v>0</x:v>
      </x:c>
      <x:c r="Q84" s="77" t="n">
        <x:f>IF(LEN(C84)&gt;0,1,0)+IF(LEN(D84)&gt;0,1,0)+IF(LEN(F84)&gt;0,1,0)+IF(LEN(G84)&gt;0,1,0)+IF(LEN(H84)&gt;0,1,0)+IF(ISNUMBER(I84),1,0)+IF(ISNUMBER(J84),1,0)+IF(ISNUMBER(K84),1,0)+IF(LEN(L84)&gt;0,1,0)</x:f>
        <x:v>7</x:v>
      </x:c>
      <x:c r="R84" s="78" t="n">
        <x:f>Q84/9</x:f>
        <x:v>0.7777777777777778</x:v>
      </x:c>
    </x:row>
    <x:row r="85" ht="72" customHeight="1">
      <x:c r="A85" t="str">
        <x:v>public_0081</x:v>
      </x:c>
      <x:c r="B85" t="str">
        <x:v>B0BSS36XCS</x:v>
      </x:c>
      <x:c r="C85" s="17" t="str">
        <x:v>Fruit of the Loom Men's Eversoft Cotton Stay Tucked V-Neck T-Shirt</x:v>
      </x:c>
      <x:c r="D85" s="17" t="str">
        <x:v>Clothing, Shoes &amp; Jewelry | Men | Clothing | Underwear | Undershirts</x:v>
      </x:c>
      <x:c r="E85" s="17" t="str">
        <x:v>Undershirts</x:v>
      </x:c>
      <x:c r="F85" s="17" t="str">
        <x:v>100% Cotton | Pull On closure | Machine Wash | Eversoft Cotton Stay Tucked V-neck T-shirt</x:v>
      </x:c>
      <x:c r="G85" s="17" t="str">
        <x:v>Department: Mens | Date First Available: January 22, 2023 | Manufacturer: Fruit of the Loom</x:v>
      </x:c>
      <x:c r="H85" s="17" t="str"/>
      <x:c r="I85" s="76" t="n">
        <x:v>45.92</x:v>
      </x:c>
      <x:c r="J85" s="75" t="n">
        <x:v>4.6</x:v>
      </x:c>
      <x:c r="K85" s="77" t="n">
        <x:v>41917</x:v>
      </x:c>
      <x:c r="L85" s="77" t="str">
        <x:v>Fruit of the Loom</x:v>
      </x:c>
      <x:c r="M85" s="77" t="n">
        <x:f>LEN(C85)</x:f>
        <x:v>66</x:v>
      </x:c>
      <x:c r="N85" s="77" t="n">
        <x:f>LEN(F85)</x:f>
        <x:v>89</x:v>
      </x:c>
      <x:c r="O85" s="77" t="n">
        <x:f>LEN(G85)</x:f>
        <x:v>91</x:v>
      </x:c>
      <x:c r="P85" s="77" t="n">
        <x:f>LEN(H85)</x:f>
        <x:v>0</x:v>
      </x:c>
      <x:c r="Q85" s="77" t="n">
        <x:f>IF(LEN(C85)&gt;0,1,0)+IF(LEN(D85)&gt;0,1,0)+IF(LEN(F85)&gt;0,1,0)+IF(LEN(G85)&gt;0,1,0)+IF(LEN(H85)&gt;0,1,0)+IF(ISNUMBER(I85),1,0)+IF(ISNUMBER(J85),1,0)+IF(ISNUMBER(K85),1,0)+IF(LEN(L85)&gt;0,1,0)</x:f>
        <x:v>8</x:v>
      </x:c>
      <x:c r="R85" s="78" t="n">
        <x:f>Q85/9</x:f>
        <x:v>0.8888888888888888</x:v>
      </x:c>
    </x:row>
    <x:row r="86" ht="72" customHeight="1">
      <x:c r="A86" t="str">
        <x:v>public_0082</x:v>
      </x:c>
      <x:c r="B86" t="str">
        <x:v>B09BPZCWDP</x:v>
      </x:c>
      <x:c r="C86" s="17" t="str">
        <x:v>Hicarer 21 Pieces Surfer Wave Bracelet Ocean Wave Adjustable Waterproof Handmade Friendship Bracelet Summer Sunflower Bracelets Anklets Jewelry for Women Teen Girls</x:v>
      </x:c>
      <x:c r="D86" s="17" t="str">
        <x:v>Clothing, Shoes &amp; Jewelry | Women | Jewelry | Bracelets | Strand</x:v>
      </x:c>
      <x:c r="E86" s="17" t="str">
        <x:v>Strand</x:v>
      </x:c>
      <x:c r="F86" s="17" t="str">
        <x:v>21 Styles: the package contains 21 pieces beach bracelet anklets in different styles as shown in the picture, coming with various elements, enough quantity to use and share with families or friends | Waterproof and fadeless: these boho style pull cord anklets are made of a combination of wax and cords, featuring good resistance of water, not easy to fade even if you go surfing and swimming wearing with them | Summer vibe accessories: blue and orange colors of the wave strand bracelet set can easily make you look vibrant, going well with different clothes; Nice accessories to wear in summer and go to the beach | Adjustable size: each beach surfer strand wave bracelet is 7 to 10 inches in length, it can be adjusted by to fit the size of your wrist and ankle, proper size for most women and girls | Different ways of wearing: these summer friendship bracelets can be worn as bracelets and anklets, also allow you to combine together, DIY your own jewelry and be a stylish lady; Nice gifts to mom, wife, girlfriend, friends and so on</x:v>
      </x:c>
      <x:c r="G86" s="17" t="str">
        <x:v>Color: Blue,Orange | Brand: Hicarer | Style: Multiple Style | Age Range (Description): Adult | Size: 7 inches | Package Dimensions: 5.91 x 3.94 x 0.59 inches; 1.76 Ounces | Department: womens | Date First Available: August 3, 2021 | Manufacturer: Hicarer</x:v>
      </x:c>
      <x:c r="H86" s="17" t="str"/>
      <x:c r="I86" s="76" t="n">
        <x:v>12.99</x:v>
      </x:c>
      <x:c r="J86" s="75" t="n">
        <x:v>4.1</x:v>
      </x:c>
      <x:c r="K86" s="77" t="n">
        <x:v>5195</x:v>
      </x:c>
      <x:c r="L86" s="77" t="str">
        <x:v>Hicarer</x:v>
      </x:c>
      <x:c r="M86" s="77" t="n">
        <x:f>LEN(C86)</x:f>
        <x:v>164</x:v>
      </x:c>
      <x:c r="N86" s="77" t="n">
        <x:f>LEN(F86)</x:f>
        <x:v>1039</x:v>
      </x:c>
      <x:c r="O86" s="77" t="n">
        <x:f>LEN(G86)</x:f>
        <x:v>254</x:v>
      </x:c>
      <x:c r="P86" s="77" t="n">
        <x:f>LEN(H86)</x:f>
        <x:v>0</x:v>
      </x:c>
      <x:c r="Q86" s="77" t="n">
        <x:f>IF(LEN(C86)&gt;0,1,0)+IF(LEN(D86)&gt;0,1,0)+IF(LEN(F86)&gt;0,1,0)+IF(LEN(G86)&gt;0,1,0)+IF(LEN(H86)&gt;0,1,0)+IF(ISNUMBER(I86),1,0)+IF(ISNUMBER(J86),1,0)+IF(ISNUMBER(K86),1,0)+IF(LEN(L86)&gt;0,1,0)</x:f>
        <x:v>8</x:v>
      </x:c>
      <x:c r="R86" s="78" t="n">
        <x:f>Q86/9</x:f>
        <x:v>0.8888888888888888</x:v>
      </x:c>
    </x:row>
    <x:row r="87" ht="72" customHeight="1">
      <x:c r="A87" t="str">
        <x:v>public_0083</x:v>
      </x:c>
      <x:c r="B87" t="str">
        <x:v>B0BPMCJ1RD</x:v>
      </x:c>
      <x:c r="C87" s="17" t="str">
        <x:v>CHICZONE Plaid Shacket Jacket Womens Long Flannel Jacket Casual Lapel Button Down Tartan Trench Coats</x:v>
      </x:c>
      <x:c r="D87" s="17" t="str">
        <x:v>Clothing, Shoes &amp; Jewelry | Women | Clothing | Tops, Tees &amp; Blouses | Blouses &amp; Button-Down Shirts</x:v>
      </x:c>
      <x:c r="E87" s="17" t="str">
        <x:v>Blouses &amp; Button-Down Shirts</x:v>
      </x:c>
      <x:c r="F87" s="17" t="str">
        <x:v>100% Polyester | Imported | Button closure | Button down long plaid shirt, gingham printed flannel shacket jacket, long sleeve tartan shirts jackets, wool blend trench coat for women and ladies. | Features:Color block checkered pattern,turndown collar,drop shoulder,long sleeve with button cuff,two side pockets, 2 buttoned flap chest pockets, side slit, arc hem,under knee length, oversized boyfriend style. The plaid shacket jacket is a must have in women's closet! | Match:This flannel shacket can be worn open as a long plaid jacket or wool trench coat.Pair with sweaters,turtlenecks,jeans,shorts,skinny leggings,boots,scarf,and boots for casual and street style. | Occasion: The long plaid coat is perfect for casual daily life,shopping,street wear,working,office,school,holiday,vacation,night out,outdoor etc,suitable for autumn, winter and spring. | Comfy,relaxed loose fit brushed checked mid long flannel shirt coat,suit for for spring,fall,autumn,winter.The fabric is medium weight, durable and warm, soft and comfy to wear.</x:v>
      </x:c>
      <x:c r="G87" s="17" t="str">
        <x:v>Department: Womens | Date First Available: December 9, 2022</x:v>
      </x:c>
      <x:c r="H87" s="17" t="str"/>
      <x:c r="I87" s="76" t="n">
        <x:v>39.58</x:v>
      </x:c>
      <x:c r="J87" s="75" t="n">
        <x:v>4.4</x:v>
      </x:c>
      <x:c r="K87" s="77" t="n">
        <x:v>648</x:v>
      </x:c>
      <x:c r="L87" s="77" t="str">
        <x:v>CHICZONE</x:v>
      </x:c>
      <x:c r="M87" s="77" t="n">
        <x:f>LEN(C87)</x:f>
        <x:v>101</x:v>
      </x:c>
      <x:c r="N87" s="77" t="n">
        <x:f>LEN(F87)</x:f>
        <x:v>1034</x:v>
      </x:c>
      <x:c r="O87" s="77" t="n">
        <x:f>LEN(G87)</x:f>
        <x:v>59</x:v>
      </x:c>
      <x:c r="P87" s="77" t="n">
        <x:f>LEN(H87)</x:f>
        <x:v>0</x:v>
      </x:c>
      <x:c r="Q87" s="77" t="n">
        <x:f>IF(LEN(C87)&gt;0,1,0)+IF(LEN(D87)&gt;0,1,0)+IF(LEN(F87)&gt;0,1,0)+IF(LEN(G87)&gt;0,1,0)+IF(LEN(H87)&gt;0,1,0)+IF(ISNUMBER(I87),1,0)+IF(ISNUMBER(J87),1,0)+IF(ISNUMBER(K87),1,0)+IF(LEN(L87)&gt;0,1,0)</x:f>
        <x:v>8</x:v>
      </x:c>
      <x:c r="R87" s="78" t="n">
        <x:f>Q87/9</x:f>
        <x:v>0.8888888888888888</x:v>
      </x:c>
    </x:row>
    <x:row r="88" ht="72" customHeight="1">
      <x:c r="A88" t="str">
        <x:v>public_0084</x:v>
      </x:c>
      <x:c r="B88" t="str">
        <x:v>B08WKZNFG2</x:v>
      </x:c>
      <x:c r="C88" s="17" t="str">
        <x:v>BeltBro Titan No Buckle Elastic Belt For Men — Fits 1.5 Inch Belt Loops, Comfortable and Easy To Use</x:v>
      </x:c>
      <x:c r="D88" s="17" t="str">
        <x:v>Clothing, Shoes &amp; Jewelry | Men | Accessories | Belts</x:v>
      </x:c>
      <x:c r="E88" s="17" t="str">
        <x:v>Belts</x:v>
      </x:c>
      <x:c r="F88" s="17" t="str">
        <x:v>33% Elastic, 34% Nylon, 33% Polyester | Hook and Loop closure | Hand Wash Only | YOUR PANTS WILL NEVER FALL DOWN — All pants and shorts with belt loops are spaced differently. This pack includes 2 small (10") BeltBro which allow you to attach to both sides of the belt loops on your pants. The pair will ensure your pants are secure and comfortable. | EXPERIENCE ULTIMATE COMFORT ALL DAY LONG — Belts dig into your stomach, causing pain and annoyance. With BeltBro Titan, your pants feel secure but you won’t even feel like you’re wearing a belt. The BeltBro allows you to breathe easy and stay comfortable. It's the perfect way to secure your pants without an uncomfortable belt pressing against your stomach. | MADE TO LAST — The BeltBro Titan is made of a soft elastic fiber band with nylon and polyester, integrated into an industrial strength design. It's a far superior, fashionable, and more comfortable way to secure two belt loops together evenly and securely. It’s our strongest model available for Men's pants, it can even support the weight of accessories! | LIGHTWEIGHT AND EASY TO TAKE ON AND OFF — Weighing just 2oz, the BeltBro Titan secures on and off in just seconds. Hate taking off your belt at the airport? No problem! Wear the BeltBro Titan through the airport without any hassle. The 1.5-inch belt BeltBro Titan is made to fit any common mens pants and shorts. | BRING NEW LIFE TO YOUR FAVORITE CLOTHING — Recently lost weight? You don’t have to buy a whole new wardrobe. Use the BeltBro Titan to bring new life to your pants and enjoy wearing your favorite clothing again!</x:v>
      </x:c>
      <x:c r="G88" s="17" t="str">
        <x:v>Department: unisex-adult | Date First Available: February 14, 2021</x:v>
      </x:c>
      <x:c r="H88" s="17" t="str"/>
      <x:c r="I88" s="76" t="n">
        <x:v>14.95</x:v>
      </x:c>
      <x:c r="J88" s="75" t="n">
        <x:v>3.8</x:v>
      </x:c>
      <x:c r="K88" s="77" t="n">
        <x:v>24583</x:v>
      </x:c>
      <x:c r="L88" s="77" t="str">
        <x:v>BeltBro</x:v>
      </x:c>
      <x:c r="M88" s="77" t="n">
        <x:f>LEN(C88)</x:f>
        <x:v>100</x:v>
      </x:c>
      <x:c r="N88" s="77" t="n">
        <x:f>LEN(F88)</x:f>
        <x:v>1596</x:v>
      </x:c>
      <x:c r="O88" s="77" t="n">
        <x:f>LEN(G88)</x:f>
        <x:v>66</x:v>
      </x:c>
      <x:c r="P88" s="77" t="n">
        <x:f>LEN(H88)</x:f>
        <x:v>0</x:v>
      </x:c>
      <x:c r="Q88" s="77" t="n">
        <x:f>IF(LEN(C88)&gt;0,1,0)+IF(LEN(D88)&gt;0,1,0)+IF(LEN(F88)&gt;0,1,0)+IF(LEN(G88)&gt;0,1,0)+IF(LEN(H88)&gt;0,1,0)+IF(ISNUMBER(I88),1,0)+IF(ISNUMBER(J88),1,0)+IF(ISNUMBER(K88),1,0)+IF(LEN(L88)&gt;0,1,0)</x:f>
        <x:v>8</x:v>
      </x:c>
      <x:c r="R88" s="78" t="n">
        <x:f>Q88/9</x:f>
        <x:v>0.8888888888888888</x:v>
      </x:c>
    </x:row>
    <x:row r="89" ht="72" customHeight="1">
      <x:c r="A89" t="str">
        <x:v>public_0085</x:v>
      </x:c>
      <x:c r="B89" t="str">
        <x:v>B0C3YJMRRD</x:v>
      </x:c>
      <x:c r="C89" s="17" t="str">
        <x:v>welltree Slides for Women Men Pillow Slippers Non-Slip Bathroom Shower Sandals Soft Thick Sole Indoor and Outdoor Slides</x:v>
      </x:c>
      <x:c r="D89" s="17" t="str">
        <x:v>Clothing, Shoes &amp; Jewelry | Women | Shoes | Sandals | Slides</x:v>
      </x:c>
      <x:c r="E89" s="17" t="str">
        <x:v>Slides</x:v>
      </x:c>
      <x:c r="F89" s="17" t="str">
        <x:v>Ethylene Vinyl Acetate sole | Heel measures approximately 1.57" | 【High-Quality】:Slides for women and men are made of high-quality EVA, environmentally friendly, no special smell, no noise, no water absorption, and easy to clean. | 【Ergonomic Design】:About 30° forward tilt head protection design,so that the sole of the foot does not rush out. The sunken footbed fits the curve of the foot pelvic floor and makes walking more comfortable. | 【Non-Slip Sole】:This shower slippers has a non-slip sole, allowing you to walk smoothly whether in the bathroom or outdoors on a slippery road. | 【Thickened Soft Sole 】:The heel height of the slides is 1.57 inches, which is twice that of ordinary slippers. They are made of highly elastic materials. Every time you walk, you can feel the sinking and rebounding process, just as comfortable as walking on a sofa. | 【Any Occasion】:Slides for women and men are quite suitable for pool, gym shower, outdoor, indoor and any other casual occasion.</x:v>
      </x:c>
      <x:c r="G89" s="17" t="str">
        <x:v>Date First Available: April 30, 2023</x:v>
      </x:c>
      <x:c r="H89" s="17" t="str"/>
      <x:c r="I89" s="76" t="n">
        <x:v>13.59</x:v>
      </x:c>
      <x:c r="J89" s="75" t="n">
        <x:v>4.3</x:v>
      </x:c>
      <x:c r="K89" s="77" t="n">
        <x:v>12021</x:v>
      </x:c>
      <x:c r="L89" s="77" t="str">
        <x:v>welltree</x:v>
      </x:c>
      <x:c r="M89" s="77" t="n">
        <x:f>LEN(C89)</x:f>
        <x:v>120</x:v>
      </x:c>
      <x:c r="N89" s="77" t="n">
        <x:f>LEN(F89)</x:f>
        <x:v>983</x:v>
      </x:c>
      <x:c r="O89" s="77" t="n">
        <x:f>LEN(G89)</x:f>
        <x:v>36</x:v>
      </x:c>
      <x:c r="P89" s="77" t="n">
        <x:f>LEN(H89)</x:f>
        <x:v>0</x:v>
      </x:c>
      <x:c r="Q89" s="77" t="n">
        <x:f>IF(LEN(C89)&gt;0,1,0)+IF(LEN(D89)&gt;0,1,0)+IF(LEN(F89)&gt;0,1,0)+IF(LEN(G89)&gt;0,1,0)+IF(LEN(H89)&gt;0,1,0)+IF(ISNUMBER(I89),1,0)+IF(ISNUMBER(J89),1,0)+IF(ISNUMBER(K89),1,0)+IF(LEN(L89)&gt;0,1,0)</x:f>
        <x:v>8</x:v>
      </x:c>
      <x:c r="R89" s="78" t="n">
        <x:f>Q89/9</x:f>
        <x:v>0.8888888888888888</x:v>
      </x:c>
    </x:row>
    <x:row r="90" ht="72" customHeight="1">
      <x:c r="A90" t="str">
        <x:v>public_0086</x:v>
      </x:c>
      <x:c r="B90" t="str">
        <x:v>B07WN8N9Q7</x:v>
      </x:c>
      <x:c r="C90" s="17" t="str">
        <x:v>LongBay Women's Chenille Knit Bootie Slippers Cute Plush Fleece Memory Foam House Shoes</x:v>
      </x:c>
      <x:c r="D90" s="17" t="str">
        <x:v>Clothing, Shoes &amp; Jewelry | Women | Shoes | Slippers</x:v>
      </x:c>
      <x:c r="E90" s="17" t="str">
        <x:v>Slippers</x:v>
      </x:c>
      <x:c r="F90" s="17" t="str">
        <x:v>Rubber sole | PRETTY ANKLE BOOTS - Cozy up the cold season with these attractive warm house slippers while luxe chenille knit styling adds a chic and cute touch to your comfort. Subtle scrunching along your shin for added fashion appeal. Wide opening design makes them easy to slip on | COMFY &amp; SOFT - Nice chenille velvet upper and fuzzy plush fleece lining hug your feet and provide toasty warmth plus ultra softness, which make you feel like walking on a cloud. When you get home from work at the end of the day, these decent house slippers are great to relax your tired feet | CUSHION &amp; SUPPORT - Long lasting 80D memory foam insole provides superior cushioning and padding, feels like ergonomic pillows under your feet. Supportive insole relaxes your arch and soothes common foot pains from all-day walking or standing | VERSATILE USE - Flexible and durable rubber sole with traction at bottom for non-slip indoor wearing and sturdy outdoor use. Unlike regular scuffs, they come up over the ankle, which are perfect for cool evenings on the deck. They're also non-slip even on wet surfaces | BEST GIFT CHOICE - These shoes are machine washable, which makes caring for them easily. Well made, surprisingly nice, super comfortable and great fit, these booties would be perfect as a gift for yourself or your loved ones</x:v>
      </x:c>
      <x:c r="G90" s="17" t="str">
        <x:v>Department: womens | Date First Available: August 17, 2019</x:v>
      </x:c>
      <x:c r="H90" s="17" t="str"/>
      <x:c r="I90" s="76" t="n">
        <x:v>27.95</x:v>
      </x:c>
      <x:c r="J90" s="75" t="n">
        <x:v>4.6</x:v>
      </x:c>
      <x:c r="K90" s="77" t="n">
        <x:v>11754</x:v>
      </x:c>
      <x:c r="L90" s="77" t="str">
        <x:v>LongBay</x:v>
      </x:c>
      <x:c r="M90" s="77" t="n">
        <x:f>LEN(C90)</x:f>
        <x:v>87</x:v>
      </x:c>
      <x:c r="N90" s="77" t="n">
        <x:f>LEN(F90)</x:f>
        <x:v>1321</x:v>
      </x:c>
      <x:c r="O90" s="77" t="n">
        <x:f>LEN(G90)</x:f>
        <x:v>58</x:v>
      </x:c>
      <x:c r="P90" s="77" t="n">
        <x:f>LEN(H90)</x:f>
        <x:v>0</x:v>
      </x:c>
      <x:c r="Q90" s="77" t="n">
        <x:f>IF(LEN(C90)&gt;0,1,0)+IF(LEN(D90)&gt;0,1,0)+IF(LEN(F90)&gt;0,1,0)+IF(LEN(G90)&gt;0,1,0)+IF(LEN(H90)&gt;0,1,0)+IF(ISNUMBER(I90),1,0)+IF(ISNUMBER(J90),1,0)+IF(ISNUMBER(K90),1,0)+IF(LEN(L90)&gt;0,1,0)</x:f>
        <x:v>8</x:v>
      </x:c>
      <x:c r="R90" s="78" t="n">
        <x:f>Q90/9</x:f>
        <x:v>0.8888888888888888</x:v>
      </x:c>
    </x:row>
    <x:row r="91" ht="72" customHeight="1">
      <x:c r="A91" t="str">
        <x:v>public_0087</x:v>
      </x:c>
      <x:c r="B91" t="str">
        <x:v>B0BT158RRR</x:v>
      </x:c>
      <x:c r="C91" s="17" t="str">
        <x:v>Goodthreads Men's Standard-Fit Short-Sleeve Printed Poplin Shirt</x:v>
      </x:c>
      <x:c r="D91" s="17" t="str">
        <x:v>Clothing, Shoes &amp; Jewelry | Men | Clothing | Shirts | Casual Button-Down Shirts</x:v>
      </x:c>
      <x:c r="E91" s="17" t="str">
        <x:v>Casual Button-Down Shirts</x:v>
      </x:c>
      <x:c r="F91" s="17" t="str">
        <x:v>100% Cotton | Imported | Button closure | Machine Wash | Easy through chest and tapered through waist | Soft, durable and cozy tumbled poplin for a lived-in feel right away | Single chest pocket | An Amazon brand</x:v>
      </x:c>
      <x:c r="G91" s="17" t="str">
        <x:v>Item model number: MGT25079 | Department: Mens | Date First Available: January 25, 2023 | Manufacturer: Goodthreads</x:v>
      </x:c>
      <x:c r="H91" s="17" t="str">
        <x:v>Quality clothes for all the good things ahead. Our brand is stacked with vintage-inspired streetwear for easy looks every day.</x:v>
      </x:c>
      <x:c r="I91" s="76" t="n">
        <x:v>20</x:v>
      </x:c>
      <x:c r="J91" s="75" t="n">
        <x:v>4.5</x:v>
      </x:c>
      <x:c r="K91" s="77" t="n">
        <x:v>10080</x:v>
      </x:c>
      <x:c r="L91" s="77" t="str">
        <x:v>Goodthreads</x:v>
      </x:c>
      <x:c r="M91" s="77" t="n">
        <x:f>LEN(C91)</x:f>
        <x:v>64</x:v>
      </x:c>
      <x:c r="N91" s="77" t="n">
        <x:f>LEN(F91)</x:f>
        <x:v>212</x:v>
      </x:c>
      <x:c r="O91" s="77" t="n">
        <x:f>LEN(G91)</x:f>
        <x:v>115</x:v>
      </x:c>
      <x:c r="P91" s="77" t="n">
        <x:f>LEN(H91)</x:f>
        <x:v>126</x:v>
      </x:c>
      <x:c r="Q91" s="77" t="n">
        <x:f>IF(LEN(C91)&gt;0,1,0)+IF(LEN(D91)&gt;0,1,0)+IF(LEN(F91)&gt;0,1,0)+IF(LEN(G91)&gt;0,1,0)+IF(LEN(H91)&gt;0,1,0)+IF(ISNUMBER(I91),1,0)+IF(ISNUMBER(J91),1,0)+IF(ISNUMBER(K91),1,0)+IF(LEN(L91)&gt;0,1,0)</x:f>
        <x:v>9</x:v>
      </x:c>
      <x:c r="R91" s="78" t="n">
        <x:f>Q91/9</x:f>
        <x:v>1</x:v>
      </x:c>
    </x:row>
    <x:row r="92" ht="72" customHeight="1">
      <x:c r="A92" t="str">
        <x:v>public_0088</x:v>
      </x:c>
      <x:c r="B92" t="str">
        <x:v>B07Z6J5N6Y</x:v>
      </x:c>
      <x:c r="C92" s="17" t="str">
        <x:v>Amazon Essentials Women's Cotton Bikini Brief Underwear (Available in Plus Size), Multipacks</x:v>
      </x:c>
      <x:c r="D92" s="17" t="str">
        <x:v>Clothing, Shoes &amp; Jewelry | Women | Clothing | Lingerie, Sleep &amp; Lounge | Lingerie | Panties | Bikinis</x:v>
      </x:c>
      <x:c r="E92" s="17" t="str">
        <x:v>Bikinis</x:v>
      </x:c>
      <x:c r="F92" s="17" t="str">
        <x:v>95% Cotton, 5% Spandex | Imported | Machine Wash | Lightweight jersey cotton blend with stretch | Bikini-style panties | Moderate coverage | Tag-free | An Amazon brand | Colors may vary</x:v>
      </x:c>
      <x:c r="G92" s="17" t="str">
        <x:v>Package Dimensions: 1 x 1 x 1 inches; 8 Ounces | Item model number: WAE90087FL18 | Department: Womens | Date First Available: October 16, 2019 | Manufacturer: Amazon Essentials</x:v>
      </x:c>
      <x:c r="H92" s="17" t="str">
        <x:v>An Amazon brand - Classic stretch bikini panties with a smooth and comfortable fit |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x:v>
      </x:c>
      <x:c r="I92" s="76" t="n">
        <x:v>12.72</x:v>
      </x:c>
      <x:c r="J92" s="75" t="n">
        <x:v>4.5</x:v>
      </x:c>
      <x:c r="K92" s="77" t="n">
        <x:v>142454</x:v>
      </x:c>
      <x:c r="L92" s="77" t="str">
        <x:v>Amazon Essentials</x:v>
      </x:c>
      <x:c r="M92" s="77" t="n">
        <x:f>LEN(C92)</x:f>
        <x:v>92</x:v>
      </x:c>
      <x:c r="N92" s="77" t="n">
        <x:f>LEN(F92)</x:f>
        <x:v>185</x:v>
      </x:c>
      <x:c r="O92" s="77" t="n">
        <x:f>LEN(G92)</x:f>
        <x:v>176</x:v>
      </x:c>
      <x:c r="P92" s="77" t="n">
        <x:f>LEN(H92)</x:f>
        <x:v>474</x:v>
      </x:c>
      <x:c r="Q92" s="77" t="n">
        <x:f>IF(LEN(C92)&gt;0,1,0)+IF(LEN(D92)&gt;0,1,0)+IF(LEN(F92)&gt;0,1,0)+IF(LEN(G92)&gt;0,1,0)+IF(LEN(H92)&gt;0,1,0)+IF(ISNUMBER(I92),1,0)+IF(ISNUMBER(J92),1,0)+IF(ISNUMBER(K92),1,0)+IF(LEN(L92)&gt;0,1,0)</x:f>
        <x:v>9</x:v>
      </x:c>
      <x:c r="R92" s="78" t="n">
        <x:f>Q92/9</x:f>
        <x:v>1</x:v>
      </x:c>
    </x:row>
    <x:row r="93" ht="72" customHeight="1">
      <x:c r="A93" t="str">
        <x:v>public_0089</x:v>
      </x:c>
      <x:c r="B93" t="str">
        <x:v>B0BXMCZLZV</x:v>
      </x:c>
      <x:c r="C93" s="17" t="str">
        <x:v>Vanity Fair Women's Perfectly Yours High Waisted Brief Panties</x:v>
      </x:c>
      <x:c r="D93" s="17" t="str">
        <x:v>Clothing, Shoes &amp; Jewelry | Women | Clothing | Lingerie, Sleep &amp; Lounge | Lingerie | Panties | Briefs</x:v>
      </x:c>
      <x:c r="E93" s="17" t="str">
        <x:v>Briefs</x:v>
      </x:c>
      <x:c r="F93" s="17" t="str">
        <x:v>100% Nylon | Imported | Elastic closure | Machine Wash | Vanity Fair Style 13001/13011 | Semi-sheer satin finish that glides under clothes and beautiful lace insets on sides | Generous full rear and tummy coverage and a smooth covered elastic waistband for ultimate comfort | 100% cotton gusset liner | 3 Pack</x:v>
      </x:c>
      <x:c r="G93" s="17" t="str">
        <x:v>Item Weight: 0.96 Ounces | Item model number: 13011 | Department: womens | Date First Available: December 23, 2005 | Manufacturer: Vanity Fair</x:v>
      </x:c>
      <x:c r="H93" s="17" t="str">
        <x:v>A brief so comfortable, you’ll want a pair for every day of the week. All Vanity Fair High Waisted panty styles provide generous full rear and tummy coverage.</x:v>
      </x:c>
      <x:c r="I93" s="76" t="str"/>
      <x:c r="J93" s="75" t="n">
        <x:v>4.3</x:v>
      </x:c>
      <x:c r="K93" s="77" t="n">
        <x:v>13028</x:v>
      </x:c>
      <x:c r="L93" s="77" t="str">
        <x:v>Vanity Fair</x:v>
      </x:c>
      <x:c r="M93" s="77" t="n">
        <x:f>LEN(C93)</x:f>
        <x:v>62</x:v>
      </x:c>
      <x:c r="N93" s="77" t="n">
        <x:f>LEN(F93)</x:f>
        <x:v>309</x:v>
      </x:c>
      <x:c r="O93" s="77" t="n">
        <x:f>LEN(G93)</x:f>
        <x:v>142</x:v>
      </x:c>
      <x:c r="P93" s="77" t="n">
        <x:f>LEN(H93)</x:f>
        <x:v>158</x:v>
      </x:c>
      <x:c r="Q93" s="77" t="n">
        <x:f>IF(LEN(C93)&gt;0,1,0)+IF(LEN(D93)&gt;0,1,0)+IF(LEN(F93)&gt;0,1,0)+IF(LEN(G93)&gt;0,1,0)+IF(LEN(H93)&gt;0,1,0)+IF(ISNUMBER(I93),1,0)+IF(ISNUMBER(J93),1,0)+IF(ISNUMBER(K93),1,0)+IF(LEN(L93)&gt;0,1,0)</x:f>
        <x:v>8</x:v>
      </x:c>
      <x:c r="R93" s="78" t="n">
        <x:f>Q93/9</x:f>
        <x:v>0.8888888888888888</x:v>
      </x:c>
    </x:row>
    <x:row r="94" ht="72" customHeight="1">
      <x:c r="A94" t="str">
        <x:v>public_0090</x:v>
      </x:c>
      <x:c r="B94" t="str">
        <x:v>B07MGR6D5M</x:v>
      </x:c>
      <x:c r="C94" s="17" t="str">
        <x:v>Mardi Gras Costume Accessory Mardi Gras Mesh Shimmering Scarf Purple Green Gold Scarf Masquerade Costume Mardi Gras Party Favor (Style 2)</x:v>
      </x:c>
      <x:c r="D94" s="17" t="str">
        <x:v>Clothing, Shoes &amp; Jewelry | Costumes &amp; Accessories | Women | Accessories</x:v>
      </x:c>
      <x:c r="E94" s="17" t="str">
        <x:v>Accessories</x:v>
      </x:c>
      <x:c r="F94" s="17" t="str">
        <x:v>Decorative lightweight scarf: 2 wearing ways of this mardi gras scarf, wrap the scarf around your neck, or wearing it as a shawl, just change the orientation of the scarf, you can get a different mardi gras costume | Classic mardi gras scarf: designed with gold, purple, green color, the scarf measure: 55 x 134 cm, tassel: 15 cm/ 5.9 inch | Pattern: the end of the mardi gras shawl is tassel, stripe pattern is shimmering, gold speckled with green and purple | Great addition to Mardi Gras costume: perfect for a Mardi Gras themed party you attended, masquerade parade, carnival festival, etc. | One size fits all: easy wearing, not need to worry about the size; Recommend to wash this mardi gras scarf shawl by hand</x:v>
      </x:c>
      <x:c r="G94" s="17" t="str">
        <x:v>Is Discontinued By Manufacturer: No | Product Dimensions: 11.81 x 8.66 x 1.81 inches; 4.16 Ounces | Item model number: Frienda-Costume Accessory-01 | Department: womens | Date First Available: December 24, 2018</x:v>
      </x:c>
      <x:c r="H94" s="17" t="str"/>
      <x:c r="I94" s="76" t="n">
        <x:v>13.99</x:v>
      </x:c>
      <x:c r="J94" s="75" t="n">
        <x:v>4.4</x:v>
      </x:c>
      <x:c r="K94" s="77" t="n">
        <x:v>180</x:v>
      </x:c>
      <x:c r="L94" s="77" t="str">
        <x:v>Frienda</x:v>
      </x:c>
      <x:c r="M94" s="77" t="n">
        <x:f>LEN(C94)</x:f>
        <x:v>137</x:v>
      </x:c>
      <x:c r="N94" s="77" t="n">
        <x:f>LEN(F94)</x:f>
        <x:v>717</x:v>
      </x:c>
      <x:c r="O94" s="77" t="n">
        <x:f>LEN(G94)</x:f>
        <x:v>210</x:v>
      </x:c>
      <x:c r="P94" s="77" t="n">
        <x:f>LEN(H94)</x:f>
        <x:v>0</x:v>
      </x:c>
      <x:c r="Q94" s="77" t="n">
        <x:f>IF(LEN(C94)&gt;0,1,0)+IF(LEN(D94)&gt;0,1,0)+IF(LEN(F94)&gt;0,1,0)+IF(LEN(G94)&gt;0,1,0)+IF(LEN(H94)&gt;0,1,0)+IF(ISNUMBER(I94),1,0)+IF(ISNUMBER(J94),1,0)+IF(ISNUMBER(K94),1,0)+IF(LEN(L94)&gt;0,1,0)</x:f>
        <x:v>8</x:v>
      </x:c>
      <x:c r="R94" s="78" t="n">
        <x:f>Q94/9</x:f>
        <x:v>0.8888888888888888</x:v>
      </x:c>
    </x:row>
    <x:row r="95" ht="72" customHeight="1">
      <x:c r="A95" t="str">
        <x:v>public_0091</x:v>
      </x:c>
      <x:c r="B95" t="str">
        <x:v>B0C5XB43GG</x:v>
      </x:c>
      <x:c r="C95" s="17" t="str">
        <x:v>925 Sterling Silver Small Hoop Earrings Cubic Zirconia Huggie Hoop Earrings, 3 Pairs 14K White Gold Plated Cartilage Piercing Earrings Ear Cuff Tiny Hoop Earrings for Women Men</x:v>
      </x:c>
      <x:c r="D95" s="17" t="str">
        <x:v>Clothing, Shoes &amp; Jewelry | Men | Jewelry | Earrings</x:v>
      </x:c>
      <x:c r="E95" s="17" t="str">
        <x:v>Earrings</x:v>
      </x:c>
      <x:c r="F95" s="17" t="str">
        <x:v>【HIGH QUALITY】This Sterling Silver Huggie Hoop Earring is made of 925 Sterling Silver post,Hypoallergenic.Best Choice for Sensitive Ears. Earrings Surface Mounted with Sparkling AAA Cubic Zirconia,High Polish make it Delicate and Shining. | 【CLASSICAL&amp;TIMELESS】Simple and Classical Hoop design,Classical and Timeless.You will be more Beautiful and Elegant when You Wearing this CZ Hoop Earrings.This Small Rose Gold Hoop Earring is Suitable for Women Men Teens and Girls.Can be used as Earrings,Cartilage Earrings, Tragus Ear Piercing Jewelry. | 【PACKAGE INCLUDES】Order includes 3 Pairs 8/10/12mm(0.31/0.4/0.48in) Small Cubic Zirconia Hoop Earrings.The Small Hoop Earring is Cuff Design,Easy to Open and Close.Note:The 925 Sterling Silver Needle is very soft,Please do not Use too much Force When Opening and You can Straighten it Yourself if it bent. | 【BEST GIFTS】Ideal Gift for Birthday,Holiday,Graduation,Christmas,Mother’s Day,Valentine’s Day, Wedding,Anniversaries,etc.This Huggie Hoop Earring will be the Surprise Gift for your Mother,Sisters,Daughter,Wife or Your Friends. | Our small rose gold hoop earrings are traditional hand crafted to give the perfect amount of elegance to your outfit.We committed to designing top-class quality jewelry which is beauty in simplicity.</x:v>
      </x:c>
      <x:c r="G95" s="17" t="str">
        <x:v>Date First Available: May 22, 2023</x:v>
      </x:c>
      <x:c r="H95" s="17" t="str"/>
      <x:c r="I95" s="76" t="n">
        <x:v>15.99</x:v>
      </x:c>
      <x:c r="J95" s="75" t="n">
        <x:v>4.4</x:v>
      </x:c>
      <x:c r="K95" s="77" t="n">
        <x:v>9263</x:v>
      </x:c>
      <x:c r="L95" s="77" t="str">
        <x:v>RoseJeopal</x:v>
      </x:c>
      <x:c r="M95" s="77" t="n">
        <x:f>LEN(C95)</x:f>
        <x:v>176</x:v>
      </x:c>
      <x:c r="N95" s="77" t="n">
        <x:f>LEN(F95)</x:f>
        <x:v>1282</x:v>
      </x:c>
      <x:c r="O95" s="77" t="n">
        <x:f>LEN(G95)</x:f>
        <x:v>34</x:v>
      </x:c>
      <x:c r="P95" s="77" t="n">
        <x:f>LEN(H95)</x:f>
        <x:v>0</x:v>
      </x:c>
      <x:c r="Q95" s="77" t="n">
        <x:f>IF(LEN(C95)&gt;0,1,0)+IF(LEN(D95)&gt;0,1,0)+IF(LEN(F95)&gt;0,1,0)+IF(LEN(G95)&gt;0,1,0)+IF(LEN(H95)&gt;0,1,0)+IF(ISNUMBER(I95),1,0)+IF(ISNUMBER(J95),1,0)+IF(ISNUMBER(K95),1,0)+IF(LEN(L95)&gt;0,1,0)</x:f>
        <x:v>8</x:v>
      </x:c>
      <x:c r="R95" s="78" t="n">
        <x:f>Q95/9</x:f>
        <x:v>0.8888888888888888</x:v>
      </x:c>
    </x:row>
    <x:row r="96" ht="72" customHeight="1">
      <x:c r="A96" t="str">
        <x:v>public_0092</x:v>
      </x:c>
      <x:c r="B96" t="str">
        <x:v>B07FKNZC43</x:v>
      </x:c>
      <x:c r="C96" s="17" t="str">
        <x:v>COSOSA Womens Satin Striped Pajamas Long Sleeve V-neck Tops and Pants 2-piece Pj Set</x:v>
      </x:c>
      <x:c r="D96" s="17" t="str">
        <x:v>Clothing, Shoes &amp; Jewelry | Women | Clothing | Lingerie, Sleep &amp; Lounge | Sleep &amp; Lounge | Sets</x:v>
      </x:c>
      <x:c r="E96" s="17" t="str">
        <x:v>Sets</x:v>
      </x:c>
      <x:c r="F96" s="17" t="str">
        <x:v>95% Polyester, 5% Spandex | Imported | Button closure | Hand Wash Only | ❤ SIZE: Available in a variety of sizes, M-3XL, please choose the right size for you.Our size is smaller than the American standard size:M(5'09"-5'25",99.21-115.74lb),L(5'25"-5'41",110.23-132.28lb),XL(5'41"-5'58",126.77-143.30lb),2XL(5'58"-5'74",132.28-154.32lb),3XL(5'58"-5'91",154.32-176.37lb),For a detailed description of the size, please refer to the SIZE CHART on the detail page | ❤ DESIGN: Package includes: a camisole, a pair of shorts, a long-sleeved shirt, a pair of long pants, an eye mask and a hair ring, a storage bag.can meet all your needs for pajamas throughout the year. lightweight fabric, can make you sleep more comfortable | ❤ LAUNDRY: It is recommended that you wash by hand, the water temperature should not be too high,;or put the clothes in a laundry bag and then machine wash | ❤ GIFT: Perfect Gift Choice for Your Friends, Girlfriend, Mother, Sisters or Wife on Birthday, Christmas Day, Honeymoon Vocation, New Year,Valentine's Day or other Festivals or Anniversaries | ❤ OUR SERVE: If you are not satisfied with this product because the size of the problem, please contact us, we will serve you and recommend the size that suits you</x:v>
      </x:c>
      <x:c r="G96" s="17" t="str">
        <x:v>Is Discontinued By Manufacturer: No | Package Dimensions: 12.56 x 9.33 x 1.22 inches; 15.66 Ounces | Department: womens | Date First Available: July 12, 2018</x:v>
      </x:c>
      <x:c r="H96" s="17" t="str"/>
      <x:c r="I96" s="76" t="str"/>
      <x:c r="J96" s="75" t="n">
        <x:v>4.3</x:v>
      </x:c>
      <x:c r="K96" s="77" t="n">
        <x:v>165</x:v>
      </x:c>
      <x:c r="L96" s="77" t="str">
        <x:v>COSOSA</x:v>
      </x:c>
      <x:c r="M96" s="77" t="n">
        <x:f>LEN(C96)</x:f>
        <x:v>84</x:v>
      </x:c>
      <x:c r="N96" s="77" t="n">
        <x:f>LEN(F96)</x:f>
        <x:v>1235</x:v>
      </x:c>
      <x:c r="O96" s="77" t="n">
        <x:f>LEN(G96)</x:f>
        <x:v>157</x:v>
      </x:c>
      <x:c r="P96" s="77" t="n">
        <x:f>LEN(H96)</x:f>
        <x:v>0</x:v>
      </x:c>
      <x:c r="Q96" s="77" t="n">
        <x:f>IF(LEN(C96)&gt;0,1,0)+IF(LEN(D96)&gt;0,1,0)+IF(LEN(F96)&gt;0,1,0)+IF(LEN(G96)&gt;0,1,0)+IF(LEN(H96)&gt;0,1,0)+IF(ISNUMBER(I96),1,0)+IF(ISNUMBER(J96),1,0)+IF(ISNUMBER(K96),1,0)+IF(LEN(L96)&gt;0,1,0)</x:f>
        <x:v>7</x:v>
      </x:c>
      <x:c r="R96" s="78" t="n">
        <x:f>Q96/9</x:f>
        <x:v>0.7777777777777778</x:v>
      </x:c>
    </x:row>
    <x:row r="97" ht="72" customHeight="1">
      <x:c r="A97" t="str">
        <x:v>public_0093</x:v>
      </x:c>
      <x:c r="B97" t="str">
        <x:v>B07PYB8F1G</x:v>
      </x:c>
      <x:c r="C97" s="17" t="str">
        <x:v>Hanes Women's Signature Breathe Cotton Brief Underwear 6-Pack</x:v>
      </x:c>
      <x:c r="D97" s="17" t="str">
        <x:v>Clothing, Shoes &amp; Jewelry | Women | Clothing | Lingerie, Sleep &amp; Lounge | Lingerie | Panties | Briefs</x:v>
      </x:c>
      <x:c r="E97" s="17" t="str">
        <x:v>Briefs</x:v>
      </x:c>
      <x:c r="F97" s="17" t="str">
        <x:v>Solid: 100% Cotton; Heathers: 75% Cotton, 25% Polyester | Imported | Pull On closure | Machine Wash | LOW-RISE BRIEF FIT - Designed for lower waistlines, our women's low-rise brief has no-ride-up leg bands that stay in place. | COMFORT YOU DESERVE - An ultra-soft waistband keeps our low-rise briefs from pinching and binding, while a two-layer cotton liner adds extra cushioning. | VALUE YOU EXPECT - A convenient 6-pack of our women's low-rise brief underwear. | MOISTURE-WICKING COMFORT - Lightweight Cool Comfort technology helps keep you dry throughout the day. | TAG-FREE, ITCH-FREE - No annoying tag to itch or bunch up. | QUALITY FABRIC - Our Hanes women's low-rise underwear multipack is made from ultra-soft preshrunk 100% cotton (heathered styles are 75% cotton/25% polyester). | SIZE OPTIONS - From cotton underwear sizes 6-12, our multiple women's underwear size options make shopping simple. | EASY CARE - Throw them right in the washing machine when it's time to freshen up!</x:v>
      </x:c>
      <x:c r="G97" s="17" t="str">
        <x:v>Is Discontinued By Manufacturer: No | Product Dimensions: 13 x 8 x 1 inches | Item model number: BC40AS | Department: womens | Date First Available: August 18, 2016 | Manufacturer: Hanes</x:v>
      </x:c>
      <x:c r="H97" s="17" t="str">
        <x:v>Hanes Signature Breathe Cotton Briefs deliver a no-show look under any outfit. Breathable, ring spun cotton is soft against your skin and features X-Temp cooling to help keep you feeling comfortable. The Signature Breathe Brief is nice if you desire full front, hip and seat coverage. Lay-flat waist and leg bands help minimize lines under clothes and are designed to stay in place for a no ride up fit. So grab your Signature Breathe Cotton Briefs; they're perfect for every day, all day comfort. Available in a 6-pack of assorted colors.</x:v>
      </x:c>
      <x:c r="I97" s="76" t="n">
        <x:v>10.47</x:v>
      </x:c>
      <x:c r="J97" s="75" t="n">
        <x:v>4.3</x:v>
      </x:c>
      <x:c r="K97" s="77" t="n">
        <x:v>52150</x:v>
      </x:c>
      <x:c r="L97" s="77" t="str">
        <x:v>Hanes</x:v>
      </x:c>
      <x:c r="M97" s="77" t="n">
        <x:f>LEN(C97)</x:f>
        <x:v>61</x:v>
      </x:c>
      <x:c r="N97" s="77" t="n">
        <x:f>LEN(F97)</x:f>
        <x:v>989</x:v>
      </x:c>
      <x:c r="O97" s="77" t="n">
        <x:f>LEN(G97)</x:f>
        <x:v>186</x:v>
      </x:c>
      <x:c r="P97" s="77" t="n">
        <x:f>LEN(H97)</x:f>
        <x:v>539</x:v>
      </x:c>
      <x:c r="Q97" s="77" t="n">
        <x:f>IF(LEN(C97)&gt;0,1,0)+IF(LEN(D97)&gt;0,1,0)+IF(LEN(F97)&gt;0,1,0)+IF(LEN(G97)&gt;0,1,0)+IF(LEN(H97)&gt;0,1,0)+IF(ISNUMBER(I97),1,0)+IF(ISNUMBER(J97),1,0)+IF(ISNUMBER(K97),1,0)+IF(LEN(L97)&gt;0,1,0)</x:f>
        <x:v>9</x:v>
      </x:c>
      <x:c r="R97" s="78" t="n">
        <x:f>Q97/9</x:f>
        <x:v>1</x:v>
      </x:c>
    </x:row>
    <x:row r="98" ht="72" customHeight="1">
      <x:c r="A98" t="str">
        <x:v>public_0094</x:v>
      </x:c>
      <x:c r="B98" t="str">
        <x:v>B01L99SW78</x:v>
      </x:c>
      <x:c r="C98" s="17" t="str">
        <x:v>Ariat Fatbaby Western Boot – Women’s Leather Western Boots</x:v>
      </x:c>
      <x:c r="D98" s="17" t="str">
        <x:v>Clothing, Shoes &amp; Jewelry | Women | Shoes | Boots | Mid-Calf</x:v>
      </x:c>
      <x:c r="E98" s="17" t="str">
        <x:v>Mid-Calf</x:v>
      </x:c>
      <x:c r="F98" s="17" t="str">
        <x:v>Synthetic sole | Shaft measures approximately 8" from arch | SUPPORTIVE AND CUSHIONED: Featuring the 4LR technology for support and cushioning, these western boots make sure you have the most comfortable boot possible, whether you’re in the field, the barn, on your horse or out on the town, we’ve got you covered. | THE ALL PURPOSE BOOT: Whether you’re ranching and riding or just running errands, the Fatbaby Western Boot is the boot for you. Comfortable and uniquely styled, these boots are perfect for any occasion. | WORKING AS HARD AS YOU DO: The outsole ensures durability and ride performance, giving these quality boots an impressive lifespan. It doesn’t matter how rough the conditions are, the Fatbaby boots won't give up on you. | GREAT GIFTS: Shopping for your wife or girlfriend shouldn't be difficult, and with these eye-catching cowgirl boots for women from Ariat, it won't be. Perfect for work or a night out, the cowgirl in your life can wear these boots for any occasion. | SCIENCE OF INNOVATION: Ariat excels in advanced technologies to deliver products that outperform in various conditions. Partnering with world-class biomechanical research groups and testing labs, Ariat strives to improve performance, comfort, and durability.</x:v>
      </x:c>
      <x:c r="G98" s="17" t="str">
        <x:v>Product Dimensions: 18 x 14 x 5 inches; 1.1 Pounds | Item model number: Fatbaby Collection | Department: Womens | Date First Available: September 15, 2009 | Manufacturer: Ariat Women's</x:v>
      </x:c>
      <x:c r="H98" s="17" t="str">
        <x:v>Fatbaby pretty, and ready to compete. The 4LR technology adds comfort and stability, and the Everly sole eases the feet; delivering cushioning and wear-resistance. Four-row stitching and bold colors look great. | Ariat was founded with one simple objective: to provide the most technologically advanced riding boots for the world's top equestrian athletes. Today, Ariat is the leading performance footwear and apparel brand for equestrian athletes around the world. From show jumping to team penning, Ariat boots provide the foundation upon which world-class athletes work, ride, and compete.</x:v>
      </x:c>
      <x:c r="I98" s="76" t="str"/>
      <x:c r="J98" s="75" t="n">
        <x:v>4.6</x:v>
      </x:c>
      <x:c r="K98" s="77" t="n">
        <x:v>1454</x:v>
      </x:c>
      <x:c r="L98" s="77" t="str">
        <x:v>ARIAT</x:v>
      </x:c>
      <x:c r="M98" s="77" t="n">
        <x:f>LEN(C98)</x:f>
        <x:v>58</x:v>
      </x:c>
      <x:c r="N98" s="77" t="n">
        <x:f>LEN(F98)</x:f>
        <x:v>1251</x:v>
      </x:c>
      <x:c r="O98" s="77" t="n">
        <x:f>LEN(G98)</x:f>
        <x:v>184</x:v>
      </x:c>
      <x:c r="P98" s="77" t="n">
        <x:f>LEN(H98)</x:f>
        <x:v>592</x:v>
      </x:c>
      <x:c r="Q98" s="77" t="n">
        <x:f>IF(LEN(C98)&gt;0,1,0)+IF(LEN(D98)&gt;0,1,0)+IF(LEN(F98)&gt;0,1,0)+IF(LEN(G98)&gt;0,1,0)+IF(LEN(H98)&gt;0,1,0)+IF(ISNUMBER(I98),1,0)+IF(ISNUMBER(J98),1,0)+IF(ISNUMBER(K98),1,0)+IF(LEN(L98)&gt;0,1,0)</x:f>
        <x:v>8</x:v>
      </x:c>
      <x:c r="R98" s="78" t="n">
        <x:f>Q98/9</x:f>
        <x:v>0.8888888888888888</x:v>
      </x:c>
    </x:row>
    <x:row r="99" ht="72" customHeight="1">
      <x:c r="A99" t="str">
        <x:v>public_0095</x:v>
      </x:c>
      <x:c r="B99" t="str">
        <x:v>B09N78FT2W</x:v>
      </x:c>
      <x:c r="C99" s="17" t="str">
        <x:v>Free Leaper High Waisted Yoga Pants with Pockets for Women-Comfortable Running Seamless Leggings</x:v>
      </x:c>
      <x:c r="D99" s="17" t="str">
        <x:v>Clothing, Shoes &amp; Jewelry | Sport Specific Clothing | Yoga | Women | Leggings</x:v>
      </x:c>
      <x:c r="E99" s="17" t="str">
        <x:v>Leggings</x:v>
      </x:c>
      <x:c r="F99" s="17" t="str">
        <x:v>75% Polyester, 25% Spandex | Imported | Pull On closure | Machine Wash | YOUR IDEAL LENGTH: Whether you prefer full length or 7/8 Capri length, our solid and floral yoga pants come with a seamless high waistband that provides tummy control and fit compression for enhanced workouts and training, non see-through and don't roll down. | ULTRA-SOFT &amp; STRETCHY: Made from buttery-soft 4-way stretchy fabric, our gym leggings are lightweight and comfy, fit you like a second skin,butt lift,no camel toe and keep everything in place. | FASHIONABLE &amp; CONVENIENT POCKETS: Flattering and quality chic pattern yoga leggings with 2 deep and roomy side pockets provide ample space for your phone or other essentials while you're at the gym or running exercise outdoor. | SO VERSATILE : These comfortable and durable gym pants perfect for workout, yoga, pilates, fitness, weightlifting, jogging, dog walking,work, a day out and everyday wear. They make a great gift to yourself or as a birthday, anniversary, holiday, or Christmas gift for your friends. | FIND YOUR PERFECT FIT &amp; GUARANTEED: Please wash inside out! To ensure a perfect fit, kindly refer to our size chart provided in the A+page.Our activewear tights comes with a 100% Full-Money-Back guarantee if you're not completely satisfied.</x:v>
      </x:c>
      <x:c r="G99" s="17" t="str">
        <x:v>Package Dimensions: 13.78 x 9.84 x 0.39 inches; 9.88 Ounces | Department: Womens | Date First Available: December 7, 2021</x:v>
      </x:c>
      <x:c r="H99" s="17" t="str"/>
      <x:c r="I99" s="76" t="n">
        <x:v>23.99</x:v>
      </x:c>
      <x:c r="J99" s="75" t="n">
        <x:v>4.4</x:v>
      </x:c>
      <x:c r="K99" s="77" t="n">
        <x:v>1026</x:v>
      </x:c>
      <x:c r="L99" s="77" t="str">
        <x:v>Free Leaper</x:v>
      </x:c>
      <x:c r="M99" s="77" t="n">
        <x:f>LEN(C99)</x:f>
        <x:v>96</x:v>
      </x:c>
      <x:c r="N99" s="77" t="n">
        <x:f>LEN(F99)</x:f>
        <x:v>1283</x:v>
      </x:c>
      <x:c r="O99" s="77" t="n">
        <x:f>LEN(G99)</x:f>
        <x:v>121</x:v>
      </x:c>
      <x:c r="P99" s="77" t="n">
        <x:f>LEN(H99)</x:f>
        <x:v>0</x:v>
      </x:c>
      <x:c r="Q99" s="77" t="n">
        <x:f>IF(LEN(C99)&gt;0,1,0)+IF(LEN(D99)&gt;0,1,0)+IF(LEN(F99)&gt;0,1,0)+IF(LEN(G99)&gt;0,1,0)+IF(LEN(H99)&gt;0,1,0)+IF(ISNUMBER(I99),1,0)+IF(ISNUMBER(J99),1,0)+IF(ISNUMBER(K99),1,0)+IF(LEN(L99)&gt;0,1,0)</x:f>
        <x:v>8</x:v>
      </x:c>
      <x:c r="R99" s="78" t="n">
        <x:f>Q99/9</x:f>
        <x:v>0.8888888888888888</x:v>
      </x:c>
    </x:row>
    <x:row r="100" ht="72" customHeight="1">
      <x:c r="A100" t="str">
        <x:v>public_0096</x:v>
      </x:c>
      <x:c r="B100" t="str">
        <x:v>B074K2QX3M</x:v>
      </x:c>
      <x:c r="C100" s="17" t="str">
        <x:v>Zeagoo Women's Polka Dots Shirt Striped 3/4 Sleeve Casual Scoop Neck Tops Tee S-XXXL</x:v>
      </x:c>
      <x:c r="D100" s="17" t="str">
        <x:v>Clothing, Shoes &amp; Jewelry | Women | Clothing | Tops, Tees &amp; Blouses | T-Shirts</x:v>
      </x:c>
      <x:c r="E100" s="17" t="str">
        <x:v>T-Shirts</x:v>
      </x:c>
      <x:c r="F100" s="17" t="str">
        <x:v>95% Polyester, 5% Spandex | Imported | Pull On closure | Machine Wash | Material: 95% Polyester, 5% Spandex. Very comfy, soft, elastic fabric | Features: 3/4 Sleeve Tops, Raglan Sleeve, Scoop Neck, Contrast Color, Polka Dot Shirt, Loose Fit, Plus Size, Tunic Length, Casual, Fashionable. 12 Colors and S-3XL Available. | Unique Style: The baseball style top features a Solid body with striped and Polka Dots sleeves.They are super comfy and flattering on all body types | Occasion: This unique casual Polka dot striped t-shirt well with jeans and leggings, also suitable for a casual everyday look and any occasions especially for beach, office, school, going out, Parties, cluboffice and dating, let you become the focus of the crowd | Garment Care: Machine Wash Recommended With Cold Water, Do Not Bleach, Hang Or Line Dry</x:v>
      </x:c>
      <x:c r="G100" s="17" t="str">
        <x:v>Is Discontinued By Manufacturer: No | Product Dimensions: 11.02 x 9.06 x 0.79 inches | Item model number: ZS-8751 | Department: Womens | Date First Available: August 3, 2017</x:v>
      </x:c>
      <x:c r="H100" s="17" t="str"/>
      <x:c r="I100" s="76" t="n">
        <x:v>19.99</x:v>
      </x:c>
      <x:c r="J100" s="75" t="n">
        <x:v>4.1</x:v>
      </x:c>
      <x:c r="K100" s="77" t="n">
        <x:v>8837</x:v>
      </x:c>
      <x:c r="L100" s="77" t="str">
        <x:v>Zeagoo</x:v>
      </x:c>
      <x:c r="M100" s="77" t="n">
        <x:f>LEN(C100)</x:f>
        <x:v>84</x:v>
      </x:c>
      <x:c r="N100" s="77" t="n">
        <x:f>LEN(F100)</x:f>
        <x:v>824</x:v>
      </x:c>
      <x:c r="O100" s="77" t="n">
        <x:f>LEN(G100)</x:f>
        <x:v>173</x:v>
      </x:c>
      <x:c r="P100" s="77" t="n">
        <x:f>LEN(H100)</x:f>
        <x:v>0</x:v>
      </x:c>
      <x:c r="Q100" s="77" t="n">
        <x:f>IF(LEN(C100)&gt;0,1,0)+IF(LEN(D100)&gt;0,1,0)+IF(LEN(F100)&gt;0,1,0)+IF(LEN(G100)&gt;0,1,0)+IF(LEN(H100)&gt;0,1,0)+IF(ISNUMBER(I100),1,0)+IF(ISNUMBER(J100),1,0)+IF(ISNUMBER(K100),1,0)+IF(LEN(L100)&gt;0,1,0)</x:f>
        <x:v>8</x:v>
      </x:c>
      <x:c r="R100" s="78" t="n">
        <x:f>Q100/9</x:f>
        <x:v>0.8888888888888888</x:v>
      </x:c>
    </x:row>
    <x:row r="101" ht="72" customHeight="1">
      <x:c r="A101" t="str">
        <x:v>public_0097</x:v>
      </x:c>
      <x:c r="B101" t="str">
        <x:v>B0785RCKBT</x:v>
      </x:c>
      <x:c r="C101" s="17" t="str">
        <x:v>Leggings Depot Women's Flared Casual, Work, Lounge Palazzo Pants-Wide Leg</x:v>
      </x:c>
      <x:c r="D101" s="17" t="str">
        <x:v>Clothing, Shoes &amp; Jewelry | Women | Clothing | Leggings</x:v>
      </x:c>
      <x:c r="E101" s="17" t="str">
        <x:v>Leggings</x:v>
      </x:c>
      <x:c r="F101" s="17" t="str">
        <x:v>92% Polyester | Elastic closure | Machine Wash | Comfy pull-on wide leg causal palazzo lounge pants with elasticized waistband | Machine washable with cold water(like colors), and tumble dry low | Soft; Stretchy; Comfortable Palazzo pants | Newest, Most Popular Style</x:v>
      </x:c>
      <x:c r="G101" s="17" t="str">
        <x:v>Is Discontinued By Manufacturer: No | Department: womens | Date First Available: December 6, 2017</x:v>
      </x:c>
      <x:c r="H101" s="17" t="str">
        <x:v>Leggings Depot keeps making efforts to offer the largest selection of high quality pants in different colors, prints and sizes including plus sizes at the most affordable prices.</x:v>
      </x:c>
      <x:c r="I101" s="76" t="n">
        <x:v>14.99</x:v>
      </x:c>
      <x:c r="J101" s="75" t="n">
        <x:v>4.3</x:v>
      </x:c>
      <x:c r="K101" s="77" t="n">
        <x:v>5898</x:v>
      </x:c>
      <x:c r="L101" s="77" t="str">
        <x:v>LEGGINGS DEPOT</x:v>
      </x:c>
      <x:c r="M101" s="77" t="n">
        <x:f>LEN(C101)</x:f>
        <x:v>73</x:v>
      </x:c>
      <x:c r="N101" s="77" t="n">
        <x:f>LEN(F101)</x:f>
        <x:v>267</x:v>
      </x:c>
      <x:c r="O101" s="77" t="n">
        <x:f>LEN(G101)</x:f>
        <x:v>97</x:v>
      </x:c>
      <x:c r="P101" s="77" t="n">
        <x:f>LEN(H101)</x:f>
        <x:v>178</x:v>
      </x:c>
      <x:c r="Q101" s="77" t="n">
        <x:f>IF(LEN(C101)&gt;0,1,0)+IF(LEN(D101)&gt;0,1,0)+IF(LEN(F101)&gt;0,1,0)+IF(LEN(G101)&gt;0,1,0)+IF(LEN(H101)&gt;0,1,0)+IF(ISNUMBER(I101),1,0)+IF(ISNUMBER(J101),1,0)+IF(ISNUMBER(K101),1,0)+IF(LEN(L101)&gt;0,1,0)</x:f>
        <x:v>9</x:v>
      </x:c>
      <x:c r="R101" s="78" t="n">
        <x:f>Q101/9</x:f>
        <x:v>1</x:v>
      </x:c>
    </x:row>
    <x:row r="102" ht="72" customHeight="1">
      <x:c r="A102" t="str">
        <x:v>public_0098</x:v>
      </x:c>
      <x:c r="B102" t="str">
        <x:v>B08CZ34D75</x:v>
      </x:c>
      <x:c r="C102" s="17" t="str">
        <x:v>adidas Men's Lite Racer Adapt 4.0 Running Shoe</x:v>
      </x:c>
      <x:c r="D102" s="17" t="str">
        <x:v>Clothing, Shoes &amp; Jewelry | Men | Shoes | Athletic | Running | Road Running</x:v>
      </x:c>
      <x:c r="E102" s="17" t="str">
        <x:v>Road Running</x:v>
      </x:c>
      <x:c r="F102" s="17" t="str">
        <x:v>100% Rubber | Imported | Rubber sole | Men's cushioned slip-on shoes with the look of runners, made with recycled materials | Slip-on construction with elastic strap | Mesh upper with a sock-like feel | Cloudfoam midsole for step-in comfort and superior cushioning; TPU heel counter; Synthetic outsole for grip | This product is made with Primegreen, a series of high-performance recycled materials. 50% of upper is recycled content. No virgin polyester.</x:v>
      </x:c>
      <x:c r="G102" s="17" t="str">
        <x:v>Product Dimensions: 8 x 4 x 7 inches; 2.45 Pounds | Item model number: LUS76 | Department: mens | Date First Available: August 22, 2018 | Manufacturer: adidas</x:v>
      </x:c>
      <x:c r="H102" s="17" t="str">
        <x:v>Easy, comfortable style. These men's adidas running-inspired shoes have a slip-on build secured by an elastic top strap. A Cloudfoam midsole cushions every single step.</x:v>
      </x:c>
      <x:c r="I102" s="76" t="str"/>
      <x:c r="J102" s="75" t="n">
        <x:v>4.5</x:v>
      </x:c>
      <x:c r="K102" s="77" t="n">
        <x:v>13966</x:v>
      </x:c>
      <x:c r="L102" s="77" t="str">
        <x:v>adidas</x:v>
      </x:c>
      <x:c r="M102" s="77" t="n">
        <x:f>LEN(C102)</x:f>
        <x:v>46</x:v>
      </x:c>
      <x:c r="N102" s="77" t="n">
        <x:f>LEN(F102)</x:f>
        <x:v>454</x:v>
      </x:c>
      <x:c r="O102" s="77" t="n">
        <x:f>LEN(G102)</x:f>
        <x:v>158</x:v>
      </x:c>
      <x:c r="P102" s="77" t="n">
        <x:f>LEN(H102)</x:f>
        <x:v>168</x:v>
      </x:c>
      <x:c r="Q102" s="77" t="n">
        <x:f>IF(LEN(C102)&gt;0,1,0)+IF(LEN(D102)&gt;0,1,0)+IF(LEN(F102)&gt;0,1,0)+IF(LEN(G102)&gt;0,1,0)+IF(LEN(H102)&gt;0,1,0)+IF(ISNUMBER(I102),1,0)+IF(ISNUMBER(J102),1,0)+IF(ISNUMBER(K102),1,0)+IF(LEN(L102)&gt;0,1,0)</x:f>
        <x:v>8</x:v>
      </x:c>
      <x:c r="R102" s="78" t="n">
        <x:f>Q102/9</x:f>
        <x:v>0.8888888888888888</x:v>
      </x:c>
    </x:row>
    <x:row r="103" ht="72" customHeight="1">
      <x:c r="A103" t="str">
        <x:v>public_0099</x:v>
      </x:c>
      <x:c r="B103" t="str">
        <x:v>B0971YMPCR</x:v>
      </x:c>
      <x:c r="C103" s="17" t="str">
        <x:v>Core 10 Women's Super Soft Fleece Straight Leg Jogger Sweatpant</x:v>
      </x:c>
      <x:c r="D103" s="17" t="str">
        <x:v>Clothing, Shoes &amp; Jewelry | Women | Clothing | Active | Active Pants | Sweatpants</x:v>
      </x:c>
      <x:c r="E103" s="17" t="str">
        <x:v>Sweatpants</x:v>
      </x:c>
      <x:c r="F103" s="17" t="str">
        <x:v>60% Cotton, 40% Polyester | Imported | Drawstring closure | Machine Wash | Heavy-weight Super Soft fleece; Featuring a brushed back and great stretch making it a perfect layer for cooler months | An Amazon Brand | Sits above the belly button | Concealed pocket at each side</x:v>
      </x:c>
      <x:c r="G103" s="17" t="str">
        <x:v>Item model number: CTEN10002W21 | Department: womens | Date First Available: January 17, 2022 | Manufacturer: CORE 10</x:v>
      </x:c>
      <x:c r="H103" s="17" t="str">
        <x:v>Discover super-soft, high-performance fabrics and fashion-forward designs made for workouts and beyond.</x:v>
      </x:c>
      <x:c r="I103" s="76" t="str"/>
      <x:c r="J103" s="75" t="n">
        <x:v>3.9</x:v>
      </x:c>
      <x:c r="K103" s="77" t="n">
        <x:v>154</x:v>
      </x:c>
      <x:c r="L103" s="77" t="str">
        <x:v>Core 10</x:v>
      </x:c>
      <x:c r="M103" s="77" t="n">
        <x:f>LEN(C103)</x:f>
        <x:v>63</x:v>
      </x:c>
      <x:c r="N103" s="77" t="n">
        <x:f>LEN(F103)</x:f>
        <x:v>273</x:v>
      </x:c>
      <x:c r="O103" s="77" t="n">
        <x:f>LEN(G103)</x:f>
        <x:v>117</x:v>
      </x:c>
      <x:c r="P103" s="77" t="n">
        <x:f>LEN(H103)</x:f>
        <x:v>103</x:v>
      </x:c>
      <x:c r="Q103" s="77" t="n">
        <x:f>IF(LEN(C103)&gt;0,1,0)+IF(LEN(D103)&gt;0,1,0)+IF(LEN(F103)&gt;0,1,0)+IF(LEN(G103)&gt;0,1,0)+IF(LEN(H103)&gt;0,1,0)+IF(ISNUMBER(I103),1,0)+IF(ISNUMBER(J103),1,0)+IF(ISNUMBER(K103),1,0)+IF(LEN(L103)&gt;0,1,0)</x:f>
        <x:v>8</x:v>
      </x:c>
      <x:c r="R103" s="78" t="n">
        <x:f>Q103/9</x:f>
        <x:v>0.8888888888888888</x:v>
      </x:c>
    </x:row>
    <x:row r="104" ht="72" customHeight="1">
      <x:c r="A104" t="str">
        <x:v>public_0100</x:v>
      </x:c>
      <x:c r="B104" t="str">
        <x:v>B002OHE4D6</x:v>
      </x:c>
      <x:c r="C104" s="17" t="str">
        <x:v>Dockers Proposal - Genuine Full-Grain Leather Slip-On Loafer Dress Shoes for Men Featuring All Motion Comfort Technology, EVA Sock Lining, and Durable Rubber Outsole</x:v>
      </x:c>
      <x:c r="D104" s="17" t="str">
        <x:v>Clothing, Shoes &amp; Jewelry | Men | Shoes | Loafers &amp; Slip-Ons</x:v>
      </x:c>
      <x:c r="E104" s="17" t="str">
        <x:v>Loafers &amp; Slip-Ons</x:v>
      </x:c>
      <x:c r="F104" s="17" t="str">
        <x:v>100% Leather | Manmade sole | Platform measures approximately 0.5" | Burnished full grain leather uppers | All Motion Comfort technology provides outstanding cushion and flexible construction for long-lasting comfort | EVA sock lining with comfort gel heel insert | APMA accepted: promotes good foot health | Lightweight, durable rubber outsole | Popular Dockers dress shoes that have a contemporary silhouette and feature All Motion Comfort technology | These are ideal for the work day and can be worn with any dress slacks for a stylish appearance | Available in wide widths</x:v>
      </x:c>
      <x:c r="G104" s="17" t="str">
        <x:v>Is Discontinued By Manufacturer: No | Package Dimensions: 12 x 8 x 4 inches; 1.2 Pounds | Item model number: Proposal | Department: Mens | Date First Available: October 4, 2005 | Manufacturer: Dockers</x:v>
      </x:c>
      <x:c r="H104" s="17" t="str"/>
      <x:c r="I104" s="76" t="str"/>
      <x:c r="J104" s="75" t="n">
        <x:v>4.3</x:v>
      </x:c>
      <x:c r="K104" s="77" t="n">
        <x:v>3751</x:v>
      </x:c>
      <x:c r="L104" s="77" t="str">
        <x:v>Dockers</x:v>
      </x:c>
      <x:c r="M104" s="77" t="n">
        <x:f>LEN(C104)</x:f>
        <x:v>165</x:v>
      </x:c>
      <x:c r="N104" s="77" t="n">
        <x:f>LEN(F104)</x:f>
        <x:v>577</x:v>
      </x:c>
      <x:c r="O104" s="77" t="n">
        <x:f>LEN(G104)</x:f>
        <x:v>200</x:v>
      </x:c>
      <x:c r="P104" s="77" t="n">
        <x:f>LEN(H104)</x:f>
        <x:v>0</x:v>
      </x:c>
      <x:c r="Q104" s="77" t="n">
        <x:f>IF(LEN(C104)&gt;0,1,0)+IF(LEN(D104)&gt;0,1,0)+IF(LEN(F104)&gt;0,1,0)+IF(LEN(G104)&gt;0,1,0)+IF(LEN(H104)&gt;0,1,0)+IF(ISNUMBER(I104),1,0)+IF(ISNUMBER(J104),1,0)+IF(ISNUMBER(K104),1,0)+IF(LEN(L104)&gt;0,1,0)</x:f>
        <x:v>7</x:v>
      </x:c>
      <x:c r="R104" s="78" t="n">
        <x:f>Q104/9</x:f>
        <x:v>0.7777777777777778</x:v>
      </x:c>
    </x:row>
    <x:row r="105" ht="72" customHeight="1">
      <x:c r="A105" t="str">
        <x:v>public_0101</x:v>
      </x:c>
      <x:c r="B105" t="str">
        <x:v>B07QMS8TX8</x:v>
      </x:c>
      <x:c r="C105" s="17" t="str">
        <x:v>Medical Cargo Pants for Men Workwear Originals, Zipper Fly Scrubs for Men 4000</x:v>
      </x:c>
      <x:c r="D105" s="17" t="str">
        <x:v>Clothing, Shoes &amp; Jewelry | Men | Uniforms, Work &amp; Safety | Clothing | Medical | Scrub Bottoms</x:v>
      </x:c>
      <x:c r="E105" s="17" t="str">
        <x:v>Scrub Bottoms</x:v>
      </x:c>
      <x:c r="F105" s="17" t="str">
        <x:v>65% Polyester, 35% Cotton | Imported | Pull On closure | Machine Wash | MEN'S TRADITIONAL FIT, SIZES UP TO 5XL - Cherokee mens cargo pants are very comfortable and come in the sizes you want with the fit and features you need. Available in sizes from S to 5XL plus Short and Tall inseams. These Men’s Traditional fit natural rise scrub pants are designed for no-fuss wear, easy care, and maximum durability. Tapered leg. Regular inseam = 31”. (Underscrub sold separately.) | ZIPPER FLY - Don't settle for a lesser-quality men's scrub pant without a zip fly. Style 4000 men's cargo pants include a functional zipper fly and drawstring closure. These are well made Cherokee scrubs men will want in every color. These scrub pants for men are a great combination of comfort, style, and value. | ELASTIC WAIST - Mens elastic waist pants get an upgrade with the security and comfort of the all-around elastic waistband in Workwear Originals style 4000. There is a drawstring tie for added security and adjustability. The tonal wide webbed drawstring is durable and easy to tie. These are work cargo pants men will buy on repeat. | SEVEN POCKETS FOR LOTS OF STORAGE - These medical cargo work pants for men have two roomy front pockets, double cargo pockets on each side, and a back pocket with button closure for secure storage. Pockets are large enough for iPhone and Galaxy phones. While designed for healthcare workers, style 4000 also functions as chef pants men can wear with style and confidence. | DURABLE, EASY-CARE FABRIC - Workwear Originals mens scrubs pants are made from a poly/cotton* blend poplin fabric, a dependable staple of medical uniforms for years. This fade-resistant poplin fabric is durable and low-maintenance making it easy to care for your medical scrubs for men (*All colors are poly/cotton except White. White is cotton/poly.)</x:v>
      </x:c>
      <x:c r="G105" s="17" t="str">
        <x:v>Package Dimensions: 15 x 12 x 0.33 inches; 8 Ounces | Item model number: 4000S | Department: Mens | Date First Available: October 1, 2009 | Manufacturer: Cherokee</x:v>
      </x:c>
      <x:c r="H105" s="17" t="str"/>
      <x:c r="I105" s="76" t="n">
        <x:v>19.19</x:v>
      </x:c>
      <x:c r="J105" s="75" t="n">
        <x:v>4.5</x:v>
      </x:c>
      <x:c r="K105" s="77" t="n">
        <x:v>29264</x:v>
      </x:c>
      <x:c r="L105" s="77" t="str">
        <x:v>Cherokee</x:v>
      </x:c>
      <x:c r="M105" s="77" t="n">
        <x:f>LEN(C105)</x:f>
        <x:v>78</x:v>
      </x:c>
      <x:c r="N105" s="77" t="n">
        <x:f>LEN(F105)</x:f>
        <x:v>1850</x:v>
      </x:c>
      <x:c r="O105" s="77" t="n">
        <x:f>LEN(G105)</x:f>
        <x:v>162</x:v>
      </x:c>
      <x:c r="P105" s="77" t="n">
        <x:f>LEN(H105)</x:f>
        <x:v>0</x:v>
      </x:c>
      <x:c r="Q105" s="77" t="n">
        <x:f>IF(LEN(C105)&gt;0,1,0)+IF(LEN(D105)&gt;0,1,0)+IF(LEN(F105)&gt;0,1,0)+IF(LEN(G105)&gt;0,1,0)+IF(LEN(H105)&gt;0,1,0)+IF(ISNUMBER(I105),1,0)+IF(ISNUMBER(J105),1,0)+IF(ISNUMBER(K105),1,0)+IF(LEN(L105)&gt;0,1,0)</x:f>
        <x:v>8</x:v>
      </x:c>
      <x:c r="R105" s="78" t="n">
        <x:f>Q105/9</x:f>
        <x:v>0.8888888888888888</x:v>
      </x:c>
    </x:row>
    <x:row r="106" ht="72" customHeight="1">
      <x:c r="A106" t="str">
        <x:v>public_0102</x:v>
      </x:c>
      <x:c r="B106" t="str">
        <x:v>B07PWZXZVX</x:v>
      </x:c>
      <x:c r="C106" s="17" t="str">
        <x:v>FallSweet Padded Push Up Lace Bras for 34A to 44C Underwire</x:v>
      </x:c>
      <x:c r="D106" s="17" t="str">
        <x:v>Clothing, Shoes &amp; Jewelry | Women | Clothing | Lingerie, Sleep &amp; Lounge | Lingerie | Bras | Everyday Bras</x:v>
      </x:c>
      <x:c r="E106" s="17" t="str">
        <x:v>Everyday Bras</x:v>
      </x:c>
      <x:c r="F106" s="17" t="str">
        <x:v>Hand Wash Only | Push Up Bra, A/B/C cup 3 centimeters Thickness Pad inside. But noted that D cup is thin cup,lightly padded. | Underwire | Lace Design | Extremely Padded Women Bras | Warmly Remind: Please choose one size up than your normal size. For example, 32B in US. 34B for this one</x:v>
      </x:c>
      <x:c r="G106" s="17" t="str">
        <x:v>Package Dimensions: 7.87 x 3.94 x 1.18 inches; 5.29 Ounces | Department: Womens | Date First Available: March 25, 2019</x:v>
      </x:c>
      <x:c r="H106" s="17" t="str"/>
      <x:c r="I106" s="76" t="n">
        <x:v>22.99</x:v>
      </x:c>
      <x:c r="J106" s="75" t="n">
        <x:v>4.1</x:v>
      </x:c>
      <x:c r="K106" s="77" t="n">
        <x:v>13441</x:v>
      </x:c>
      <x:c r="L106" s="77" t="str">
        <x:v>FallSweet</x:v>
      </x:c>
      <x:c r="M106" s="77" t="n">
        <x:f>LEN(C106)</x:f>
        <x:v>59</x:v>
      </x:c>
      <x:c r="N106" s="77" t="n">
        <x:f>LEN(F106)</x:f>
        <x:v>287</x:v>
      </x:c>
      <x:c r="O106" s="77" t="n">
        <x:f>LEN(G106)</x:f>
        <x:v>118</x:v>
      </x:c>
      <x:c r="P106" s="77" t="n">
        <x:f>LEN(H106)</x:f>
        <x:v>0</x:v>
      </x:c>
      <x:c r="Q106" s="77" t="n">
        <x:f>IF(LEN(C106)&gt;0,1,0)+IF(LEN(D106)&gt;0,1,0)+IF(LEN(F106)&gt;0,1,0)+IF(LEN(G106)&gt;0,1,0)+IF(LEN(H106)&gt;0,1,0)+IF(ISNUMBER(I106),1,0)+IF(ISNUMBER(J106),1,0)+IF(ISNUMBER(K106),1,0)+IF(LEN(L106)&gt;0,1,0)</x:f>
        <x:v>8</x:v>
      </x:c>
      <x:c r="R106" s="78" t="n">
        <x:f>Q106/9</x:f>
        <x:v>0.8888888888888888</x:v>
      </x:c>
    </x:row>
    <x:row r="107" ht="72" customHeight="1">
      <x:c r="A107" t="str">
        <x:v>public_0103</x:v>
      </x:c>
      <x:c r="B107" t="str">
        <x:v>B0BT8T2FQ3</x:v>
      </x:c>
      <x:c r="C107" s="17" t="str">
        <x:v>Fruit of the Loom Men's Eversoft Cotton Stay Tucked Crew T-Shirt</x:v>
      </x:c>
      <x:c r="D107" s="17" t="str">
        <x:v>Clothing, Shoes &amp; Jewelry | Men | Clothing | Underwear | Undershirts</x:v>
      </x:c>
      <x:c r="E107" s="17" t="str">
        <x:v>Undershirts</x:v>
      </x:c>
      <x:c r="F107" s="17" t="str">
        <x:v>100% Cotton | Imported | Pull On closure | Machine wash warm. Use only non-chlorine bleach when needed. Tumble dry low. Medium warm iron. | 6 pack Classic White Crew Undershirts | Soft covered seams on neck and shoulders for comfortable fit | Soft lay flat collar | Classic fit for full range of movement while staying tucked | Wicks Moisture</x:v>
      </x:c>
      <x:c r="G107" s="17" t="str">
        <x:v>Department: mens | Date First Available: January 27, 2023 | Manufacturer: Fruit of the Loom</x:v>
      </x:c>
      <x:c r="H107" s="17" t="str"/>
      <x:c r="I107" s="76" t="n">
        <x:v>18.48</x:v>
      </x:c>
      <x:c r="J107" s="75" t="n">
        <x:v>4.6</x:v>
      </x:c>
      <x:c r="K107" s="77" t="n">
        <x:v>100480</x:v>
      </x:c>
      <x:c r="L107" s="77" t="str">
        <x:v>Fruit of the Loom</x:v>
      </x:c>
      <x:c r="M107" s="77" t="n">
        <x:f>LEN(C107)</x:f>
        <x:v>64</x:v>
      </x:c>
      <x:c r="N107" s="77" t="n">
        <x:f>LEN(F107)</x:f>
        <x:v>342</x:v>
      </x:c>
      <x:c r="O107" s="77" t="n">
        <x:f>LEN(G107)</x:f>
        <x:v>91</x:v>
      </x:c>
      <x:c r="P107" s="77" t="n">
        <x:f>LEN(H107)</x:f>
        <x:v>0</x:v>
      </x:c>
      <x:c r="Q107" s="77" t="n">
        <x:f>IF(LEN(C107)&gt;0,1,0)+IF(LEN(D107)&gt;0,1,0)+IF(LEN(F107)&gt;0,1,0)+IF(LEN(G107)&gt;0,1,0)+IF(LEN(H107)&gt;0,1,0)+IF(ISNUMBER(I107),1,0)+IF(ISNUMBER(J107),1,0)+IF(ISNUMBER(K107),1,0)+IF(LEN(L107)&gt;0,1,0)</x:f>
        <x:v>8</x:v>
      </x:c>
      <x:c r="R107" s="78" t="n">
        <x:f>Q107/9</x:f>
        <x:v>0.8888888888888888</x:v>
      </x:c>
    </x:row>
    <x:row r="108" ht="72" customHeight="1">
      <x:c r="A108" t="str">
        <x:v>public_0104</x:v>
      </x:c>
      <x:c r="B108" t="str">
        <x:v>B00QSAICLU</x:v>
      </x:c>
      <x:c r="C108" s="17" t="str">
        <x:v>Black 1 Inch Wide Leather Like Headband Solid Hair band for Women and Girls</x:v>
      </x:c>
      <x:c r="D108" s="17" t="str">
        <x:v>Clothing, Shoes &amp; Jewelry | Women | Accessories | Hats &amp; Caps | Headbands</x:v>
      </x:c>
      <x:c r="E108" s="17" t="str">
        <x:v>Headbands</x:v>
      </x:c>
      <x:c r="F108" s="17" t="str">
        <x:v>Classy Leather-like Fabric | Durable Headband | Fashion Colors | 1 Inch Wide | Motique Accessories</x:v>
      </x:c>
      <x:c r="G108" s="17" t="str">
        <x:v>Color: Black | Age Range (Description): Adult | Material: Leather | Fabric Type: Leather | Number of Items: 1 | Is Discontinued By Manufacturer: No | Package Dimensions: 5.43 x 4.72 x 1.26 inches; 0.63 Ounces | Item model number: mthb-1inch-leather-black | Department: womens | UPC: 755332413140 765343761161 | Manufacturer: Motique Accessories</x:v>
      </x:c>
      <x:c r="H108" s="17" t="str"/>
      <x:c r="I108" s="76" t="n">
        <x:v>8.99</x:v>
      </x:c>
      <x:c r="J108" s="75" t="n">
        <x:v>4.3</x:v>
      </x:c>
      <x:c r="K108" s="77" t="n">
        <x:v>3316</x:v>
      </x:c>
      <x:c r="L108" s="77" t="str">
        <x:v>Motique Accessories</x:v>
      </x:c>
      <x:c r="M108" s="77" t="n">
        <x:f>LEN(C108)</x:f>
        <x:v>75</x:v>
      </x:c>
      <x:c r="N108" s="77" t="n">
        <x:f>LEN(F108)</x:f>
        <x:v>98</x:v>
      </x:c>
      <x:c r="O108" s="77" t="n">
        <x:f>LEN(G108)</x:f>
        <x:v>344</x:v>
      </x:c>
      <x:c r="P108" s="77" t="n">
        <x:f>LEN(H108)</x:f>
        <x:v>0</x:v>
      </x:c>
      <x:c r="Q108" s="77" t="n">
        <x:f>IF(LEN(C108)&gt;0,1,0)+IF(LEN(D108)&gt;0,1,0)+IF(LEN(F108)&gt;0,1,0)+IF(LEN(G108)&gt;0,1,0)+IF(LEN(H108)&gt;0,1,0)+IF(ISNUMBER(I108),1,0)+IF(ISNUMBER(J108),1,0)+IF(ISNUMBER(K108),1,0)+IF(LEN(L108)&gt;0,1,0)</x:f>
        <x:v>8</x:v>
      </x:c>
      <x:c r="R108" s="78" t="n">
        <x:f>Q108/9</x:f>
        <x:v>0.8888888888888888</x:v>
      </x:c>
    </x:row>
    <x:row r="109" ht="72" customHeight="1">
      <x:c r="A109" t="str">
        <x:v>public_0105</x:v>
      </x:c>
      <x:c r="B109" t="str">
        <x:v>B07Q46M2J2</x:v>
      </x:c>
      <x:c r="C109" s="17" t="str">
        <x:v>IUGA High Waisted Yoga Pants for Women with Pockets Capri Leggings for Women Workout Leggings for Women Yoga Capris</x:v>
      </x:c>
      <x:c r="D109" s="17" t="str">
        <x:v>Clothing, Shoes &amp; Jewelry | Sport Specific Clothing | Yoga | Women | Leggings</x:v>
      </x:c>
      <x:c r="E109" s="17" t="str">
        <x:v>Leggings</x:v>
      </x:c>
      <x:c r="F109" s="17" t="str">
        <x:v>77% Polyester, 23% Spandex | Imported | IUGA is a lifestyle brand that combines Style, Comfort and Performance. The High Quality Activewear is perfect for Fitness Enthusiasts and Everyday Athleisure as it is Affordable and Accessible. Operating at the cross section between fashion and function, IUGA aims to please both The Everyday Fashion Consumer and The Ultimate Exercise Enthusiast. | Side Pockets &amp; Hidden Waistband Pocket: The IUGA Yoga Capri Leggings for Women provide Two Large Side Pockets for cell phone and credit cards, and a Hidden Inner Pocket in the Waist Band to stash your keys and valuables. No more worrying about where to put your phone or other essentials during your workout. | Buttery-Soft Fabric：IUGA Yoga Pants have the second-skin feel with buttery-soft fabric that's contouring perfectly to your body, giving you a streamlined look. All the seams and the waistband are flat so you won't get that uncomfortable bunching or digging into your skin. IUGA Yoga Pants are all about comfort no matter how you get it work, wearing to the studio, or for lounging. | Squat Proof and 4-Way Stretch Fabric: constructed with Non-See-Through and High Tech 4-Way Stretch Fabric, these Yoga Capris for Women offer Total Coverage while Bending, Squatting, and Lifting. The 4-Way Stretch Fabric varies with your movements, retaining its shape over time and provide Gentle Compression where you need it most. In addition, a Gusset Crotch supports Free Movement and Interlock Seams minimize Rubbing and Chafing. | High Waist for Better Tummy Control: say goodbye to Muffin Top and hello to a Smooth, Flat Tummy. These High Rise Tummy Control Leggings with Pockets for Women provide Gentle Compression to your Midsection, giving you a Toned and Trim Look. Our High Waisted Workout capris for Women are a great choice for women in all ages, providing them the Excellent Fit and Supreme Comfort.</x:v>
      </x:c>
      <x:c r="G109" s="17" t="str">
        <x:v>Item Package Dimensions L x W x H: 13.03 x 7.01 x 1.22 inches | Package Weight: 0.21 Kilograms | Brand Name: IUGA | Color: Maroon Capris | Material: Spandex | Suggested Users: Womens | Part Number: Pants iuga | Style: Capri | Size: XX-Large | Sport Type: Cycling, Running | Best Sellers Rank: [object Object] | Date First Available: August 2, 2019</x:v>
      </x:c>
      <x:c r="H109" s="17" t="str"/>
      <x:c r="I109" s="76" t="n">
        <x:v>23.99</x:v>
      </x:c>
      <x:c r="J109" s="75" t="n">
        <x:v>4.6</x:v>
      </x:c>
      <x:c r="K109" s="77" t="n">
        <x:v>26161</x:v>
      </x:c>
      <x:c r="L109" s="77" t="str">
        <x:v>IUGA</x:v>
      </x:c>
      <x:c r="M109" s="77" t="n">
        <x:f>LEN(C109)</x:f>
        <x:v>115</x:v>
      </x:c>
      <x:c r="N109" s="77" t="n">
        <x:f>LEN(F109)</x:f>
        <x:v>1901</x:v>
      </x:c>
      <x:c r="O109" s="77" t="n">
        <x:f>LEN(G109)</x:f>
        <x:v>347</x:v>
      </x:c>
      <x:c r="P109" s="77" t="n">
        <x:f>LEN(H109)</x:f>
        <x:v>0</x:v>
      </x:c>
      <x:c r="Q109" s="77" t="n">
        <x:f>IF(LEN(C109)&gt;0,1,0)+IF(LEN(D109)&gt;0,1,0)+IF(LEN(F109)&gt;0,1,0)+IF(LEN(G109)&gt;0,1,0)+IF(LEN(H109)&gt;0,1,0)+IF(ISNUMBER(I109),1,0)+IF(ISNUMBER(J109),1,0)+IF(ISNUMBER(K109),1,0)+IF(LEN(L109)&gt;0,1,0)</x:f>
        <x:v>8</x:v>
      </x:c>
      <x:c r="R109" s="78" t="n">
        <x:f>Q109/9</x:f>
        <x:v>0.8888888888888888</x:v>
      </x:c>
    </x:row>
    <x:row r="110" ht="72" customHeight="1">
      <x:c r="A110" t="str">
        <x:v>public_0106</x:v>
      </x:c>
      <x:c r="B110" t="str">
        <x:v>B0776SVXW9</x:v>
      </x:c>
      <x:c r="C110" s="17" t="str">
        <x:v>Mens Socks Dress Cotton Socks Fashion Patterned Argyle Socks &amp;Formal Business Socks Classic Cotton Dress Casual Socks for Men</x:v>
      </x:c>
      <x:c r="D110" s="17" t="str">
        <x:v>Clothing, Shoes &amp; Jewelry | Men | Clothing | Socks &amp; Hosiery | Socks | Calf Socks</x:v>
      </x:c>
      <x:c r="E110" s="17" t="str">
        <x:v>Calf Socks</x:v>
      </x:c>
      <x:c r="F110" s="17" t="str">
        <x:v>Polyester,Cotton,Spandex | Machine Wash | ❤ 【Material】：Our mens dress socks are are expertly fabricated with the perfect formulation, made with 76% cotton,2% spandex and 22% polyester to keep your feet a elasticity and softness.Our cotton socks are guaranteed to keep your feet fresh and dry. These dress socks are super comfortable, extremely breathable and are awesome socks for guys. | ❤【Highly Classy】OKISS designer socks for men are stylish, fashionable and funky colorful casual socks. Classy pattern socks to match up with your favorite casual jeans,business formal outfits,school unifor and more. coordinate with whatever you're wearing as office, school, hiking, outdoor, sport, indoor, home, work,christmas or gift socks in Spring, fall, winter season. | ❤ 【Perfect Size】：5 pack argyle stripe dress socks are suitable for shoe size 6-13,Our premium dress socks for men are designed to keep your style going for a long while! These mens colorful socks are created with great quality fabrics to keep elasticity and softness.so everyone can enjoy these mens fashion socks. | ❤ 【Mulit-function】：Everyone need more nice pattern socks.Great fashion socks that offer a comfy fit,elasticity and softness,comfort and breathability.These cotton socks can be as or Valentine's Day Gifts, Holiday ,Novelty birthday gifts or adult gift to your son,husband,son in-law,grandpa or anyone who love dress socks.Brighten up those everyday with colorful socks to keep your lover feet cool and stylish. | ❤ 【Excellent Gift Choice】：5 packs mens cotton socks came in lovely box. It’s soft to the touch and great pattern.The designs you will find here are argyle socks, striped socks, patterned socks,business socks,gift socks for men,cusual crew socks,stylish socks and one beatiful gift box.If you have any product issue, just send us a message for a free replacement or refund.</x:v>
      </x:c>
      <x:c r="G110" s="17" t="str">
        <x:v>Is Discontinued By Manufacturer: No | Package Dimensions: 10.3 x 3.9 x 2.7 inches; 0.63 Ounces | Department: mens | Date First Available: December 10, 2017</x:v>
      </x:c>
      <x:c r="H110" s="17" t="str">
        <x:v>OKISS Mens Ctton Socks,Argyle Colorful Dress Socks-Fashion&amp;Formal Business Socks,Mens Casual Crew Socks Novelty Dress Socks Gift Box(fits shoe size 6-13). | About the Okiss Colorful Men’s Dress Socks : | - Material: 76% cotton 2% spandex and 22% polyester -Comfort-breathable and Stylish and fashionable -Size:US 6-12 - Color: As shown -Gift box:With a beautiful gift box | PRODUCTS ADVANTAGE &amp; FEATURES : | ❤ LIVE LIFE IN COLOR: | *This the best dress socks and casual socks outdoor for men.Whether you're looking for the brightest and happy socks,business dress socks or school unifor socks,OKISS mens socks can add color to your clothing and mood. | ❤BE BOLD | *The socks of outstanding color and style are bound to make you the center of attention,elevates a man's confidence,which will leave fashionable and colorful impression.,these men’s dress socks are a must-have apparel accessory to you. | ❤ Mulit-function: | *Our mens crew socks cotton is stylish,comfortable and pretty,From the business men to the hip-hop star, OKISS fun socks are designed for most of men. Keeping your feet classy while being colorful on your feet.You can get rid of boring socks. | ❤Exquisite Gift Box Packaging: | *5 packs in a beautiful gix box.They could be your perfect gift choices for your beloved ones in holidays, like Christmas, Thanksgiving and etc. Novelty birthday gifts for your son,son in-law ,husband, boyfriend, father, grandpa. | ❤RISK-FREE PURCHASE：100% money back guarantee:If you are not satisfied with the socks or have any issues about the product,Just tell us and we will help you,refund or resend!</x:v>
      </x:c>
      <x:c r="I110" s="76" t="str"/>
      <x:c r="J110" s="75" t="n">
        <x:v>4.5</x:v>
      </x:c>
      <x:c r="K110" s="77" t="n">
        <x:v>863</x:v>
      </x:c>
      <x:c r="L110" s="77" t="str">
        <x:v>OKISS</x:v>
      </x:c>
      <x:c r="M110" s="77" t="n">
        <x:f>LEN(C110)</x:f>
        <x:v>125</x:v>
      </x:c>
      <x:c r="N110" s="77" t="n">
        <x:f>LEN(F110)</x:f>
        <x:v>1866</x:v>
      </x:c>
      <x:c r="O110" s="77" t="n">
        <x:f>LEN(G110)</x:f>
        <x:v>155</x:v>
      </x:c>
      <x:c r="P110" s="77" t="n">
        <x:f>LEN(H110)</x:f>
        <x:v>1606</x:v>
      </x:c>
      <x:c r="Q110" s="77" t="n">
        <x:f>IF(LEN(C110)&gt;0,1,0)+IF(LEN(D110)&gt;0,1,0)+IF(LEN(F110)&gt;0,1,0)+IF(LEN(G110)&gt;0,1,0)+IF(LEN(H110)&gt;0,1,0)+IF(ISNUMBER(I110),1,0)+IF(ISNUMBER(J110),1,0)+IF(ISNUMBER(K110),1,0)+IF(LEN(L110)&gt;0,1,0)</x:f>
        <x:v>8</x:v>
      </x:c>
      <x:c r="R110" s="78" t="n">
        <x:f>Q110/9</x:f>
        <x:v>0.8888888888888888</x:v>
      </x:c>
    </x:row>
    <x:row r="111" ht="72" customHeight="1">
      <x:c r="A111" t="str">
        <x:v>public_0107</x:v>
      </x:c>
      <x:c r="B111" t="str">
        <x:v>B01KPFK9ZA</x:v>
      </x:c>
      <x:c r="C111" s="17" t="str">
        <x:v>FASHION BOOMY Women's Zip Up Safari Military Anorak Jacket with Hood Drawstring - Regular and Plus Sizes</x:v>
      </x:c>
      <x:c r="D111" s="17" t="str">
        <x:v>Clothing, Shoes &amp; Jewelry | Women | Clothing | Coats, Jackets &amp; Vests | Trench, Rain &amp; Anoraks | Anoraks</x:v>
      </x:c>
      <x:c r="E111" s="17" t="str">
        <x:v>Anoraks</x:v>
      </x:c>
      <x:c r="F111" s="17" t="str">
        <x:v>Shell 100% Cotton Lining 100% Polyester | Zipper closure | Machine Wash | Machine Wash Cold / Tumble Dry Low / Do not Bleach | Long sleeve with drawstring waist design / Breathable fabric Quick-drying / Suitable to all seasons | A good stretchy fabric / solid patterned / front pocket decoration / breathable | Features adjustable drawstring waist and bottom hem for better fit / Two snap button pockets and one zipper pocket to hold your belongings / Full zip up and snap button closure | Due to monitor settings, we cannot that you see will be exact from the actual color of the product / Please refer to the size chart for detailed size and allow 1 inch difference due to hand measurement</x:v>
      </x:c>
      <x:c r="G111" s="17" t="str">
        <x:v>Department: womens | Date First Available: June 1, 2016</x:v>
      </x:c>
      <x:c r="H111" s="17" t="str"/>
      <x:c r="I111" s="76" t="n">
        <x:v>42.99</x:v>
      </x:c>
      <x:c r="J111" s="75" t="n">
        <x:v>3.8</x:v>
      </x:c>
      <x:c r="K111" s="77" t="n">
        <x:v>7672</x:v>
      </x:c>
      <x:c r="L111" s="77" t="str">
        <x:v>FASHION BOOMY</x:v>
      </x:c>
      <x:c r="M111" s="77" t="n">
        <x:f>LEN(C111)</x:f>
        <x:v>104</x:v>
      </x:c>
      <x:c r="N111" s="77" t="n">
        <x:f>LEN(F111)</x:f>
        <x:v>691</x:v>
      </x:c>
      <x:c r="O111" s="77" t="n">
        <x:f>LEN(G111)</x:f>
        <x:v>55</x:v>
      </x:c>
      <x:c r="P111" s="77" t="n">
        <x:f>LEN(H111)</x:f>
        <x:v>0</x:v>
      </x:c>
      <x:c r="Q111" s="77" t="n">
        <x:f>IF(LEN(C111)&gt;0,1,0)+IF(LEN(D111)&gt;0,1,0)+IF(LEN(F111)&gt;0,1,0)+IF(LEN(G111)&gt;0,1,0)+IF(LEN(H111)&gt;0,1,0)+IF(ISNUMBER(I111),1,0)+IF(ISNUMBER(J111),1,0)+IF(ISNUMBER(K111),1,0)+IF(LEN(L111)&gt;0,1,0)</x:f>
        <x:v>8</x:v>
      </x:c>
      <x:c r="R111" s="78" t="n">
        <x:f>Q111/9</x:f>
        <x:v>0.8888888888888888</x:v>
      </x:c>
    </x:row>
    <x:row r="112" ht="72" customHeight="1">
      <x:c r="A112" t="str">
        <x:v>public_0108</x:v>
      </x:c>
      <x:c r="B112" t="str">
        <x:v>B01I21CI7G</x:v>
      </x:c>
      <x:c r="C112" s="17" t="str">
        <x:v>Hanes Women's Stretch Jersey Bike Shorts, Women’s Cotton Bike Shorts, Women’s Athletic Shorts, 7" Inseam</x:v>
      </x:c>
      <x:c r="D112" s="17" t="str">
        <x:v>Clothing, Shoes &amp; Jewelry | Sport Specific Clothing | Cycling | Women | Tights, Pants &amp; Shorts | Shorts</x:v>
      </x:c>
      <x:c r="E112" s="17" t="str">
        <x:v>Shorts</x:v>
      </x:c>
      <x:c r="F112" s="17" t="str">
        <x:v>54% Cotton, 36% Polyester, 10% Spandex | Imported | Elastic closure | Machine Wash | QUALITY FABRIC – A touch of spandex adds the perfect amount of stretch to these jersey bike shorts. They are crafted from soft cotton for move-with-you comfort. (90% Cotton/ 10% Spandex, Charcoal Heather 54% Cotton/36% Polyester/10% Spandex) | NO-SHOW – Hanes stretch jersey bike shorts are made from a heavier cotton fabric to prevent show-through. | ELASTIC WAISTBAND – Easy on-and-off, these cotton jersey bike shorts are detailed with a slim elastic waistband. | MULTIPLE OPTIONS – Hanes cotton jersey shorts are available in an assortment of neutral shades. | A COMFORTABLE FIT – These athletic shorts feature a 7" inseam. | PULL-ON STYLE – These sporty bike shorts feature a classic pull-on style for easy on-and-off. | COLD WATER WASH – Hanes recommends machine washing these women's shorts in cold water to help reduce energy consumption. | COLD WATER WASH – Hanes recommends machine washing these women's shorts in cold water to help reduce energy consumption.</x:v>
      </x:c>
      <x:c r="G112" s="17" t="str">
        <x:v>Package Dimensions: 1 x 1 x 1 inches; 1 Pounds | Item model number: O9291 | Department: womens | Date First Available: July 10, 2016 | Manufacturer: Hanes Women's Activewear</x:v>
      </x:c>
      <x:c r="H112" s="17" t="str">
        <x:v>Hanes® stretch jersey bike shorts pair perfectly with your favorite tee or tunic. The flattering women’s bike shorts are crafted from soft cotton with a hint of spandex. These women's bike shorts are designed with a heavier cotton fabric that prevents show-through. And Hanes® elastic waistband adds even more comfort to this sporty design. The women’s stretch-jersey bike shorts are available in an assortment of neutral shades.</x:v>
      </x:c>
      <x:c r="I112" s="76" t="n">
        <x:v>13</x:v>
      </x:c>
      <x:c r="J112" s="75" t="n">
        <x:v>4.4</x:v>
      </x:c>
      <x:c r="K112" s="77" t="n">
        <x:v>38968</x:v>
      </x:c>
      <x:c r="L112" s="77" t="str">
        <x:v>Hanes</x:v>
      </x:c>
      <x:c r="M112" s="77" t="n">
        <x:f>LEN(C112)</x:f>
        <x:v>104</x:v>
      </x:c>
      <x:c r="N112" s="77" t="n">
        <x:f>LEN(F112)</x:f>
        <x:v>1054</x:v>
      </x:c>
      <x:c r="O112" s="77" t="n">
        <x:f>LEN(G112)</x:f>
        <x:v>173</x:v>
      </x:c>
      <x:c r="P112" s="77" t="n">
        <x:f>LEN(H112)</x:f>
        <x:v>429</x:v>
      </x:c>
      <x:c r="Q112" s="77" t="n">
        <x:f>IF(LEN(C112)&gt;0,1,0)+IF(LEN(D112)&gt;0,1,0)+IF(LEN(F112)&gt;0,1,0)+IF(LEN(G112)&gt;0,1,0)+IF(LEN(H112)&gt;0,1,0)+IF(ISNUMBER(I112),1,0)+IF(ISNUMBER(J112),1,0)+IF(ISNUMBER(K112),1,0)+IF(LEN(L112)&gt;0,1,0)</x:f>
        <x:v>9</x:v>
      </x:c>
      <x:c r="R112" s="78" t="n">
        <x:f>Q112/9</x:f>
        <x:v>1</x:v>
      </x:c>
    </x:row>
    <x:row r="113" ht="72" customHeight="1">
      <x:c r="A113" t="str">
        <x:v>public_0109</x:v>
      </x:c>
      <x:c r="B113" t="str">
        <x:v>B016OT9D3K</x:v>
      </x:c>
      <x:c r="C113" s="17" t="str">
        <x:v>Hanes Men’s Short Sleeve Graphic T-shirt Collection</x:v>
      </x:c>
      <x:c r="D113" s="17" t="str">
        <x:v>Clothing, Shoes &amp; Jewelry | Men | Clothing | Shirts | T-Shirts</x:v>
      </x:c>
      <x:c r="E113" s="17" t="str">
        <x:v>T-Shirts</x:v>
      </x:c>
      <x:c r="F113" s="17" t="str">
        <x:v>100% Other Fibers | Imported | No Closure closure | Machine Wash | SOFT &amp; LIGHTWEIGHT - Super-soft and lightweight fabric feels great up against your skin. | SHORT-SLEEVES - Sporty short-sleeve design keeps you feeling cool and comfortable. | CLASSIC STYLING - Features a timeless crew neckline, ideal for layering or wearing alone. | QUALITY FABRIC - Made from 100% open-end cotton for ultimate all-day comfort. | EASY MACHINE WASHING - Just throw this men’s tee in the washing machine for a quick re-fresh, tumble dry low.</x:v>
      </x:c>
      <x:c r="G113" s="17" t="str">
        <x:v>Package Dimensions: 1 x 1 x 1 inches; 1 Pounds | Item model number: GT49A | Department: Mens | Date First Available: November 23, 2015 | Manufacturer: Hanes Men's Athletic Child Code</x:v>
      </x:c>
      <x:c r="H113" s="17" t="str">
        <x:v>Hanes men's lightweight graphic tee is provide the fit and comfort you expect with stylish vintage cali-themed prints. Check out each of the graphic collections available from Hanes.</x:v>
      </x:c>
      <x:c r="I113" s="76" t="n">
        <x:v>8.75</x:v>
      </x:c>
      <x:c r="J113" s="75" t="n">
        <x:v>4.6</x:v>
      </x:c>
      <x:c r="K113" s="77" t="n">
        <x:v>66584</x:v>
      </x:c>
      <x:c r="L113" s="77" t="str">
        <x:v>Hanes</x:v>
      </x:c>
      <x:c r="M113" s="77" t="n">
        <x:f>LEN(C113)</x:f>
        <x:v>51</x:v>
      </x:c>
      <x:c r="N113" s="77" t="n">
        <x:f>LEN(F113)</x:f>
        <x:v>524</x:v>
      </x:c>
      <x:c r="O113" s="77" t="n">
        <x:f>LEN(G113)</x:f>
        <x:v>182</x:v>
      </x:c>
      <x:c r="P113" s="77" t="n">
        <x:f>LEN(H113)</x:f>
        <x:v>182</x:v>
      </x:c>
      <x:c r="Q113" s="77" t="n">
        <x:f>IF(LEN(C113)&gt;0,1,0)+IF(LEN(D113)&gt;0,1,0)+IF(LEN(F113)&gt;0,1,0)+IF(LEN(G113)&gt;0,1,0)+IF(LEN(H113)&gt;0,1,0)+IF(ISNUMBER(I113),1,0)+IF(ISNUMBER(J113),1,0)+IF(ISNUMBER(K113),1,0)+IF(LEN(L113)&gt;0,1,0)</x:f>
        <x:v>9</x:v>
      </x:c>
      <x:c r="R113" s="78" t="n">
        <x:f>Q113/9</x:f>
        <x:v>1</x:v>
      </x:c>
    </x:row>
    <x:row r="114" ht="72" customHeight="1">
      <x:c r="A114" t="str">
        <x:v>public_0110</x:v>
      </x:c>
      <x:c r="B114" t="str">
        <x:v>B0C277G9FW</x:v>
      </x:c>
      <x:c r="C114" s="17" t="str">
        <x:v>Loritta 5 Pairs Womens Wool Socks Thick Knit Vintage Winter Warm Cozy Crew Socks Gifts</x:v>
      </x:c>
      <x:c r="D114" s="17" t="str">
        <x:v>Clothing, Shoes &amp; Jewelry | Women | Clothing | Active | Athletic Socks</x:v>
      </x:c>
      <x:c r="E114" s="17" t="str">
        <x:v>Athletic Socks</x:v>
      </x:c>
      <x:c r="F114" s="17" t="str">
        <x:v>35% wool, 29% cotton, 36% polyester | Machine Wash,Hand Wash | Material: Womens winter warm socks made of 35% wool, 29% cotton, 36% polyester. These cabin socks are super soft, breathable and wearable. Elegant, classic wool socks hosiery, colorful and comfy. | Size: Our wool socks women are free size 23 to 25cm, suitable for women US shoe size 5 to 9, the women socks are elastic and perfectly make it suitable for your feet. | Design: Vintage and trendy design thick warm socks for women that will coordinate with whatever you're wearing. Brighten up those cold winter mornings with these wool cozy socks to keep your toes warm. Ladies socks are good matching for all your sneakers, boots, snow boots, and sport shoes. | Gifts Ideas: A mix of bright prints makes these colorful winter socks women cool and fun. Womens wool socks can as stocking stuffers gifts for women, mom, grandma, wife, sister, girlfriend. As a birthdays, christmas, thanksgiving, fall gifts. Come with 5 pairs knit thick socks, various colors of womens socks can easily follow your daily collocation. | Athletic Wool Socks: Each pack of the winter women wool socks includes a various of colors, so you'll have soft boot socks that will coordinate with whatever you're wearing the womens crew socks are suit for hiking, walking, sleeping or during any outdoor activities.</x:v>
      </x:c>
      <x:c r="G114" s="17" t="str">
        <x:v>Department: Women | Date First Available: April 12, 2023</x:v>
      </x:c>
      <x:c r="H114" s="17" t="str">
        <x:v>Loritta 5 Pairs Womens Vintage Style Winter Thick Knitting Warm Wool Crew Socks | About the product | - Color: As showned (mixed colors). Photos are taken under bright sunlight, colors may look darker indoors. - Material: 35% wool + 29% cotton + 36% polyester. - Cute standard winter socks that will make your feet pop! - Each pack of our women's vintage socks includes five pairs with a different combination of colors. - These wool socks feature stylish patterns and vibrant colors that will put a fun finishing touch on your outfits. - Comfort and soft! Perfect for winter everyday wear. - Size: Free size 23 to 25cm, is suitable for women US shoe size 5 to 9. | Package Include: | 5 pairs of winter wool socks | Note Please: | - Machine wash/hand wash. - Due to differences between monitor displays, actual color may vary slightly from image. - Because of the different measurement methods, pls allow 0-1/2inch difference due to manual measurement. | About Loritta | We promise offer good quality products to make sure you satisfied.</x:v>
      </x:c>
      <x:c r="I114" s="76" t="n">
        <x:v>12.99</x:v>
      </x:c>
      <x:c r="J114" s="75" t="n">
        <x:v>4.6</x:v>
      </x:c>
      <x:c r="K114" s="77" t="n">
        <x:v>7371</x:v>
      </x:c>
      <x:c r="L114" s="77" t="str">
        <x:v>Loritta</x:v>
      </x:c>
      <x:c r="M114" s="77" t="n">
        <x:f>LEN(C114)</x:f>
        <x:v>86</x:v>
      </x:c>
      <x:c r="N114" s="77" t="n">
        <x:f>LEN(F114)</x:f>
        <x:v>1345</x:v>
      </x:c>
      <x:c r="O114" s="77" t="n">
        <x:f>LEN(G114)</x:f>
        <x:v>56</x:v>
      </x:c>
      <x:c r="P114" s="77" t="n">
        <x:f>LEN(H114)</x:f>
        <x:v>1037</x:v>
      </x:c>
      <x:c r="Q114" s="77" t="n">
        <x:f>IF(LEN(C114)&gt;0,1,0)+IF(LEN(D114)&gt;0,1,0)+IF(LEN(F114)&gt;0,1,0)+IF(LEN(G114)&gt;0,1,0)+IF(LEN(H114)&gt;0,1,0)+IF(ISNUMBER(I114),1,0)+IF(ISNUMBER(J114),1,0)+IF(ISNUMBER(K114),1,0)+IF(LEN(L114)&gt;0,1,0)</x:f>
        <x:v>9</x:v>
      </x:c>
      <x:c r="R114" s="78" t="n">
        <x:f>Q114/9</x:f>
        <x:v>1</x:v>
      </x:c>
    </x:row>
    <x:row r="115" ht="72" customHeight="1">
      <x:c r="A115" t="str">
        <x:v>public_0111</x:v>
      </x:c>
      <x:c r="B115" t="str">
        <x:v>B07H7BWMQF</x:v>
      </x:c>
      <x:c r="C115" s="17" t="str">
        <x:v>Lacozy Women's Off Shoulder Long Sleeve Oversized Pullover Sweater Knit Jumper Loose Tunic Tops</x:v>
      </x:c>
      <x:c r="D115" s="17" t="str">
        <x:v>Clothing, Shoes &amp; Jewelry | Women | Clothing | Sweaters | Pullovers</x:v>
      </x:c>
      <x:c r="E115" s="17" t="str">
        <x:v>Pullovers</x:v>
      </x:c>
      <x:c r="F115" s="17" t="str">
        <x:v>60% Polyester, 35% Cotton, 5% Spandex | Imported | Pull On closure | Hand Wash Only | Our off shoulder tops oversized long sleeve blouses for women are made of lightweight stretchy material, comfortable and easy to wear. It is a casual tops but not lacking sexy, the one shoulder top and batwing blouses design will give you a charming look. | Feature: Off the shoulder tops, long sleeve blouses, casual tops for women, womens fall clothes, dress shirts for women, womens tops and blouses, crop tops for women, off the shoulder dress, sweatshirt, womens tunic tops, loose strapless t shirts, knit tops, sexy shirts for women, batwing blouses, loose blouse tops, plus size shirts, flowy tops, trendy tops, elegant blouses for women. | The long sleeve pullovers for women stylish is extremely suitable for dressing as a womens fall tops. The solid colour and plain style for this dressy tops for women is simple but not boring. | Dressing this off shoulder tops up with jeans, leggings or shorts, to have a stylish and sexy look. Simple trendy design right for summer or fall vibe, also great for a casual night out, off duty functions, or a business day event. | Size: Small(US 4-6), Medium(US 8-10), Large(US 12-14), X-Large(US 16-18), 2X-Large(US 20)</x:v>
      </x:c>
      <x:c r="G115" s="17" t="str">
        <x:v>Item Weight: 7.04 Ounces | Department: Womens | Date First Available: July 24, 2019</x:v>
      </x:c>
      <x:c r="H115" s="17" t="str"/>
      <x:c r="I115" s="76" t="n">
        <x:v>23.99</x:v>
      </x:c>
      <x:c r="J115" s="75" t="n">
        <x:v>4.4</x:v>
      </x:c>
      <x:c r="K115" s="77" t="n">
        <x:v>17768</x:v>
      </x:c>
      <x:c r="L115" s="77" t="str">
        <x:v>Lacozy</x:v>
      </x:c>
      <x:c r="M115" s="77" t="n">
        <x:f>LEN(C115)</x:f>
        <x:v>95</x:v>
      </x:c>
      <x:c r="N115" s="77" t="n">
        <x:f>LEN(F115)</x:f>
        <x:v>1251</x:v>
      </x:c>
      <x:c r="O115" s="77" t="n">
        <x:f>LEN(G115)</x:f>
        <x:v>83</x:v>
      </x:c>
      <x:c r="P115" s="77" t="n">
        <x:f>LEN(H115)</x:f>
        <x:v>0</x:v>
      </x:c>
      <x:c r="Q115" s="77" t="n">
        <x:f>IF(LEN(C115)&gt;0,1,0)+IF(LEN(D115)&gt;0,1,0)+IF(LEN(F115)&gt;0,1,0)+IF(LEN(G115)&gt;0,1,0)+IF(LEN(H115)&gt;0,1,0)+IF(ISNUMBER(I115),1,0)+IF(ISNUMBER(J115),1,0)+IF(ISNUMBER(K115),1,0)+IF(LEN(L115)&gt;0,1,0)</x:f>
        <x:v>8</x:v>
      </x:c>
      <x:c r="R115" s="78" t="n">
        <x:f>Q115/9</x:f>
        <x:v>0.8888888888888888</x:v>
      </x:c>
    </x:row>
    <x:row r="116" ht="72" customHeight="1">
      <x:c r="A116" t="str">
        <x:v>public_0112</x:v>
      </x:c>
      <x:c r="B116" t="str">
        <x:v>B086ZNJY8K</x:v>
      </x:c>
      <x:c r="C116" s="17" t="str">
        <x:v>Nautica Men's Casual Slip-On Fashion Sneakers-Walking Shoes-Lightweight Joggers</x:v>
      </x:c>
      <x:c r="D116" s="17" t="str">
        <x:v>Clothing, Shoes &amp; Jewelry | Men | Shoes | Athletic | Walking</x:v>
      </x:c>
      <x:c r="E116" s="17" t="str">
        <x:v>Walking</x:v>
      </x:c>
      <x:c r="F116" s="17" t="str">
        <x:v>Leather sole | A Lightweight Sneaker, Which Is Suitable For Running, Sports, Hiking, Walking, Tourism And Climbing. | Slip-on For Easy On And Off. | Enjoy The Comfort And Performance Of Sockliner; Rubber Outsole Provides Secure Traction | Cushioned Insole With Fabric. | Lightweight, Flexible and Comfort</x:v>
      </x:c>
      <x:c r="G116" s="17" t="str">
        <x:v>Department: mens | Date First Available: April 11, 2020 | Manufacturer: Nautica</x:v>
      </x:c>
      <x:c r="H116" s="17" t="str"/>
      <x:c r="I116" s="76" t="n">
        <x:v>34.98</x:v>
      </x:c>
      <x:c r="J116" s="75" t="n">
        <x:v>4.4</x:v>
      </x:c>
      <x:c r="K116" s="77" t="n">
        <x:v>3831</x:v>
      </x:c>
      <x:c r="L116" s="77" t="str">
        <x:v>Nautica</x:v>
      </x:c>
      <x:c r="M116" s="77" t="n">
        <x:f>LEN(C116)</x:f>
        <x:v>79</x:v>
      </x:c>
      <x:c r="N116" s="77" t="n">
        <x:f>LEN(F116)</x:f>
        <x:v>304</x:v>
      </x:c>
      <x:c r="O116" s="77" t="n">
        <x:f>LEN(G116)</x:f>
        <x:v>79</x:v>
      </x:c>
      <x:c r="P116" s="77" t="n">
        <x:f>LEN(H116)</x:f>
        <x:v>0</x:v>
      </x:c>
      <x:c r="Q116" s="77" t="n">
        <x:f>IF(LEN(C116)&gt;0,1,0)+IF(LEN(D116)&gt;0,1,0)+IF(LEN(F116)&gt;0,1,0)+IF(LEN(G116)&gt;0,1,0)+IF(LEN(H116)&gt;0,1,0)+IF(ISNUMBER(I116),1,0)+IF(ISNUMBER(J116),1,0)+IF(ISNUMBER(K116),1,0)+IF(LEN(L116)&gt;0,1,0)</x:f>
        <x:v>8</x:v>
      </x:c>
      <x:c r="R116" s="78" t="n">
        <x:f>Q116/9</x:f>
        <x:v>0.8888888888888888</x:v>
      </x:c>
    </x:row>
    <x:row r="117" ht="72" customHeight="1">
      <x:c r="A117" t="str">
        <x:v>public_0113</x:v>
      </x:c>
      <x:c r="B117" t="str">
        <x:v>B08CTFPBN5</x:v>
      </x:c>
      <x:c r="C117" s="17" t="str">
        <x:v>RockDove Women's Nomad Slipper with Memory Foam</x:v>
      </x:c>
      <x:c r="D117" s="17" t="str">
        <x:v>Clothing, Shoes &amp; Jewelry | Women | Shoes | Slippers</x:v>
      </x:c>
      <x:c r="E117" s="17" t="str">
        <x:v>Slippers</x:v>
      </x:c>
      <x:c r="F117" s="17" t="str">
        <x:v>Sherpa Fleece | Rubber sole | CLOSED HEEL - These slippers hug your feet entirely so they won't fly off when walking, especially on stairs. Made of soft uppers, you can also step over the back and wear them as slip-ons, for times when you need to quickly slip them on and go. | TOASTY WARM - Covered in plush sherpa fleece from inside to outside, this slipper will wrap your feet in a cocoon of warmth so they'll never feel cold. | CLOUDLIKE - Midsole padded with high-density memory foam and two support foams for extra cushioning; conforms to the curves of your underfoot to evenly distribute stress. Once worn you'll never want to take them off - they're that comfortable. | VERSATILE - Rubber outsole lets you step anywhere from bedroom to outdoors without switching shoes, useful for times when you need to step out for quick errands; also makes a great camp or dorm slipper that's easy to pack up (no need to ever worry about damaging or creasing the material). | DURABLE - Sole is joined to the upper via sewn side seams (not glued on), greatly improving the durability of the slipper; they're also machine washable so simply throw them in the wash and they'll come out as good as new; 100% vegan-friendly: contains no animal parts.</x:v>
      </x:c>
      <x:c r="G117" s="17" t="str">
        <x:v>Product Dimensions: 9.8 x 7.87 x 3.5 inches | Department: Womens | Date First Available: July 12, 2020</x:v>
      </x:c>
      <x:c r="H117" s="17" t="str"/>
      <x:c r="I117" s="76" t="n">
        <x:v>27.99</x:v>
      </x:c>
      <x:c r="J117" s="75" t="n">
        <x:v>4.5</x:v>
      </x:c>
      <x:c r="K117" s="77" t="n">
        <x:v>7317</x:v>
      </x:c>
      <x:c r="L117" s="77" t="str">
        <x:v>RockDove</x:v>
      </x:c>
      <x:c r="M117" s="77" t="n">
        <x:f>LEN(C117)</x:f>
        <x:v>47</x:v>
      </x:c>
      <x:c r="N117" s="77" t="n">
        <x:f>LEN(F117)</x:f>
        <x:v>1239</x:v>
      </x:c>
      <x:c r="O117" s="77" t="n">
        <x:f>LEN(G117)</x:f>
        <x:v>102</x:v>
      </x:c>
      <x:c r="P117" s="77" t="n">
        <x:f>LEN(H117)</x:f>
        <x:v>0</x:v>
      </x:c>
      <x:c r="Q117" s="77" t="n">
        <x:f>IF(LEN(C117)&gt;0,1,0)+IF(LEN(D117)&gt;0,1,0)+IF(LEN(F117)&gt;0,1,0)+IF(LEN(G117)&gt;0,1,0)+IF(LEN(H117)&gt;0,1,0)+IF(ISNUMBER(I117),1,0)+IF(ISNUMBER(J117),1,0)+IF(ISNUMBER(K117),1,0)+IF(LEN(L117)&gt;0,1,0)</x:f>
        <x:v>8</x:v>
      </x:c>
      <x:c r="R117" s="78" t="n">
        <x:f>Q117/9</x:f>
        <x:v>0.8888888888888888</x:v>
      </x:c>
    </x:row>
    <x:row r="118" ht="72" customHeight="1">
      <x:c r="A118" t="str">
        <x:v>public_0114</x:v>
      </x:c>
      <x:c r="B118" t="str">
        <x:v>B07H34Z5V6</x:v>
      </x:c>
      <x:c r="C118" s="17" t="str">
        <x:v>Athlefit Women's Wedge Sneakers Hidden Heel Platform Wedge Booties Hidden Wedgie Sneakers</x:v>
      </x:c>
      <x:c r="D118" s="17" t="str">
        <x:v>Clothing, Shoes &amp; Jewelry | Women | Shoes | Fashion Sneakers</x:v>
      </x:c>
      <x:c r="E118" s="17" t="str">
        <x:v>Fashion Sneakers</x:v>
      </x:c>
      <x:c r="F118" s="17" t="str">
        <x:v>Rubber sole | Great go-to shoes with multicolor choice and steady design suitable for all age | Take a natural step forward with a clean look, for sure go with your daily t-shirt and jeans, jackets,casual midi dress,any outfit you have | Anti slip and durable rubber sole and cushioned insole keeps your balance at all time so you can enjoy any type of activity,walking,playing | Design bask in comfort, fashion and durability, the versatile wedge sneakers finished with breathable soft upper,mid wegde heel to makes you look good and feel good | Take a natural step forward with a clean look, for sure go with your daily t-shirt and jeans, jackets,casual midi dress,any outfit you have</x:v>
      </x:c>
      <x:c r="G118" s="17" t="str">
        <x:v>Is Discontinued By Manufacturer: No | Product Dimensions: 10 x 6 x 4 inches | Department: Womens | Date First Available: September 4, 2018</x:v>
      </x:c>
      <x:c r="H118" s="17" t="str"/>
      <x:c r="I118" s="76" t="n">
        <x:v>45.99</x:v>
      </x:c>
      <x:c r="J118" s="75" t="n">
        <x:v>4.3</x:v>
      </x:c>
      <x:c r="K118" s="77" t="n">
        <x:v>8602</x:v>
      </x:c>
      <x:c r="L118" s="77" t="str">
        <x:v>Athlefit</x:v>
      </x:c>
      <x:c r="M118" s="77" t="n">
        <x:f>LEN(C118)</x:f>
        <x:v>89</x:v>
      </x:c>
      <x:c r="N118" s="77" t="n">
        <x:f>LEN(F118)</x:f>
        <x:v>686</x:v>
      </x:c>
      <x:c r="O118" s="77" t="n">
        <x:f>LEN(G118)</x:f>
        <x:v>138</x:v>
      </x:c>
      <x:c r="P118" s="77" t="n">
        <x:f>LEN(H118)</x:f>
        <x:v>0</x:v>
      </x:c>
      <x:c r="Q118" s="77" t="n">
        <x:f>IF(LEN(C118)&gt;0,1,0)+IF(LEN(D118)&gt;0,1,0)+IF(LEN(F118)&gt;0,1,0)+IF(LEN(G118)&gt;0,1,0)+IF(LEN(H118)&gt;0,1,0)+IF(ISNUMBER(I118),1,0)+IF(ISNUMBER(J118),1,0)+IF(ISNUMBER(K118),1,0)+IF(LEN(L118)&gt;0,1,0)</x:f>
        <x:v>8</x:v>
      </x:c>
      <x:c r="R118" s="78" t="n">
        <x:f>Q118/9</x:f>
        <x:v>0.8888888888888888</x:v>
      </x:c>
    </x:row>
    <x:row r="119" ht="72" customHeight="1">
      <x:c r="A119" t="str">
        <x:v>public_0115</x:v>
      </x:c>
      <x:c r="B119" t="str">
        <x:v>B08VWZBYPY</x:v>
      </x:c>
      <x:c r="C119" s="17" t="str">
        <x:v>PrinStory Womens Sleepwear Short Sleeve Nightgown Soft Sleepshirt Pleated Nightshirt Scoopneck Casual Loungewear</x:v>
      </x:c>
      <x:c r="D119" s="17" t="str">
        <x:v>Clothing, Shoes &amp; Jewelry | Women | Clothing | Lingerie, Sleep &amp; Lounge | Sleep &amp; Lounge | Nightgowns &amp; Sleepshirts</x:v>
      </x:c>
      <x:c r="E119" s="17" t="str">
        <x:v>Nightgowns &amp; Sleepshirts</x:v>
      </x:c>
      <x:c r="F119" s="17" t="str">
        <x:v>95% Rayon, 5% Spandex | Imported | Machine Wash | 【Material】：95% Rayon + 5% Spandex, soft and lightweight to wear. | 【US SIZE】: Small=(US 4-6), Medium=(US 8-10), Large=(US 12-14), X-Large=(US 16-18), XX-Large=(US 20), This is true to size, please purchase according to your normal size. | 【Features】:This cute nightdress is composed of stretchy and soft knit fabric that has a rounded neckline, short sleeves, and a loose hem.This nightgown has front pleats and contrast color trimmed at the neck, cuff. It's very classic and the fit is perfectly relaxed and comfy! Leg-baring length allows you to fall into a flirty. | 【Feelings】:It's so cute and feminine! This nightshirt is just what you need for lounging around the house. Loose and light material gives you a easy and relaxed fit. Stretchy nightshirt be provided with good adaptability that makes you think about all the events you could wear this cutie to! | 【Occasions】:This sleep dress is such a versatile staple piece.This easy, relaxed fit dress is a perfect go to option for an instant outfit. Our nightgown is suitable for sleeping, lounging, reading and daily wear. And the nightdress is a good idea as a gift for your friends, mother and sister.</x:v>
      </x:c>
      <x:c r="G119" s="17" t="str">
        <x:v>Package Dimensions: 10.99 x 8.29 x 0.27 inches; 5.6 Ounces | Department: womens | Date First Available: February 4, 2021</x:v>
      </x:c>
      <x:c r="H119" s="17" t="str"/>
      <x:c r="I119" s="76" t="n">
        <x:v>24.99</x:v>
      </x:c>
      <x:c r="J119" s="75" t="n">
        <x:v>4.5</x:v>
      </x:c>
      <x:c r="K119" s="77" t="n">
        <x:v>3925</x:v>
      </x:c>
      <x:c r="L119" s="77" t="str">
        <x:v>PrinStory</x:v>
      </x:c>
      <x:c r="M119" s="77" t="n">
        <x:f>LEN(C119)</x:f>
        <x:v>112</x:v>
      </x:c>
      <x:c r="N119" s="77" t="n">
        <x:f>LEN(F119)</x:f>
        <x:v>1209</x:v>
      </x:c>
      <x:c r="O119" s="77" t="n">
        <x:f>LEN(G119)</x:f>
        <x:v>120</x:v>
      </x:c>
      <x:c r="P119" s="77" t="n">
        <x:f>LEN(H119)</x:f>
        <x:v>0</x:v>
      </x:c>
      <x:c r="Q119" s="77" t="n">
        <x:f>IF(LEN(C119)&gt;0,1,0)+IF(LEN(D119)&gt;0,1,0)+IF(LEN(F119)&gt;0,1,0)+IF(LEN(G119)&gt;0,1,0)+IF(LEN(H119)&gt;0,1,0)+IF(ISNUMBER(I119),1,0)+IF(ISNUMBER(J119),1,0)+IF(ISNUMBER(K119),1,0)+IF(LEN(L119)&gt;0,1,0)</x:f>
        <x:v>8</x:v>
      </x:c>
      <x:c r="R119" s="78" t="n">
        <x:f>Q119/9</x:f>
        <x:v>0.8888888888888888</x:v>
      </x:c>
    </x:row>
    <x:row r="120" ht="72" customHeight="1">
      <x:c r="A120" t="str">
        <x:v>public_0116</x:v>
      </x:c>
      <x:c r="B120" t="str">
        <x:v>B07S2Y3THP</x:v>
      </x:c>
      <x:c r="C120" s="17" t="str">
        <x:v>Lugz Men's Clipper Sneaker</x:v>
      </x:c>
      <x:c r="D120" s="17" t="str">
        <x:v>Clothing, Shoes &amp; Jewelry | Men | Shoes | Fashion Sneakers</x:v>
      </x:c>
      <x:c r="E120" s="17" t="str">
        <x:v>Fashion Sneakers</x:v>
      </x:c>
      <x:c r="F120" s="17" t="str">
        <x:v>100% Canvas | Rubber sole | Cushioned Insole for added comfort | Canvas Upper | Rubber outsole, vulcanized | Classic slip-on style with side gore panels that stretch for easy on/off | Padded collar for a comfortable fit</x:v>
      </x:c>
      <x:c r="G120" s="17" t="str">
        <x:v>Product Dimensions: 11.9 x 7.2 x 4.1 inches; 11.6 Ounces | Item model number: MCLIPRTC-3110 | Department: Mens | Date First Available: September 21, 2015 | Manufacturer: Lugz</x:v>
      </x:c>
      <x:c r="H120" s="17" t="str">
        <x:v>Slip these fashionable oxford sneakers on and go! The slip-on Clipper features a breathable canvas upper for superior comfort and a durable rubber outsole for excellent traction. The Clipper is that versatile sneaker you can wear anywhere!</x:v>
      </x:c>
      <x:c r="I120" s="76" t="n">
        <x:v>31.99</x:v>
      </x:c>
      <x:c r="J120" s="75" t="n">
        <x:v>4.3</x:v>
      </x:c>
      <x:c r="K120" s="77" t="n">
        <x:v>30779</x:v>
      </x:c>
      <x:c r="L120" s="77" t="str">
        <x:v>Lugz</x:v>
      </x:c>
      <x:c r="M120" s="77" t="n">
        <x:f>LEN(C120)</x:f>
        <x:v>26</x:v>
      </x:c>
      <x:c r="N120" s="77" t="n">
        <x:f>LEN(F120)</x:f>
        <x:v>219</x:v>
      </x:c>
      <x:c r="O120" s="77" t="n">
        <x:f>LEN(G120)</x:f>
        <x:v>174</x:v>
      </x:c>
      <x:c r="P120" s="77" t="n">
        <x:f>LEN(H120)</x:f>
        <x:v>239</x:v>
      </x:c>
      <x:c r="Q120" s="77" t="n">
        <x:f>IF(LEN(C120)&gt;0,1,0)+IF(LEN(D120)&gt;0,1,0)+IF(LEN(F120)&gt;0,1,0)+IF(LEN(G120)&gt;0,1,0)+IF(LEN(H120)&gt;0,1,0)+IF(ISNUMBER(I120),1,0)+IF(ISNUMBER(J120),1,0)+IF(ISNUMBER(K120),1,0)+IF(LEN(L120)&gt;0,1,0)</x:f>
        <x:v>9</x:v>
      </x:c>
      <x:c r="R120" s="78" t="n">
        <x:f>Q120/9</x:f>
        <x:v>1</x:v>
      </x:c>
    </x:row>
    <x:row r="121" ht="72" customHeight="1">
      <x:c r="A121" t="str">
        <x:v>public_0117</x:v>
      </x:c>
      <x:c r="B121" t="str">
        <x:v>B07HJ18QRQ</x:v>
      </x:c>
      <x:c r="C121" s="17" t="str">
        <x:v>Vionic Sadie Women's Adjustable Strap Orthotic Slippers</x:v>
      </x:c>
      <x:c r="D121" s="17" t="str">
        <x:v>Clothing, Shoes &amp; Jewelry | Women | Shoes | Slippers</x:v>
      </x:c>
      <x:c r="E121" s="17" t="str">
        <x:v>Slippers</x:v>
      </x:c>
      <x:c r="F121" s="17" t="str">
        <x:v>Synthetic Rubber sole | Mule-style slipper, adjustable strap with hook-and-loop closure, silvertone button detail. | Terrycloth-covered EVA midsole absorbs shock, helping reduce stress on feet, ankles, and knees. | Podiatrist-designed, biomechanical orthotic footbed with Orthaheel technology and a deep heel cup helps stabilize, support, and realign feet back to their natural position while wearing. | Available in medium width sizes: 5-11. If you are a half size, please go down a size. | Durable rubber outsole resists moisture and wave-patterned tread offers good traction on a variety of surfaces</x:v>
      </x:c>
      <x:c r="G121" s="17" t="str">
        <x:v>Department: womens | Date First Available: September 11, 2018 | Manufacturer: Vionic</x:v>
      </x:c>
      <x:c r="H121" s="17" t="str">
        <x:v>Vionic Sadie Slipper features podiatristdesigned orthotic footbed with a soft terrycloth lining. Wear them around the house or even outdoors as it has a sturdy outsole. The Sadie slipper is not only cozy and comfortable, it has an adjustable strap for a perfect fit and feel. The slippers that will provide comfort when you need it the most. The Sadie slipper can help provide relief for plantar fasciitis while also keeping the chill out kicking back around the house. Research supports Orthaheel Technology success in reducing overpronation, which can help relieve associated common aches and pains, such as heel pain plantar fasciitis, knee pain and lower back pain by keeping your body and feet in natural alignment.</x:v>
      </x:c>
      <x:c r="I121" s="76" t="n">
        <x:v>45</x:v>
      </x:c>
      <x:c r="J121" s="75" t="n">
        <x:v>4.6</x:v>
      </x:c>
      <x:c r="K121" s="77" t="n">
        <x:v>8372</x:v>
      </x:c>
      <x:c r="L121" s="77" t="str">
        <x:v>Vionic</x:v>
      </x:c>
      <x:c r="M121" s="77" t="n">
        <x:f>LEN(C121)</x:f>
        <x:v>55</x:v>
      </x:c>
      <x:c r="N121" s="77" t="n">
        <x:f>LEN(F121)</x:f>
        <x:v>602</x:v>
      </x:c>
      <x:c r="O121" s="77" t="n">
        <x:f>LEN(G121)</x:f>
        <x:v>84</x:v>
      </x:c>
      <x:c r="P121" s="77" t="n">
        <x:f>LEN(H121)</x:f>
        <x:v>720</x:v>
      </x:c>
      <x:c r="Q121" s="77" t="n">
        <x:f>IF(LEN(C121)&gt;0,1,0)+IF(LEN(D121)&gt;0,1,0)+IF(LEN(F121)&gt;0,1,0)+IF(LEN(G121)&gt;0,1,0)+IF(LEN(H121)&gt;0,1,0)+IF(ISNUMBER(I121),1,0)+IF(ISNUMBER(J121),1,0)+IF(ISNUMBER(K121),1,0)+IF(LEN(L121)&gt;0,1,0)</x:f>
        <x:v>9</x:v>
      </x:c>
      <x:c r="R121" s="78" t="n">
        <x:f>Q121/9</x:f>
        <x:v>1</x:v>
      </x:c>
    </x:row>
    <x:row r="122" ht="72" customHeight="1">
      <x:c r="A122" t="str">
        <x:v>public_0118</x:v>
      </x:c>
      <x:c r="B122" t="str">
        <x:v>B09M72C8PG</x:v>
      </x:c>
      <x:c r="C122" s="17" t="str">
        <x:v>Angerella Women Vintage Polka Dot High Waisted Bathing Suits Bikini Set</x:v>
      </x:c>
      <x:c r="D122" s="17" t="str">
        <x:v>Clothing, Shoes &amp; Jewelry | Women | Clothing | Swimsuits &amp; Cover Ups | Bikinis | Sets</x:v>
      </x:c>
      <x:c r="E122" s="17" t="str">
        <x:v>Sets</x:v>
      </x:c>
      <x:c r="F122" s="17" t="str">
        <x:v>Nylon,Spandex | Imported | Straps closure | ♥MATERIALS: imported 82%Nylon+18%Spandex. Smooth fabric, stretchy, durable, quick-drying, pro-skin, make it easy to full on and very comfortable to wear. | ♥VARIOUS STYLE FOR YOU SELECTED:This bathing suit top with thick, soft&amp; adjustable halter straps/shoulder straps,underwired cups,Make you sexy,fashion and sute. | ♥HIGH WASITED RUCHED BIKINI BOTTOMS :Vintage printed swim bottom has tummy control effect for better curves. High waisted ruched bikini bottoms also bring a retro glamour. Multiple US sizes for you to choose from: S (US 4-6), M (US 8-10), L (US 12-14), XL (US 16-18), XXL(US 20-22). | ♥Retro Vintage High Waisted Collection was designed to exaggerate every girl's figure and waistline | ♥Package Includes:Bikini Set (top &amp; bottom).Note: color differences allowed for light effects</x:v>
      </x:c>
      <x:c r="G122" s="17" t="str">
        <x:v>Package Dimensions: 3.15 x 2.76 x 0.39 inches; 5.29 Ounces | Item model number: AG-BKI119 | Department: Womens | Date First Available: December 17, 2020 | Manufacturer: Angerella</x:v>
      </x:c>
      <x:c r="H122" s="17" t="str"/>
      <x:c r="I122" s="76" t="n">
        <x:v>30.59</x:v>
      </x:c>
      <x:c r="J122" s="75" t="n">
        <x:v>4</x:v>
      </x:c>
      <x:c r="K122" s="77" t="n">
        <x:v>18076</x:v>
      </x:c>
      <x:c r="L122" s="77" t="str">
        <x:v>Angerella</x:v>
      </x:c>
      <x:c r="M122" s="77" t="n">
        <x:f>LEN(C122)</x:f>
        <x:v>71</x:v>
      </x:c>
      <x:c r="N122" s="77" t="n">
        <x:f>LEN(F122)</x:f>
        <x:v>843</x:v>
      </x:c>
      <x:c r="O122" s="77" t="n">
        <x:f>LEN(G122)</x:f>
        <x:v>178</x:v>
      </x:c>
      <x:c r="P122" s="77" t="n">
        <x:f>LEN(H122)</x:f>
        <x:v>0</x:v>
      </x:c>
      <x:c r="Q122" s="77" t="n">
        <x:f>IF(LEN(C122)&gt;0,1,0)+IF(LEN(D122)&gt;0,1,0)+IF(LEN(F122)&gt;0,1,0)+IF(LEN(G122)&gt;0,1,0)+IF(LEN(H122)&gt;0,1,0)+IF(ISNUMBER(I122),1,0)+IF(ISNUMBER(J122),1,0)+IF(ISNUMBER(K122),1,0)+IF(LEN(L122)&gt;0,1,0)</x:f>
        <x:v>8</x:v>
      </x:c>
      <x:c r="R122" s="78" t="n">
        <x:f>Q122/9</x:f>
        <x:v>0.8888888888888888</x:v>
      </x:c>
    </x:row>
    <x:row r="123" ht="72" customHeight="1">
      <x:c r="A123" t="str">
        <x:v>public_0119</x:v>
      </x:c>
      <x:c r="B123" t="str">
        <x:v>B0BBLR3QB2</x:v>
      </x:c>
      <x:c r="C123" s="17" t="str">
        <x:v>MIFORINES Ladies Summer Jelly Pillow-shaped Top Handle Handbag Candy Color Transparent Crystal Purse</x:v>
      </x:c>
      <x:c r="D123" s="17" t="str">
        <x:v>Clothing, Shoes &amp; Jewelry | Women | Handbags &amp; Wallets | Top-Handle Bags</x:v>
      </x:c>
      <x:c r="E123" s="17" t="str">
        <x:v>Top-Handle Bags</x:v>
      </x:c>
      <x:c r="F123" s="17" t="str">
        <x:v>Pvc,Resin | Imported | Material: High Quality PVC Material. Made from Natural resin, not plastic. | Size: &lt;1&gt;Big handbag:26*15*18cm/10.2"*7"*5.9"(Length*Width*Height), handle height:4.3" &lt;2&gt;Mini handbag :6.7’’(L) x 3.9’’(W) x4.7” (H), handle height :3.15”. | Closure : Double zipper lock closure for big handbag .Pay attention ,there is no lock for mini handbag. | External Design: this candy bag features fashionable runway bag style, briefcase shape, it fits different inner items; and suitable for you to go to the beach, cause it's waterproof; and Smooth and Convenient closure, practical and looks high-class. It has a cute shiny appearance and candy color, it’s perfect for daily use, especially in summer | Waterproof and fireproof ;If the bag was crushed out of shape, please soak it into the warm water of 60-70 degrees Celsius, then it will recover the original shape.</x:v>
      </x:c>
      <x:c r="G123" s="17" t="str">
        <x:v>Is Discontinued By Manufacturer: No | Product Dimensions: 10.2 x 7 x 5.9 inches; 1.88 Pounds | Department: Womens | Date First Available: October 12, 2017 | Country of Origin: China</x:v>
      </x:c>
      <x:c r="H123" s="17" t="str">
        <x:v>New Arrival Summer Jelly Handbag Candy Color Transparent Crystal Bag | Size: 26*15*18cm/10.2"*7"*5.9"(Length*Width*Height), handle height:4.3" ,Please pay attention ,there is no shoulder strap for this style ,if you’d like shoulder strap ,please buy it for another style in our store. This bag can accompany you to attend a lot of occasions, you can carry it for your party, shopping and dating. great birthday gift, Christmas gift for women, ladies, girls.</x:v>
      </x:c>
      <x:c r="I123" s="76" t="n">
        <x:v>34.99</x:v>
      </x:c>
      <x:c r="J123" s="75" t="n">
        <x:v>4.5</x:v>
      </x:c>
      <x:c r="K123" s="77" t="n">
        <x:v>134</x:v>
      </x:c>
      <x:c r="L123" s="77" t="str">
        <x:v>MIFORINES</x:v>
      </x:c>
      <x:c r="M123" s="77" t="n">
        <x:f>LEN(C123)</x:f>
        <x:v>100</x:v>
      </x:c>
      <x:c r="N123" s="77" t="n">
        <x:f>LEN(F123)</x:f>
        <x:v>878</x:v>
      </x:c>
      <x:c r="O123" s="77" t="n">
        <x:f>LEN(G123)</x:f>
        <x:v>181</x:v>
      </x:c>
      <x:c r="P123" s="77" t="n">
        <x:f>LEN(H123)</x:f>
        <x:v>457</x:v>
      </x:c>
      <x:c r="Q123" s="77" t="n">
        <x:f>IF(LEN(C123)&gt;0,1,0)+IF(LEN(D123)&gt;0,1,0)+IF(LEN(F123)&gt;0,1,0)+IF(LEN(G123)&gt;0,1,0)+IF(LEN(H123)&gt;0,1,0)+IF(ISNUMBER(I123),1,0)+IF(ISNUMBER(J123),1,0)+IF(ISNUMBER(K123),1,0)+IF(LEN(L123)&gt;0,1,0)</x:f>
        <x:v>9</x:v>
      </x:c>
      <x:c r="R123" s="78" t="n">
        <x:f>Q123/9</x:f>
        <x:v>1</x:v>
      </x:c>
    </x:row>
    <x:row r="124" ht="72" customHeight="1">
      <x:c r="A124" t="str">
        <x:v>public_0120</x:v>
      </x:c>
      <x:c r="B124" t="str">
        <x:v>B08GPGX2QG</x:v>
      </x:c>
      <x:c r="C124" s="17" t="str">
        <x:v>SENDEFN Wallets for Women Genuine Leather Credit Card Holder with RFID Blocking Large Capacity Wristlet</x:v>
      </x:c>
      <x:c r="D124" s="17" t="str">
        <x:v>Clothing, Shoes &amp; Jewelry | Women | Accessories | Wallets, Card Cases &amp; Money Organizers | Wallets</x:v>
      </x:c>
      <x:c r="E124" s="17" t="str">
        <x:v>Wallets</x:v>
      </x:c>
      <x:c r="F124" s="17" t="str">
        <x:v>Leather lining | Snap closure | Dry Cloth Clean | ▶[Large Capacity]◀ This women's wallet has 24 card slots and 2 ID windows, 4 receipt slots, 2 cash compartments, and 1 zipper pocket. Lots of room to carry our phones, cash, coins, cards and receipts, ID cards, driver's licenses, or families' photos. It will be a good size to hold your cards &amp; everything else you need to carry. | ▶[Well Made]◀ Our genuine leather is sturdy but very soft to the touch. Awesome stitching and quality metal on the snap, zipper, and handle. This ensures that the wallet continues to serve you. | ▶[RFID Blocking]◀ The need to secure your most crucial information keeps increasing each day. We make this possible for you by fitting each one of our purses with an RFID blocking feature. This ensures that no unauthorized persons can sniff around your purse. | ▶[Wrist Strap]◀ Are you tired of holding your wallet all the time as you move around? Would you like an easier way of handling it? Then here you have it. Each of our wallets comes with a wristlet that allows you to conveniently carry your wallet without any inconveniences whatsoever. | ▶[A Nice Gift]◀ Heavy gift box, carefully wrapped, spacious design, solid construction, stylish and lovely colors... These make our wallets a magnificent gift idea for anniversaries, birthdays, Christmas, and any other important date.</x:v>
      </x:c>
      <x:c r="G124" s="17" t="str">
        <x:v>Brand: SENDEFN | Color: 1-Wax-Red-2 | Material: Leather | Style: Rfid Wallet | Pattern: Solid | Product Dimensions: 7.6 x 4.1 x 1.6 inches; 9.03 Ounces | Item model number: 5162 | Department: womens | Date First Available: August 26, 2020</x:v>
      </x:c>
      <x:c r="H124" s="17" t="str"/>
      <x:c r="I124" s="76" t="n">
        <x:v>25.99</x:v>
      </x:c>
      <x:c r="J124" s="75" t="n">
        <x:v>4.6</x:v>
      </x:c>
      <x:c r="K124" s="77" t="n">
        <x:v>22424</x:v>
      </x:c>
      <x:c r="L124" s="77" t="str">
        <x:v>SENDEFN</x:v>
      </x:c>
      <x:c r="M124" s="77" t="n">
        <x:f>LEN(C124)</x:f>
        <x:v>103</x:v>
      </x:c>
      <x:c r="N124" s="77" t="n">
        <x:f>LEN(F124)</x:f>
        <x:v>1361</x:v>
      </x:c>
      <x:c r="O124" s="77" t="n">
        <x:f>LEN(G124)</x:f>
        <x:v>238</x:v>
      </x:c>
      <x:c r="P124" s="77" t="n">
        <x:f>LEN(H124)</x:f>
        <x:v>0</x:v>
      </x:c>
      <x:c r="Q124" s="77" t="n">
        <x:f>IF(LEN(C124)&gt;0,1,0)+IF(LEN(D124)&gt;0,1,0)+IF(LEN(F124)&gt;0,1,0)+IF(LEN(G124)&gt;0,1,0)+IF(LEN(H124)&gt;0,1,0)+IF(ISNUMBER(I124),1,0)+IF(ISNUMBER(J124),1,0)+IF(ISNUMBER(K124),1,0)+IF(LEN(L124)&gt;0,1,0)</x:f>
        <x:v>8</x:v>
      </x:c>
      <x:c r="R124" s="78" t="n">
        <x:f>Q124/9</x:f>
        <x:v>0.8888888888888888</x:v>
      </x:c>
    </x:row>
    <x:row r="125" ht="72" customHeight="1">
      <x:c r="A125" t="str">
        <x:v>public_0121</x:v>
      </x:c>
      <x:c r="B125" t="str">
        <x:v>B08HS712ZB</x:v>
      </x:c>
      <x:c r="C125" s="17" t="str">
        <x:v>Duufin 5 Pcs Lace Bralettes for Women Bralette Padded Lace Bandeau Bra</x:v>
      </x:c>
      <x:c r="D125" s="17" t="str">
        <x:v>Clothing, Shoes &amp; Jewelry | Women | Clothing | Lingerie, Sleep &amp; Lounge | Lingerie | Bras | Everyday Bras</x:v>
      </x:c>
      <x:c r="E125" s="17" t="str">
        <x:v>Everyday Bras</x:v>
      </x:c>
      <x:c r="F125" s="17" t="str">
        <x:v>91.6%Nylon, 8.4%Spandex | Classic color: package include 5 pieces lace bralettes for women in 3 classic colors, black, beige and white bralettes are available, you can free to match with different color clothes | Appropriate size: Duufin provide S-M, L-XL lace bralette, suitable for most of woman and girls in different ages, the detail parameter please refer to the picture(Notice: please check the size table carefully before place order.) | Bralette material: the woman bralettes are made of lace and modal material, insertted with curved sponge padded, which is removable, the lace bralette is soft, breathable, stretchy and comfortable to wear | Delicate design: 3 solid colors lace bralette with soft straps and insert pads, and you can remove or insert the pads according to your personal requirements | Well match: the simple and elegant bralettes are suitable for woman and girls daily wear, which are well matched with different clothes, such as skirt, T-shirt, dress, sweater and so on, you can wear the lace bralette while attending parties, doing yoga or relaxing</x:v>
      </x:c>
      <x:c r="G125" s="17" t="str">
        <x:v>Department: Womens | Date First Available: September 10, 2020 | Manufacturer: Duufin</x:v>
      </x:c>
      <x:c r="H125" s="17" t="str"/>
      <x:c r="I125" s="76" t="n">
        <x:v>20.99</x:v>
      </x:c>
      <x:c r="J125" s="75" t="n">
        <x:v>3.9</x:v>
      </x:c>
      <x:c r="K125" s="77" t="n">
        <x:v>32502</x:v>
      </x:c>
      <x:c r="L125" s="77" t="str">
        <x:v>Duufin</x:v>
      </x:c>
      <x:c r="M125" s="77" t="n">
        <x:f>LEN(C125)</x:f>
        <x:v>70</x:v>
      </x:c>
      <x:c r="N125" s="77" t="n">
        <x:f>LEN(F125)</x:f>
        <x:v>1077</x:v>
      </x:c>
      <x:c r="O125" s="77" t="n">
        <x:f>LEN(G125)</x:f>
        <x:v>84</x:v>
      </x:c>
      <x:c r="P125" s="77" t="n">
        <x:f>LEN(H125)</x:f>
        <x:v>0</x:v>
      </x:c>
      <x:c r="Q125" s="77" t="n">
        <x:f>IF(LEN(C125)&gt;0,1,0)+IF(LEN(D125)&gt;0,1,0)+IF(LEN(F125)&gt;0,1,0)+IF(LEN(G125)&gt;0,1,0)+IF(LEN(H125)&gt;0,1,0)+IF(ISNUMBER(I125),1,0)+IF(ISNUMBER(J125),1,0)+IF(ISNUMBER(K125),1,0)+IF(LEN(L125)&gt;0,1,0)</x:f>
        <x:v>8</x:v>
      </x:c>
      <x:c r="R125" s="78" t="n">
        <x:f>Q125/9</x:f>
        <x:v>0.8888888888888888</x:v>
      </x:c>
    </x:row>
    <x:row r="126" ht="72" customHeight="1">
      <x:c r="A126" t="str">
        <x:v>public_0122</x:v>
      </x:c>
      <x:c r="B126" t="str">
        <x:v>B074KJ49F2</x:v>
      </x:c>
      <x:c r="C126" s="17" t="str">
        <x:v>Leggings Depot Premium Quality Women's Cotton Blend Stretch Pull-on Jeggings with Pockets</x:v>
      </x:c>
      <x:c r="D126" s="17" t="str">
        <x:v>Clothing, Shoes &amp; Jewelry | Women | Clothing | Leggings</x:v>
      </x:c>
      <x:c r="E126" s="17" t="str">
        <x:v>Leggings</x:v>
      </x:c>
      <x:c r="F126" s="17" t="str">
        <x:v>75% Cotton, 17% Polyester, 8% Spandex | Imported | Pull On closure | Machine Wash | [QUALITY FABRIC] Our jeggings pants are made of ultra-soft cotton, polyester, and spandex combination (75% cotton, 17% polyester, 8% spandex). Warm on the inside, a little heavier than regular leggings, and not overly thick. You can wear these pair of jeggings in all seasons. | [PREMIUM STRETCH &amp; COMFORT] These high-quality denim-like jeggings are a must-have for your everyday outfit. It is quite comfortable and fits like a second skin. It features the ideal amount of elasticity for comfortable pants. | [ON-TREND] This ideal women's work pants style will stand out and shape your figure. These premium jeggings dress pants with pockets offer a breathable fabric to give freedom of movement and are 4-way stretch gives your curves flexibility and gentle compression without being see-through. | [MULTI-PURPOSE] These high waisted elastic pull-on jeggings are suitable for almost any occasions. It is essential pair of jeggings great for outdoor, work, casual, and streetwear. | [Care &amp; Satisfaction] Machine washable with cold water (like colors) and tumble dry low. Satisfaction guaranteed! Free Returns in 30 days if you're not satisfied with your order!</x:v>
      </x:c>
      <x:c r="G126" s="17" t="str">
        <x:v>Is Discontinued By Manufacturer: No | Department: Womens | Date First Available: February 7, 2017</x:v>
      </x:c>
      <x:c r="H126" s="17" t="str">
        <x:v>Leggings Depot keeps making efforts to offer the largest selection of high quality pants in different colors, prints and sizes including plus sizes at the most affordable prices.  One Size (Size 2-10): Waist: 26" (34" Stretched) / Front Rise: 10.5" / Back Rise: 12" / Inseam: 28"  Plus Size (Size 1X-2X): Waist: 30" (42" Stretched) / Front Rise: 10.5" / Back Rise: 12" / Inseam: 28.5"  Plus Size (Size 2X-3X): Waist: 34" (46" Stretched) / Front Rise: 11" / Back Rise: 12" / Inseam: 29"</x:v>
      </x:c>
      <x:c r="I126" s="76" t="n">
        <x:v>17.99</x:v>
      </x:c>
      <x:c r="J126" s="75" t="n">
        <x:v>4.2</x:v>
      </x:c>
      <x:c r="K126" s="77" t="n">
        <x:v>25180</x:v>
      </x:c>
      <x:c r="L126" s="77" t="str">
        <x:v>LEGGINGS DEPOT</x:v>
      </x:c>
      <x:c r="M126" s="77" t="n">
        <x:f>LEN(C126)</x:f>
        <x:v>89</x:v>
      </x:c>
      <x:c r="N126" s="77" t="n">
        <x:f>LEN(F126)</x:f>
        <x:v>1245</x:v>
      </x:c>
      <x:c r="O126" s="77" t="n">
        <x:f>LEN(G126)</x:f>
        <x:v>97</x:v>
      </x:c>
      <x:c r="P126" s="77" t="n">
        <x:f>LEN(H126)</x:f>
        <x:v>485</x:v>
      </x:c>
      <x:c r="Q126" s="77" t="n">
        <x:f>IF(LEN(C126)&gt;0,1,0)+IF(LEN(D126)&gt;0,1,0)+IF(LEN(F126)&gt;0,1,0)+IF(LEN(G126)&gt;0,1,0)+IF(LEN(H126)&gt;0,1,0)+IF(ISNUMBER(I126),1,0)+IF(ISNUMBER(J126),1,0)+IF(ISNUMBER(K126),1,0)+IF(LEN(L126)&gt;0,1,0)</x:f>
        <x:v>9</x:v>
      </x:c>
      <x:c r="R126" s="78" t="n">
        <x:f>Q126/9</x:f>
        <x:v>1</x:v>
      </x:c>
    </x:row>
    <x:row r="127" ht="72" customHeight="1">
      <x:c r="A127" t="str">
        <x:v>public_0123</x:v>
      </x:c>
      <x:c r="B127" t="str">
        <x:v>B07CZ84YFJ</x:v>
      </x:c>
      <x:c r="C127" s="17" t="str">
        <x:v>Lanzom Womens Classic Wide Brim Floppy Panama Hat Belt Buckle Wool Fedora Hat</x:v>
      </x:c>
      <x:c r="D127" s="17" t="str">
        <x:v>Clothing, Shoes &amp; Jewelry | Women | Accessories | Hats &amp; Caps | Fedoras</x:v>
      </x:c>
      <x:c r="E127" s="17" t="str">
        <x:v>Fedoras</x:v>
      </x:c>
      <x:c r="F127" s="17" t="str">
        <x:v>65% Polyester, 35% Wool | Imported | Buckle closure | Hand Wash Only | Material:65% polyester, 35% wool,soft and comfortable to wear. | Size:One size fit all most women. Hat circumference 22.6''，fit 22"-22.8" 7 1/8-7 1/4 size; Brim 2.9" 。 | Fashion design: The uppers simple belt buckle design, add how much woman flavour | Practical:breathable, lightweight, and comfortable for all-day wear. | Occasion:A wonderful hat for wearing while gardening, at the beach, pool, park, camping, hiking, church functions, race day events, even out in your own back yard or any outdoor activities. Dress up with this elegant floppy Hat,let's go out for fun.</x:v>
      </x:c>
      <x:c r="G127" s="17" t="str">
        <x:v>Is Discontinued By Manufacturer: No | Department: Womens | Date First Available: May 9, 2018</x:v>
      </x:c>
      <x:c r="H127" s="17" t="str"/>
      <x:c r="I127" s="76" t="n">
        <x:v>25.99</x:v>
      </x:c>
      <x:c r="J127" s="75" t="n">
        <x:v>4.5</x:v>
      </x:c>
      <x:c r="K127" s="77" t="n">
        <x:v>23634</x:v>
      </x:c>
      <x:c r="L127" s="77" t="str">
        <x:v>Lanzom</x:v>
      </x:c>
      <x:c r="M127" s="77" t="n">
        <x:f>LEN(C127)</x:f>
        <x:v>77</x:v>
      </x:c>
      <x:c r="N127" s="77" t="n">
        <x:f>LEN(F127)</x:f>
        <x:v>644</x:v>
      </x:c>
      <x:c r="O127" s="77" t="n">
        <x:f>LEN(G127)</x:f>
        <x:v>92</x:v>
      </x:c>
      <x:c r="P127" s="77" t="n">
        <x:f>LEN(H127)</x:f>
        <x:v>0</x:v>
      </x:c>
      <x:c r="Q127" s="77" t="n">
        <x:f>IF(LEN(C127)&gt;0,1,0)+IF(LEN(D127)&gt;0,1,0)+IF(LEN(F127)&gt;0,1,0)+IF(LEN(G127)&gt;0,1,0)+IF(LEN(H127)&gt;0,1,0)+IF(ISNUMBER(I127),1,0)+IF(ISNUMBER(J127),1,0)+IF(ISNUMBER(K127),1,0)+IF(LEN(L127)&gt;0,1,0)</x:f>
        <x:v>8</x:v>
      </x:c>
      <x:c r="R127" s="78" t="n">
        <x:f>Q127/9</x:f>
        <x:v>0.8888888888888888</x:v>
      </x:c>
    </x:row>
    <x:row r="128" ht="72" customHeight="1">
      <x:c r="A128" t="str">
        <x:v>public_0124</x:v>
      </x:c>
      <x:c r="B128" t="str">
        <x:v>B07TN1845M</x:v>
      </x:c>
      <x:c r="C128" s="17" t="str">
        <x:v>Arctic Air Adjustable Sports Cap, Beige, Hat</x:v>
      </x:c>
      <x:c r="D128" s="17" t="str">
        <x:v>Clothing, Shoes &amp; Jewelry | Men | Accessories | Hats &amp; Caps | Baseball Caps</x:v>
      </x:c>
      <x:c r="E128" s="17" t="str">
        <x:v>Baseball Caps</x:v>
      </x:c>
      <x:c r="F128" s="17" t="str">
        <x:v>52% Polyester, 32% Nylon, 10% EVA, 2% POM, 2% Cotton, 2% Metal | Made in the USA | Buckle closure | Hand Wash Only | ARCTIC AIR HAT: Stay cool &amp; protected with The Arctic Air Hat. This evaporative cooling sports cap has a built-in barrier that reflects the sun's heat &amp; harmful UV rays. Wet first for the ultimate cooling effect. | STAY COOL: Features hydro-chill technology—an evaporative lining that holds &amp; gradually releases water for continuous cooling. It's breathable &amp; lightweight with ventilated panels that allow air to flow freely. | GREAT FOR TRAVEL: Perfect for the beach, travel &amp; vacation. The Arctic Hat will help you keep cool for hours while hiking, boating, golfing, fishing, walking &amp; camping. Adjustable. One size fits all. | AS SEEN ON TV: Explore our variety of fun &amp; helpful products for everyday life including: Inkjet Refill Kit, Microfiber Cloths, Dryer Balls, Swivel Sweeper, Iron Gym, Pillow Pets, Arctic Air &amp; Turbo Pump. | CONSUMER DRIVEN: Ontel offers some of the most innovative consumer products on the market including toys, hand tools, home fitness equipment, health &amp; beauty products, household items &amp; accessories.</x:v>
      </x:c>
      <x:c r="G128" s="17" t="str">
        <x:v>Product Dimensions: 8.2 x 7.1 x 4.35 inches; 1.45 Ounces | Item model number: ACAP-CD6 | Department: Men's | Date First Available: January 2, 2020 | Manufacturer: Arctic Air</x:v>
      </x:c>
      <x:c r="H128" s="17" t="str">
        <x:v>Beat by the heat? Tired of the harsh rays from the sun beating down on you? Ordinary hats don’t keep you cool or protect you from the sun’s harmful UV rays. Introducing Arctic Cap , the evaporative cooling hat with UV protection Arctic Cap's evaporative cooling liner retains cool water and slowly evaporates to keep you 20° F cooler than the outside temperature Simply wet the inner liner and put on Arctic Cap for instant cooling relief. Arctic Cap also has a built-in UV barrier to deflect and block over 99% of the sun’s harmful UV rays. Keeping you cool and comfortable for hours on even the hottest days</x:v>
      </x:c>
      <x:c r="I128" s="76" t="n">
        <x:v>19.95</x:v>
      </x:c>
      <x:c r="J128" s="75" t="n">
        <x:v>4.4</x:v>
      </x:c>
      <x:c r="K128" s="77" t="n">
        <x:v>2184</x:v>
      </x:c>
      <x:c r="L128" s="77" t="str">
        <x:v>Arctic Air</x:v>
      </x:c>
      <x:c r="M128" s="77" t="n">
        <x:f>LEN(C128)</x:f>
        <x:v>44</x:v>
      </x:c>
      <x:c r="N128" s="77" t="n">
        <x:f>LEN(F128)</x:f>
        <x:v>1152</x:v>
      </x:c>
      <x:c r="O128" s="77" t="n">
        <x:f>LEN(G128)</x:f>
        <x:v>173</x:v>
      </x:c>
      <x:c r="P128" s="77" t="n">
        <x:f>LEN(H128)</x:f>
        <x:v>609</x:v>
      </x:c>
      <x:c r="Q128" s="77" t="n">
        <x:f>IF(LEN(C128)&gt;0,1,0)+IF(LEN(D128)&gt;0,1,0)+IF(LEN(F128)&gt;0,1,0)+IF(LEN(G128)&gt;0,1,0)+IF(LEN(H128)&gt;0,1,0)+IF(ISNUMBER(I128),1,0)+IF(ISNUMBER(J128),1,0)+IF(ISNUMBER(K128),1,0)+IF(LEN(L128)&gt;0,1,0)</x:f>
        <x:v>9</x:v>
      </x:c>
      <x:c r="R128" s="78" t="n">
        <x:f>Q128/9</x:f>
        <x:v>1</x:v>
      </x:c>
    </x:row>
    <x:row r="129" ht="72" customHeight="1">
      <x:c r="A129" t="str">
        <x:v>public_0125</x:v>
      </x:c>
      <x:c r="B129" t="str">
        <x:v>B07VCYFB5D</x:v>
      </x:c>
      <x:c r="C129" s="17" t="str">
        <x:v>Baseball Cap Custom Personalized Text Dad Hats for Men &amp; Women Strap Closure</x:v>
      </x:c>
      <x:c r="D129" s="17" t="str">
        <x:v>Clothing, Shoes &amp; Jewelry | Novelty &amp; More | Clothing | Novelty | Women | Accessories | Hats &amp; Caps | Baseball Caps</x:v>
      </x:c>
      <x:c r="E129" s="17" t="str">
        <x:v>Baseball Caps</x:v>
      </x:c>
      <x:c r="F129" s="17" t="str">
        <x:v>100% Acrylic | Hook and Loop closure | PREMIUM QUALITY: Take your outfit to the next level with our 100% acrylic 6 panels mid-profile structured baseball hat that provides maximum comfort. Fits men and women! | HOOK &amp; LOOP CLOSURE: Our hats for women and men feature a strap closure in the back letting you easily adjust the size for a perfect fit. | PRE-CURVED BILL: Our mens hat and womens hats feature a well-made pre-curved bill to protect you from the sun and prevent dazzle. You can now play your favorite sport without being bothered by the sun! | ANTI-SWEAT BAND: Stay fresh and dry with our golf hat featuring an anti-sweat band. Exercise and play your favorite sports without having sweat running consistently into your eyes anymore! | AMERICAN CUSTOM EMBROIDERY: We take proud on being an American company and we bring you the best of custom and personalized embroidery. Simply select the color of your sun hat, and then customize it with your own text and words. Choose among a wide range of fonts and colors!</x:v>
      </x:c>
      <x:c r="G129" s="17" t="str">
        <x:v>Item model number: CUST_CAP_001 | Department: mens | Date First Available: April 22, 2018 | Manufacturer: Speedy Pros</x:v>
      </x:c>
      <x:c r="H129" s="17" t="str"/>
      <x:c r="I129" s="76" t="n">
        <x:v>19.99</x:v>
      </x:c>
      <x:c r="J129" s="75" t="n">
        <x:v>4.6</x:v>
      </x:c>
      <x:c r="K129" s="77" t="n">
        <x:v>2454</x:v>
      </x:c>
      <x:c r="L129" s="77" t="str">
        <x:v>Speedy Pros</x:v>
      </x:c>
      <x:c r="M129" s="77" t="n">
        <x:f>LEN(C129)</x:f>
        <x:v>76</x:v>
      </x:c>
      <x:c r="N129" s="77" t="n">
        <x:f>LEN(F129)</x:f>
        <x:v>1021</x:v>
      </x:c>
      <x:c r="O129" s="77" t="n">
        <x:f>LEN(G129)</x:f>
        <x:v>117</x:v>
      </x:c>
      <x:c r="P129" s="77" t="n">
        <x:f>LEN(H129)</x:f>
        <x:v>0</x:v>
      </x:c>
      <x:c r="Q129" s="77" t="n">
        <x:f>IF(LEN(C129)&gt;0,1,0)+IF(LEN(D129)&gt;0,1,0)+IF(LEN(F129)&gt;0,1,0)+IF(LEN(G129)&gt;0,1,0)+IF(LEN(H129)&gt;0,1,0)+IF(ISNUMBER(I129),1,0)+IF(ISNUMBER(J129),1,0)+IF(ISNUMBER(K129),1,0)+IF(LEN(L129)&gt;0,1,0)</x:f>
        <x:v>8</x:v>
      </x:c>
      <x:c r="R129" s="78" t="n">
        <x:f>Q129/9</x:f>
        <x:v>0.8888888888888888</x:v>
      </x:c>
    </x:row>
    <x:row r="130" ht="72" customHeight="1">
      <x:c r="A130" t="str">
        <x:v>public_0126</x:v>
      </x:c>
      <x:c r="B130" t="str">
        <x:v>B09M84R91V</x:v>
      </x:c>
      <x:c r="C130" s="17" t="str">
        <x:v>Asvivid Womens Casual Boho Floral Print 3/4 Flare Sleeve Blouses Summer Off The Shoulder Tops Tie Knot Shirts</x:v>
      </x:c>
      <x:c r="D130" s="17" t="str">
        <x:v>Clothing, Shoes &amp; Jewelry | Women | Clothing | Tops, Tees &amp; Blouses | Blouses &amp; Button-Down Shirts</x:v>
      </x:c>
      <x:c r="E130" s="17" t="str">
        <x:v>Blouses &amp; Button-Down Shirts</x:v>
      </x:c>
      <x:c r="F130" s="17" t="str">
        <x:v>95% Polyester, 5% Spandex | Imported | Pull On closure | Machine Washable (Recommended Hand Wash) | Item Type:Off the shoulder tops for women /blouses for women dressy casual/womens tops/shirts for women/summer tops for women/womens blouses and tops dressy/striped tops for women 3/4 sleeve/floral tops for women 3/4 sleeve /floral blouses for women business casual /going out tops for women | Elegant Womens Tops with self Tie Knot Front ,Fashion Boho Floral Shirts for Women Summer Casual. Sexy Off Shoulder,Bell sleeve top for women,Casual loose fit womens tops.Unique desigan meet your need,you will never out of style for our floral printed summer shirt,a perfect gift for your friends,roomate and yourself | Floral Bell Sleeve Chiffon Summer Blouses,suitable for dating,shopping,school,office,club,work,vacation,holiday,party ,daily life wear | Casual Loose Fit summer off the shoulder tops for women are suitable for juniors,ladies,womens;pair well with skinny leggings,jeans,pants,skirt etc for fashion look | Size: S/M/L/XL/XXL for Choice. US SIZE: S=(US 4-6), M=(US 8-10), L=(US 12-14), XL=(US 16-18), 2XL=(US 18-20). We use American standard size. Please rest assured to purchase.</x:v>
      </x:c>
      <x:c r="G130" s="17" t="str">
        <x:v>Item model number: AF252111-P-T03 | Department: Womens | Date First Available: November 19, 2021</x:v>
      </x:c>
      <x:c r="H130" s="17" t="str"/>
      <x:c r="I130" s="76" t="n">
        <x:v>21.14</x:v>
      </x:c>
      <x:c r="J130" s="75" t="n">
        <x:v>4.3</x:v>
      </x:c>
      <x:c r="K130" s="77" t="n">
        <x:v>32276</x:v>
      </x:c>
      <x:c r="L130" s="77" t="str">
        <x:v>Asvivid</x:v>
      </x:c>
      <x:c r="M130" s="77" t="n">
        <x:f>LEN(C130)</x:f>
        <x:v>109</x:v>
      </x:c>
      <x:c r="N130" s="77" t="n">
        <x:f>LEN(F130)</x:f>
        <x:v>1191</x:v>
      </x:c>
      <x:c r="O130" s="77" t="n">
        <x:f>LEN(G130)</x:f>
        <x:v>96</x:v>
      </x:c>
      <x:c r="P130" s="77" t="n">
        <x:f>LEN(H130)</x:f>
        <x:v>0</x:v>
      </x:c>
      <x:c r="Q130" s="77" t="n">
        <x:f>IF(LEN(C130)&gt;0,1,0)+IF(LEN(D130)&gt;0,1,0)+IF(LEN(F130)&gt;0,1,0)+IF(LEN(G130)&gt;0,1,0)+IF(LEN(H130)&gt;0,1,0)+IF(ISNUMBER(I130),1,0)+IF(ISNUMBER(J130),1,0)+IF(ISNUMBER(K130),1,0)+IF(LEN(L130)&gt;0,1,0)</x:f>
        <x:v>8</x:v>
      </x:c>
      <x:c r="R130" s="78" t="n">
        <x:f>Q130/9</x:f>
        <x:v>0.8888888888888888</x:v>
      </x:c>
    </x:row>
    <x:row r="131" ht="72" customHeight="1">
      <x:c r="A131" t="str">
        <x:v>public_0127</x:v>
      </x:c>
      <x:c r="B131" t="str">
        <x:v>B0B8DX189T</x:v>
      </x:c>
      <x:c r="C131" s="17" t="str">
        <x:v>Under Armour Storm Fleece Gloves</x:v>
      </x:c>
      <x:c r="D131" s="17" t="str">
        <x:v>Clothing, Shoes &amp; Jewelry | Men | Accessories | Gloves &amp; Mittens | Cold Weather Gloves</x:v>
      </x:c>
      <x:c r="E131" s="17" t="str">
        <x:v>Cold Weather Gloves</x:v>
      </x:c>
      <x:c r="F131" s="17" t="str">
        <x:v>100% Polyester | Imported | UA Storm technology repels water without sacrificing breathability | Soft sweater-fleece exterior fabric with heathered look | Brushed Armour Fleece interior lining traps heat to keep you warm &amp; comfortable | Conductive suede tips on thumb &amp; index finger so you can use devices without taking your gloves off | Extra soft Speedwipe fleece placed on back of thumb</x:v>
      </x:c>
      <x:c r="G131" s="17" t="str">
        <x:v>Brand: Under Armour | Material: Suede | Size: Medium | Age Range (Description): Adult | Color: Black (001)/Pitch Gray | Hand Orientation: Ambidextrous | Item Package Quantity: 1 | Product Care Instructions: Hand Wash | Item Weight: 0.1 Pounds | Closure Type: Pull On | Style: Storm Fleece Gloves | Item Package Dimensions L x W x H: 13.39 x 5.39 x 2.05 inches | Package Weight: 0.09 Kilograms | Brand Name: Under Armour | Model Name: Storm Fleece Gloves | Suggested Users: mens | Manufacturer: Under Armour Accessories | Part Number: 1365958 | Model Year: 2022 | Best Sellers Rank: [object Object] | Date First Available: October 21, 2020</x:v>
      </x:c>
      <x:c r="H131" s="17" t="str">
        <x:v>The Under Armour Storm Fleece Gloves are ready for those harsh chilly months. Pull on construction. Soft sweater fleece knit exterior features a heathered look. UA Storm technology repels water to keep your hands dry and comfortable. Brushed Armour Fleece interior lining traps heat to keep you warm. Conductive suede tips on thumb &amp; index finger to allow use for devices. 100% polyester.</x:v>
      </x:c>
      <x:c r="I131" s="76" t="n">
        <x:v>27.27</x:v>
      </x:c>
      <x:c r="J131" s="75" t="n">
        <x:v>4.6</x:v>
      </x:c>
      <x:c r="K131" s="77" t="n">
        <x:v>199</x:v>
      </x:c>
      <x:c r="L131" s="77" t="str">
        <x:v>Under Armour</x:v>
      </x:c>
      <x:c r="M131" s="77" t="n">
        <x:f>LEN(C131)</x:f>
        <x:v>32</x:v>
      </x:c>
      <x:c r="N131" s="77" t="n">
        <x:f>LEN(F131)</x:f>
        <x:v>390</x:v>
      </x:c>
      <x:c r="O131" s="77" t="n">
        <x:f>LEN(G131)</x:f>
        <x:v>638</x:v>
      </x:c>
      <x:c r="P131" s="77" t="n">
        <x:f>LEN(H131)</x:f>
        <x:v>388</x:v>
      </x:c>
      <x:c r="Q131" s="77" t="n">
        <x:f>IF(LEN(C131)&gt;0,1,0)+IF(LEN(D131)&gt;0,1,0)+IF(LEN(F131)&gt;0,1,0)+IF(LEN(G131)&gt;0,1,0)+IF(LEN(H131)&gt;0,1,0)+IF(ISNUMBER(I131),1,0)+IF(ISNUMBER(J131),1,0)+IF(ISNUMBER(K131),1,0)+IF(LEN(L131)&gt;0,1,0)</x:f>
        <x:v>9</x:v>
      </x:c>
      <x:c r="R131" s="78" t="n">
        <x:f>Q131/9</x:f>
        <x:v>1</x:v>
      </x:c>
    </x:row>
    <x:row r="132" ht="72" customHeight="1">
      <x:c r="A132" t="str">
        <x:v>public_0128</x:v>
      </x:c>
      <x:c r="B132" t="str">
        <x:v>B0BNP1RZ2W</x:v>
      </x:c>
      <x:c r="C132" s="17" t="str">
        <x:v>PAVOI 14K Gold Plated Lightweight Chunky Open Hoops | Gold Hoop Earrings for Women</x:v>
      </x:c>
      <x:c r="D132" s="17" t="str">
        <x:v>Clothing, Shoes &amp; Jewelry | Women | Jewelry | Earrings | Hoop</x:v>
      </x:c>
      <x:c r="E132" s="17" t="str">
        <x:v>Hoop</x:v>
      </x:c>
      <x:c r="F132" s="17" t="str">
        <x:v>✦18K GOLD VERMEIL✦ A premium offering of our best selling styles, our vermeil jewelry is made with a solid s925 sterling silver base and plated in 18K gold that is 10x thicker than the industry standard 'plated gold'. Vermeil is a very durable, hypoallergenic material, made to last. | PAVOI 4.5mm Thick 40mm Diameter Yellow Gold Earrings for Women | ✦ 60-DAY GUARANTEE ✦ Your happiness is our number one priority. To ensure your complete satisfaction, we offer a hassle-free 60-Day money-back guarantee. To get in touch, email or chat with us - a member of our team will be happy to help you. | ✦ SUSTAINABILITY ✦ PAVOI is dedicated to sustainability throughout our entire product cycle. Our jewelry is made from 100% recycled materials and we package in 99% recycled and compostable materials. We work to reduce our carbon emissions and offset plastic consumption by removing 275,000 bottles from oceans annually. We are committed to maintain a balanced and eco-friendly business that minimizes our environmental impact. Trust that PAVOI is continuously working towards a greener future. | ✦ PROUDLY AMERICAN-OWNED ✦</x:v>
      </x:c>
      <x:c r="G132" s="17" t="str">
        <x:v>Department: womens | Date First Available: January 2, 2019 | Manufacturer: PAVOI</x:v>
      </x:c>
      <x:c r="H132" s="17" t="str"/>
      <x:c r="I132" s="76" t="n">
        <x:v>59.99</x:v>
      </x:c>
      <x:c r="J132" s="75" t="n">
        <x:v>4.5</x:v>
      </x:c>
      <x:c r="K132" s="77" t="n">
        <x:v>43974</x:v>
      </x:c>
      <x:c r="L132" s="77" t="str">
        <x:v>PAVOI</x:v>
      </x:c>
      <x:c r="M132" s="77" t="n">
        <x:f>LEN(C132)</x:f>
        <x:v>82</x:v>
      </x:c>
      <x:c r="N132" s="77" t="n">
        <x:f>LEN(F132)</x:f>
        <x:v>1118</x:v>
      </x:c>
      <x:c r="O132" s="77" t="n">
        <x:f>LEN(G132)</x:f>
        <x:v>80</x:v>
      </x:c>
      <x:c r="P132" s="77" t="n">
        <x:f>LEN(H132)</x:f>
        <x:v>0</x:v>
      </x:c>
      <x:c r="Q132" s="77" t="n">
        <x:f>IF(LEN(C132)&gt;0,1,0)+IF(LEN(D132)&gt;0,1,0)+IF(LEN(F132)&gt;0,1,0)+IF(LEN(G132)&gt;0,1,0)+IF(LEN(H132)&gt;0,1,0)+IF(ISNUMBER(I132),1,0)+IF(ISNUMBER(J132),1,0)+IF(ISNUMBER(K132),1,0)+IF(LEN(L132)&gt;0,1,0)</x:f>
        <x:v>8</x:v>
      </x:c>
      <x:c r="R132" s="78" t="n">
        <x:f>Q132/9</x:f>
        <x:v>0.8888888888888888</x:v>
      </x:c>
    </x:row>
    <x:row r="133" ht="72" customHeight="1">
      <x:c r="A133" t="str">
        <x:v>public_0129</x:v>
      </x:c>
      <x:c r="B133" t="str">
        <x:v>B0936ZJJ68</x:v>
      </x:c>
      <x:c r="C133" s="17" t="str">
        <x:v>MANGOPOP Women's Square Neck Short Sleeve Long Sleeve Tops Bodysuit Jumpsuit</x:v>
      </x:c>
      <x:c r="D133" s="17" t="str">
        <x:v>Clothing, Shoes &amp; Jewelry | Women | Clothing | Bodysuits</x:v>
      </x:c>
      <x:c r="E133" s="17" t="str">
        <x:v>Bodysuits</x:v>
      </x:c>
      <x:c r="F133" s="17" t="str">
        <x:v>Stretchy fabric: 95% gossypium, 5% spandex | Imported | Snap closure | Hand wash recommended (Use a laundry bag if machine wash) | Please select your size according to size chart in the last image before ordering | Bodysuits featuring square neck, short sleeve / long sleeve | Bodysuit for women with tanga bottom, 2 snap buttons butt closure | Package content:1* Bodysuit</x:v>
      </x:c>
      <x:c r="G133" s="17" t="str">
        <x:v>Package Dimensions: 7.87 x 7.87 x 0.39 inches; 4.94 Ounces | Department: Womens | Date First Available: April 22, 2021 | Manufacturer: MANGOPOP</x:v>
      </x:c>
      <x:c r="H133" s="17" t="str"/>
      <x:c r="I133" s="76" t="n">
        <x:v>20.98</x:v>
      </x:c>
      <x:c r="J133" s="75" t="n">
        <x:v>4.3</x:v>
      </x:c>
      <x:c r="K133" s="77" t="n">
        <x:v>14405</x:v>
      </x:c>
      <x:c r="L133" s="77" t="str">
        <x:v>MANGOPOP</x:v>
      </x:c>
      <x:c r="M133" s="77" t="n">
        <x:f>LEN(C133)</x:f>
        <x:v>76</x:v>
      </x:c>
      <x:c r="N133" s="77" t="n">
        <x:f>LEN(F133)</x:f>
        <x:v>372</x:v>
      </x:c>
      <x:c r="O133" s="77" t="n">
        <x:f>LEN(G133)</x:f>
        <x:v>143</x:v>
      </x:c>
      <x:c r="P133" s="77" t="n">
        <x:f>LEN(H133)</x:f>
        <x:v>0</x:v>
      </x:c>
      <x:c r="Q133" s="77" t="n">
        <x:f>IF(LEN(C133)&gt;0,1,0)+IF(LEN(D133)&gt;0,1,0)+IF(LEN(F133)&gt;0,1,0)+IF(LEN(G133)&gt;0,1,0)+IF(LEN(H133)&gt;0,1,0)+IF(ISNUMBER(I133),1,0)+IF(ISNUMBER(J133),1,0)+IF(ISNUMBER(K133),1,0)+IF(LEN(L133)&gt;0,1,0)</x:f>
        <x:v>8</x:v>
      </x:c>
      <x:c r="R133" s="78" t="n">
        <x:f>Q133/9</x:f>
        <x:v>0.8888888888888888</x:v>
      </x:c>
    </x:row>
    <x:row r="134" ht="72" customHeight="1">
      <x:c r="A134" t="str">
        <x:v>public_0130</x:v>
      </x:c>
      <x:c r="B134" t="str">
        <x:v>B07X9V6HZX</x:v>
      </x:c>
      <x:c r="C134" s="17" t="str">
        <x:v>POKARLA Women's High Waisted Cotton Underwear Soft Breathable Panties Stretch Briefs Regular &amp; Plus Size 5-Pack</x:v>
      </x:c>
      <x:c r="D134" s="17" t="str">
        <x:v>Clothing, Shoes &amp; Jewelry | Women | Clothing | Lingerie, Sleep &amp; Lounge | Lingerie | Panties | Briefs</x:v>
      </x:c>
      <x:c r="E134" s="17" t="str">
        <x:v>Briefs</x:v>
      </x:c>
      <x:c r="F134" s="17" t="str">
        <x:v>95% Cotton, 5% Spandex | Imported | Hand Wash or Machine Wash with laundry bag (30°C Max) | Pre-Shrinking Treatment - Adopting the most advanced technology (Steam Pre-shrinking) eliminates the potential of fabric shrinkage in advance to ensure that the underwear will last fit. | Lovely Color - Comfy full back coverage brief panties with wide crotch,Stretchy fabric covered waistband,softer elastic at leg opennings for all day comfortable. | Soft Hispter Panties - Cotton briefs with excellent workmanship,flat seams and edges,Fits legs snugly without cutting, waist elasticity does not cut or dig. Best choice of female friends/mothers/grandmas. | Cotton stretch panties, No Pilling,No Rolling or Bunching,Bind-proof leg openings, stays In place all day,Cotton has Fine Permeability Which Keeps you Cool and Dry. | POKARLA insists on high quality, using only high-quality cotton of origin, and the industry-leading weaving process.If you receive the defective product/wrong size/wrong items, please contact us for refund/replacement.Your suggestion will help us to improve products and provide better service.</x:v>
      </x:c>
      <x:c r="G134" s="17" t="str">
        <x:v>Item model number: P601 | Department: womens | Date First Available: September 3, 2019 | Manufacturer: POKARLA</x:v>
      </x:c>
      <x:c r="H134" s="17" t="str"/>
      <x:c r="I134" s="76" t="n">
        <x:v>28.99</x:v>
      </x:c>
      <x:c r="J134" s="75" t="n">
        <x:v>4.6</x:v>
      </x:c>
      <x:c r="K134" s="77" t="n">
        <x:v>62259</x:v>
      </x:c>
      <x:c r="L134" s="77" t="str">
        <x:v>POKARLA</x:v>
      </x:c>
      <x:c r="M134" s="77" t="n">
        <x:f>LEN(C134)</x:f>
        <x:v>111</x:v>
      </x:c>
      <x:c r="N134" s="77" t="n">
        <x:f>LEN(F134)</x:f>
        <x:v>1112</x:v>
      </x:c>
      <x:c r="O134" s="77" t="n">
        <x:f>LEN(G134)</x:f>
        <x:v>110</x:v>
      </x:c>
      <x:c r="P134" s="77" t="n">
        <x:f>LEN(H134)</x:f>
        <x:v>0</x:v>
      </x:c>
      <x:c r="Q134" s="77" t="n">
        <x:f>IF(LEN(C134)&gt;0,1,0)+IF(LEN(D134)&gt;0,1,0)+IF(LEN(F134)&gt;0,1,0)+IF(LEN(G134)&gt;0,1,0)+IF(LEN(H134)&gt;0,1,0)+IF(ISNUMBER(I134),1,0)+IF(ISNUMBER(J134),1,0)+IF(ISNUMBER(K134),1,0)+IF(LEN(L134)&gt;0,1,0)</x:f>
        <x:v>8</x:v>
      </x:c>
      <x:c r="R134" s="78" t="n">
        <x:f>Q134/9</x:f>
        <x:v>0.8888888888888888</x:v>
      </x:c>
    </x:row>
    <x:row r="135" ht="72" customHeight="1">
      <x:c r="A135" t="str">
        <x:v>public_0131</x:v>
      </x:c>
      <x:c r="B135" t="str">
        <x:v>B07PQQQ8ZL</x:v>
      </x:c>
      <x:c r="C135" s="17" t="str">
        <x:v>Women Thigh High Socks Extra Long Cotton Knit Warm Thick Tall Long Boot Stockings Leg Warmers</x:v>
      </x:c>
      <x:c r="D135" s="17" t="str">
        <x:v>Clothing, Shoes &amp; Jewelry | Women | Clothing | Socks &amp; Hosiery | Leg Warmers</x:v>
      </x:c>
      <x:c r="E135" s="17" t="str">
        <x:v>Leg Warmers</x:v>
      </x:c>
      <x:c r="F135" s="17" t="str">
        <x:v>Thigh high socks: 20% Stretchy Yarn, 80% cotton | Hand Wash Only | ◆ Soft &amp; Breathable: Being knitted by cotton and stretchy yarn, the mid thigh high socks for women are comfortable, soft, lightweight and breathable. ( 80% Cotton, 20% Stretchy Yarn autumn/ winter thigh highs) | ◆ Different Wear Ways: The long socks for women are tall enough to be as the thigh socks or can be folded as over knee stockings, what is more, the knit cotton socks can be as slouch socks as well. Different wear ways, different styles! Best choice for cool/ cold weather! | ◆ Keep Warm &amp; Stylish Looks: The knee high socks are knitted with fashion cable knit pattern construction which is classic and stylish, not too thin nor too thick, not only helps keep legs warm, but also looks stylish! Fashionable to wear with boots, booties, over stockings, jeans, leggings or pants. | ◆ One Size Fit Most: Tile Size: Toe to Heel Length: about 8.3”, Heel to Top Length: about 25.6”, Suggested Women Shoe Size: 6.5 - 10. As the thigh socks for women keep elastic, so they are one size fit most, fit most figures! | ◆ Best Gift &amp; Money Guaranteed: The womens knee-high socks is the best gift for your women, and we offer 100% money guaranteed. Please feel free to contact us if you have any question about Moon Wood thigh high socks for women!</x:v>
      </x:c>
      <x:c r="G135" s="17" t="str">
        <x:v>Is Discontinued By Manufacturer: No | Package Dimensions: 9 x 5 x 2 inches; 4.64 Ounces | Department: womens | Date First Available: November 11, 2017 | Manufacturer: Moon Wood</x:v>
      </x:c>
      <x:c r="H135" s="17" t="str"/>
      <x:c r="I135" s="76" t="n">
        <x:v>9.99</x:v>
      </x:c>
      <x:c r="J135" s="75" t="n">
        <x:v>4.5</x:v>
      </x:c>
      <x:c r="K135" s="77" t="n">
        <x:v>13603</x:v>
      </x:c>
      <x:c r="L135" s="77" t="str">
        <x:v>Moon Wood</x:v>
      </x:c>
      <x:c r="M135" s="77" t="n">
        <x:f>LEN(C135)</x:f>
        <x:v>93</x:v>
      </x:c>
      <x:c r="N135" s="77" t="n">
        <x:f>LEN(F135)</x:f>
        <x:v>1313</x:v>
      </x:c>
      <x:c r="O135" s="77" t="n">
        <x:f>LEN(G135)</x:f>
        <x:v>176</x:v>
      </x:c>
      <x:c r="P135" s="77" t="n">
        <x:f>LEN(H135)</x:f>
        <x:v>0</x:v>
      </x:c>
      <x:c r="Q135" s="77" t="n">
        <x:f>IF(LEN(C135)&gt;0,1,0)+IF(LEN(D135)&gt;0,1,0)+IF(LEN(F135)&gt;0,1,0)+IF(LEN(G135)&gt;0,1,0)+IF(LEN(H135)&gt;0,1,0)+IF(ISNUMBER(I135),1,0)+IF(ISNUMBER(J135),1,0)+IF(ISNUMBER(K135),1,0)+IF(LEN(L135)&gt;0,1,0)</x:f>
        <x:v>8</x:v>
      </x:c>
      <x:c r="R135" s="78" t="n">
        <x:f>Q135/9</x:f>
        <x:v>0.8888888888888888</x:v>
      </x:c>
    </x:row>
    <x:row r="136" ht="72" customHeight="1">
      <x:c r="A136" t="str">
        <x:v>public_0132</x:v>
      </x:c>
      <x:c r="B136" t="str">
        <x:v>B08X2X83DW</x:v>
      </x:c>
      <x:c r="C136" s="17" t="str">
        <x:v>isotoner Women's Terry Slip on Clog Slipper with Memory Foam for Indoor/Outdoor Comfort</x:v>
      </x:c>
      <x:c r="D136" s="17" t="str">
        <x:v>Clothing, Shoes &amp; Jewelry | Women | Shoes | Slippers</x:v>
      </x:c>
      <x:c r="E136" s="17" t="str">
        <x:v>Slippers</x:v>
      </x:c>
      <x:c r="F136" s="17" t="str">
        <x:v>80% Cotton, 20% Polyester | Imported | Rubber sole | SIZING TIPS: This slipper runs small; We recommend ordering the next size up for the most comfortable and flexible fit. Available sizes: 5.5-6; 6.5-7; 7.5-8; 8.5-9; 9.5-10 | PREMIUM SOFT TERRY UPPER: Slip-on low back clog style house shoe designed with durable and luxuriously plush cotton-blend terry material for all around comfort. Indoor and outdoor sole with memory foam provide warmth and cushioned support | ARCH SUPPORT: Secret Sole technology provides arch support and extra stability providing relief to tired feet and those with plantar fasciitis | MEMORY FOAM CUSHIONING: Memory foam insole absorbs impact and provides comfort indoors and out in this sturdy slipper | VERSATILE: AND DURABLE Versatile clog styling transitions from sofa to store to bedroom and is perfect for women of all ages and lifestyles. Durable rubber outsole for traction indoor and outdoor; with skid resistant traction | PERFECT GIFT IDEA: Great present for Christmas, Easter, Mother’s Day, Birthdays, back-to-school, or Valentine's Day for your friend, wife, mother, grandma, or daughter | MACHINE WASHABLE: Crafted out of long-lasting materials, these slippers can be cleaned to help decrease the spread of germs and keep them feeling brand new. For best results, machine wash in cold water and air dry</x:v>
      </x:c>
      <x:c r="G136" s="17" t="str">
        <x:v>Package Dimensions: 9.5 x 8 x 3.3 inches; 11.2 Ounces | Item model number: A96005 | Department: womens | Date First Available: May 4, 2015 | Manufacturer: isotoner</x:v>
      </x:c>
      <x:c r="H136" s="17" t="str">
        <x:v>Find your happy place with Zenz. Ultra-soft; flexible; supportive; and 30% lighter than traditional slippers; the secret of Zenz lies in the revolutionary sole made with patent-pending Everywear technology. This better-than-memory-foam technology is weightless; wearproof; and resists compression for life; providing your feet with life-long comfort. The comfort of Zenz is so addictive; you will never want to take them off.</x:v>
      </x:c>
      <x:c r="I136" s="76" t="n">
        <x:v>15.3</x:v>
      </x:c>
      <x:c r="J136" s="75" t="n">
        <x:v>4.4</x:v>
      </x:c>
      <x:c r="K136" s="77" t="n">
        <x:v>7674</x:v>
      </x:c>
      <x:c r="L136" s="77" t="str">
        <x:v>isotoner</x:v>
      </x:c>
      <x:c r="M136" s="77" t="n">
        <x:f>LEN(C136)</x:f>
        <x:v>87</x:v>
      </x:c>
      <x:c r="N136" s="77" t="n">
        <x:f>LEN(F136)</x:f>
        <x:v>1344</x:v>
      </x:c>
      <x:c r="O136" s="77" t="n">
        <x:f>LEN(G136)</x:f>
        <x:v>163</x:v>
      </x:c>
      <x:c r="P136" s="77" t="n">
        <x:f>LEN(H136)</x:f>
        <x:v>425</x:v>
      </x:c>
      <x:c r="Q136" s="77" t="n">
        <x:f>IF(LEN(C136)&gt;0,1,0)+IF(LEN(D136)&gt;0,1,0)+IF(LEN(F136)&gt;0,1,0)+IF(LEN(G136)&gt;0,1,0)+IF(LEN(H136)&gt;0,1,0)+IF(ISNUMBER(I136),1,0)+IF(ISNUMBER(J136),1,0)+IF(ISNUMBER(K136),1,0)+IF(LEN(L136)&gt;0,1,0)</x:f>
        <x:v>9</x:v>
      </x:c>
      <x:c r="R136" s="78" t="n">
        <x:f>Q136/9</x:f>
        <x:v>1</x:v>
      </x:c>
    </x:row>
    <x:row r="137" ht="72" customHeight="1">
      <x:c r="A137" t="str">
        <x:v>public_0133</x:v>
      </x:c>
      <x:c r="B137" t="str">
        <x:v>B01KILT64Q</x:v>
      </x:c>
      <x:c r="C137" s="17" t="str">
        <x:v>Flying Fisherman womens 7719cs sunglasses, Camo Frames/Smoke Lenses, Medium US</x:v>
      </x:c>
      <x:c r="D137" s="17" t="str">
        <x:v>Clothing, Shoes &amp; Jewelry | Men | Accessories | Sunglasses &amp; Eyewear Accessories | Sunglasses</x:v>
      </x:c>
      <x:c r="E137" s="17" t="str">
        <x:v>Sunglasses</x:v>
      </x:c>
      <x:c r="F137" s="17" t="str">
        <x:v>Imported | Polycarbonate frame | Polycarbonate lens | Polarized | Scratch Resistant Coating coating | Lens width: 62 millimeters | Lens height: 38 millimeters | Bridge: 12 millimeters | Arm: 120 millimeters | BUCHANAN STYLE - FRAMES: Polycarbonate Matte Camo | LENSES: Polarized Triacetate with AcuTint | SMOKE TINT: A gray tint best for bright, sunny conditions like fishing deep water, lakes and offshore. The most natural lens color that doesn't distort colors. | BUCHANAN SIZE – LENS HEIGHT: 38MM | LENS WIDTH: 62MM | TEMPLE LENGTH: 120MM | NOSE BRIDGE: 12MM | MEDIUM FIT. | POLARIZED SUNGLASSES FOR MEN &amp; WOMEN - Flying Fisherman provides quality, affordable polarized sunglasses that are stylish and fully functional for all fishing and outdoor enthusiasts. Our sunglasses provide maximum protection from UV rays and meet or exceed FDA, ANSI and European (CE) standards. | BY FISHERMEN, FOR FISHERMEN - Maximize your outdoor experience with sunglasses developed and field tested in the Florida Keys. They offer unbeatable comfort, clarity and performance both on and off the water, and for any outdoor sport or hobby. | EXTREMELY DURABLE – Flying Fisherman Polarized Triacetate lenses are impact &amp; scratch resistant, lightweight &amp; durable. Our AcuTint polarized lens coloring system uses a select blend of pigment to enhance color contrast without distorting natural color, reducing eye strain &amp; eliminating glare.</x:v>
      </x:c>
      <x:c r="G137" s="17" t="str">
        <x:v>Product Dimensions: 6 x 3 x 3 inches; 0.63 Ounces | Item model number: 7719CS | Department: womens | Date First Available: August 16, 2016 | Manufacturer: Flying Fisherman</x:v>
      </x:c>
      <x:c r="H137" s="17" t="str">
        <x:v>PREMIERE COASTAL GEAR – ACTION ANGLER SERIES These sporty two-tone frames feature a full coverage, wrap around styling with vented, rubber nose pads and extended temple pads for all day comfort. Scratch resistant polarized lenses sharpen optics, reduce eye fatigue. Polarized Triacetate Lenses are Impact and Scratch Resistant, Lightweight and Durable. Flying Fisherman’s AcuTint lens coloring system offer crystal clear polarized optics, making it easier to see beneath the surface of the water, to spot fish and other structures. This a unisex design that beautifully frames both men's and women's faces. They are sure to be the perfect addition to your on-the-water accessories. THE ULTIMATE UV BLOCKER Flying Fisherman’s AcuTint lens coloring system eliminates glare and adds contrast without distorting natural colors, reducing eye strain and sharpening visual perception. AcuTint helps you play all day, whether you’re running a trail, hiking a mountain, out on the boat, deep sea fishing, floating a river, playing volleyball on the beach or any other summer trips you have planned.</x:v>
      </x:c>
      <x:c r="I137" s="76" t="n">
        <x:v>21.11</x:v>
      </x:c>
      <x:c r="J137" s="75" t="n">
        <x:v>4.5</x:v>
      </x:c>
      <x:c r="K137" s="77" t="n">
        <x:v>310</x:v>
      </x:c>
      <x:c r="L137" s="77" t="str">
        <x:v>Flying Fisherman</x:v>
      </x:c>
      <x:c r="M137" s="77" t="n">
        <x:f>LEN(C137)</x:f>
        <x:v>78</x:v>
      </x:c>
      <x:c r="N137" s="77" t="n">
        <x:f>LEN(F137)</x:f>
        <x:v>1420</x:v>
      </x:c>
      <x:c r="O137" s="77" t="n">
        <x:f>LEN(G137)</x:f>
        <x:v>171</x:v>
      </x:c>
      <x:c r="P137" s="77" t="n">
        <x:f>LEN(H137)</x:f>
        <x:v>1089</x:v>
      </x:c>
      <x:c r="Q137" s="77" t="n">
        <x:f>IF(LEN(C137)&gt;0,1,0)+IF(LEN(D137)&gt;0,1,0)+IF(LEN(F137)&gt;0,1,0)+IF(LEN(G137)&gt;0,1,0)+IF(LEN(H137)&gt;0,1,0)+IF(ISNUMBER(I137),1,0)+IF(ISNUMBER(J137),1,0)+IF(ISNUMBER(K137),1,0)+IF(LEN(L137)&gt;0,1,0)</x:f>
        <x:v>9</x:v>
      </x:c>
      <x:c r="R137" s="78" t="n">
        <x:f>Q137/9</x:f>
        <x:v>1</x:v>
      </x:c>
    </x:row>
    <x:row r="138" ht="72" customHeight="1">
      <x:c r="A138" t="str">
        <x:v>public_0134</x:v>
      </x:c>
      <x:c r="B138" t="str">
        <x:v>B081SF3QRL</x:v>
      </x:c>
      <x:c r="C138" s="17" t="str">
        <x:v>YOFANST 2pcs-12pcs Double Flare Stainless Steel Tunnels Gauges Screwed Gem Rhinestones Tunnels Plugs Stretcher Jewelry</x:v>
      </x:c>
      <x:c r="D138" s="17" t="str">
        <x:v>Clothing, Shoes &amp; Jewelry | Women | Jewelry | Body Jewelry | Piercing Jewelry | Tunnels</x:v>
      </x:c>
      <x:c r="E138" s="17" t="str">
        <x:v>Tunnels</x:v>
      </x:c>
      <x:c r="F138" s="17" t="str">
        <x:v>Gauge in Choice: 8g(3mm), 6g(4mm), 4g(5mm), 2g(6mm), 0g(8mm), 00g(10mm), 1/2"(12mm), 9/16"(14mm) | You will get 3 pairs fashion gem double flare screw-fit tunnels in same size, in same color. | Material: Stainless Steel With Rhinestones, Look Nice, Light Weight, Smooth Polish Surface and Long Lasting Color. | The screw-on method tunnels are pretty, you can twist on from one head, very easy to wear and take off. Fashion party and wedding body piercing jewelry. | Satisfaction Guarantee: All items are new. We provide no-risk refund service, just hope you have a pleasant shopping! More piercing rings / plugs / tunnels / expander in various styles can be found in our shop.</x:v>
      </x:c>
      <x:c r="G138" s="17" t="str">
        <x:v>Item model number: Yofa17300 | Department: Boys | Date First Available: November 20, 2019 | Manufacturer: Yingrunshangmao Co.Ltd</x:v>
      </x:c>
      <x:c r="H138" s="17" t="str"/>
      <x:c r="I138" s="76" t="n">
        <x:v>12.99</x:v>
      </x:c>
      <x:c r="J138" s="75" t="n">
        <x:v>4.6</x:v>
      </x:c>
      <x:c r="K138" s="77" t="n">
        <x:v>399</x:v>
      </x:c>
      <x:c r="L138" s="77" t="str">
        <x:v>YOFANST</x:v>
      </x:c>
      <x:c r="M138" s="77" t="n">
        <x:f>LEN(C138)</x:f>
        <x:v>118</x:v>
      </x:c>
      <x:c r="N138" s="77" t="n">
        <x:f>LEN(F138)</x:f>
        <x:v>676</x:v>
      </x:c>
      <x:c r="O138" s="77" t="n">
        <x:f>LEN(G138)</x:f>
        <x:v>128</x:v>
      </x:c>
      <x:c r="P138" s="77" t="n">
        <x:f>LEN(H138)</x:f>
        <x:v>0</x:v>
      </x:c>
      <x:c r="Q138" s="77" t="n">
        <x:f>IF(LEN(C138)&gt;0,1,0)+IF(LEN(D138)&gt;0,1,0)+IF(LEN(F138)&gt;0,1,0)+IF(LEN(G138)&gt;0,1,0)+IF(LEN(H138)&gt;0,1,0)+IF(ISNUMBER(I138),1,0)+IF(ISNUMBER(J138),1,0)+IF(ISNUMBER(K138),1,0)+IF(LEN(L138)&gt;0,1,0)</x:f>
        <x:v>8</x:v>
      </x:c>
      <x:c r="R138" s="78" t="n">
        <x:f>Q138/9</x:f>
        <x:v>0.8888888888888888</x:v>
      </x:c>
    </x:row>
    <x:row r="139" ht="72" customHeight="1">
      <x:c r="A139" t="str">
        <x:v>public_0135</x:v>
      </x:c>
      <x:c r="B139" t="str">
        <x:v>B0C6BL4RNN</x:v>
      </x:c>
      <x:c r="C139" s="17" t="str">
        <x:v>Dearfoams Women's Rebecca Lightweight Cozy Memory Foam Closed Back Slipper with Wide Widths</x:v>
      </x:c>
      <x:c r="D139" s="17" t="str">
        <x:v>Clothing, Shoes &amp; Jewelry | Women | Shoes | Slippers</x:v>
      </x:c>
      <x:c r="E139" s="17" t="str">
        <x:v>Slippers</x:v>
      </x:c>
      <x:c r="F139" s="17" t="str">
        <x:v>100% Polyester | Imported | Thermoplastic Elastomers sole | Shaft measures approximately not_applicable from arch | PERFECT EVERYDAY SLIPPER: These Dearfoams slippers for women are the perfect pair to slip on and off for extra warmth. The closed back design makes it easy to wear these to and from the mailbox or to let the dog out. | MEMORY FOAM INSOLE: Each slipper is fitted with a multi-density cushioned insole and topped with cloudlike, gel-infused memory foam for the ultimate in comfort. | RUBBER OUTSOLE: The bottom of the slippers is durable for use indoors and outdoors. | LUXE MATERIAL: These slippers boast a luxurious and plush inner microfiber velour material and a beautiful chenille on the outside for comfort and style. Easy care for long lasting freshness – just throw them in your washing machine! | CHOOSE YOUR SIZE: These slippers feature inclusive ladies’ sizing from 5-12. Small fits 5-6, Medium fits 7-8, Large fits 9-10, and X-Large fits 11-12. | Air dry flat</x:v>
      </x:c>
      <x:c r="G139" s="17" t="str">
        <x:v>Item model number: 51701 | Department: Womens | Date First Available: November 16, 2021 | Manufacturer: Dearfoams</x:v>
      </x:c>
      <x:c r="H139" s="17" t="str">
        <x:v>Add a little luxury to your day-to-day lounging! Plush velour lining and cushioned memory foam insoles pamper your feet with every step. Durable indoor/outdoor outsoles ensure support no matter where relaxation takes you!.</x:v>
      </x:c>
      <x:c r="I139" s="76" t="n">
        <x:v>21.42</x:v>
      </x:c>
      <x:c r="J139" s="75" t="n">
        <x:v>4.3</x:v>
      </x:c>
      <x:c r="K139" s="77" t="n">
        <x:v>31434</x:v>
      </x:c>
      <x:c r="L139" s="77" t="str">
        <x:v>Dearfoams</x:v>
      </x:c>
      <x:c r="M139" s="77" t="n">
        <x:f>LEN(C139)</x:f>
        <x:v>91</x:v>
      </x:c>
      <x:c r="N139" s="77" t="n">
        <x:f>LEN(F139)</x:f>
        <x:v>985</x:v>
      </x:c>
      <x:c r="O139" s="77" t="n">
        <x:f>LEN(G139)</x:f>
        <x:v>113</x:v>
      </x:c>
      <x:c r="P139" s="77" t="n">
        <x:f>LEN(H139)</x:f>
        <x:v>222</x:v>
      </x:c>
      <x:c r="Q139" s="77" t="n">
        <x:f>IF(LEN(C139)&gt;0,1,0)+IF(LEN(D139)&gt;0,1,0)+IF(LEN(F139)&gt;0,1,0)+IF(LEN(G139)&gt;0,1,0)+IF(LEN(H139)&gt;0,1,0)+IF(ISNUMBER(I139),1,0)+IF(ISNUMBER(J139),1,0)+IF(ISNUMBER(K139),1,0)+IF(LEN(L139)&gt;0,1,0)</x:f>
        <x:v>9</x:v>
      </x:c>
      <x:c r="R139" s="78" t="n">
        <x:f>Q139/9</x:f>
        <x:v>1</x:v>
      </x:c>
    </x:row>
    <x:row r="140" ht="72" customHeight="1">
      <x:c r="A140" t="str">
        <x:v>public_0136</x:v>
      </x:c>
      <x:c r="B140" t="str">
        <x:v>B091F54MWM</x:v>
      </x:c>
      <x:c r="C140" s="17" t="str">
        <x:v>CAMPSNAIL 4 Pack Biker Shorts for Women High Waist - 5" Soft Summer Womens Shorts Spandex Workout Shorts for Running Athletic</x:v>
      </x:c>
      <x:c r="D140" s="17" t="str">
        <x:v>Clothing, Shoes &amp; Jewelry | Women | Clothing | Active | Active Shorts</x:v>
      </x:c>
      <x:c r="E140" s="17" t="str">
        <x:v>Active Shorts</x:v>
      </x:c>
      <x:c r="F140" s="17" t="str">
        <x:v>92% Polyester, 8% Spandex | Imported | Elastic closure | Machine Wash | YOUR SHORTS SEASON - Instead of getting other 3 pack shorts for 20ish dollars you can pay extra 1 more dollars to get CAMPSNAIL 4 PACK BIKER SHORTS. Better price, Better quality, only for better you. | HIGH WAIST DESIGN - These high-waisted bike shorts have a 5.3 inches fold-over waistband which can help to provide more support and structure. | BUTTERY SOFT - If you like your shorts on the shorter size, the 5’’ high-waisted shorts is just right. The spandex and polyester material the shorts are made out of is as soft and comfortable as a “second skin” | ULTRA-STRETCH &amp; NON-SEE THROUGH – Made with 4-way stretch that moves with your body during any workout. The thickness of our shorts is moderate, which not only ensures non-see-through but also guarantees air permeability. Say goodbye to camel toe. | BREATHABLE &amp; DURABLE FOR MULTI-OCCASION - These athletic shorts for women fit like a second skin for maximum flexibility. Our workout shorts for women can make you move more freely and focus on your biking, running, gym, volleyball or other types of workout.</x:v>
      </x:c>
      <x:c r="G140" s="17" t="str">
        <x:v>Department: Womens | Date First Available: March 31, 2021 | Manufacturer: CAMPSNAIL</x:v>
      </x:c>
      <x:c r="H140" s="17" t="str"/>
      <x:c r="I140" s="76" t="n">
        <x:v>18.98</x:v>
      </x:c>
      <x:c r="J140" s="75" t="n">
        <x:v>4.4</x:v>
      </x:c>
      <x:c r="K140" s="77" t="n">
        <x:v>7141</x:v>
      </x:c>
      <x:c r="L140" s="77" t="str">
        <x:v>CAMPSNAIL</x:v>
      </x:c>
      <x:c r="M140" s="77" t="n">
        <x:f>LEN(C140)</x:f>
        <x:v>125</x:v>
      </x:c>
      <x:c r="N140" s="77" t="n">
        <x:f>LEN(F140)</x:f>
        <x:v>1140</x:v>
      </x:c>
      <x:c r="O140" s="77" t="n">
        <x:f>LEN(G140)</x:f>
        <x:v>83</x:v>
      </x:c>
      <x:c r="P140" s="77" t="n">
        <x:f>LEN(H140)</x:f>
        <x:v>0</x:v>
      </x:c>
      <x:c r="Q140" s="77" t="n">
        <x:f>IF(LEN(C140)&gt;0,1,0)+IF(LEN(D140)&gt;0,1,0)+IF(LEN(F140)&gt;0,1,0)+IF(LEN(G140)&gt;0,1,0)+IF(LEN(H140)&gt;0,1,0)+IF(ISNUMBER(I140),1,0)+IF(ISNUMBER(J140),1,0)+IF(ISNUMBER(K140),1,0)+IF(LEN(L140)&gt;0,1,0)</x:f>
        <x:v>8</x:v>
      </x:c>
      <x:c r="R140" s="78" t="n">
        <x:f>Q140/9</x:f>
        <x:v>0.8888888888888888</x:v>
      </x:c>
    </x:row>
    <x:row r="141" ht="72" customHeight="1">
      <x:c r="A141" t="str">
        <x:v>public_0137</x:v>
      </x:c>
      <x:c r="B141" t="str">
        <x:v>B01N67CJGX</x:v>
      </x:c>
      <x:c r="C141" s="17" t="str">
        <x:v>DOUBLJU Lightweight Thin Zip-Up Hoodie Jacket for Women Girls Kids with Plus Size</x:v>
      </x:c>
      <x:c r="D141" s="17" t="str">
        <x:v>Clothing, Shoes &amp; Jewelry | Women | Clothing | Fashion Hoodies &amp; Sweatshirts</x:v>
      </x:c>
      <x:c r="E141" s="17" t="str">
        <x:v>Fashion Hoodies &amp; Sweatshirts</x:v>
      </x:c>
      <x:c r="F141" s="17" t="str">
        <x:v>60% Cotton, 40% Polyester | Zipper closure | Machine Wash | Style Note – Women’s Long Sleeve Ribbed Cuffs Cotton jacket with classic front pockets and drawstring. A casual hoodie sweatshirt made with soft, lightweight material and also skin-friendly. Produced with high quality color &amp; fabric, an essential closet staple! | Size and Color – Please refer to the size table provided below prior to purchasing. We kindly ask you to order a single size larger if you are not expecting a slim fit. Also, due to monitor settings and respective pixel definitions, we cannot guarantee the color you see on your screen as the exact color of the product. | Any Occasion – Athletic, Uniform, Casual, Jogging, Workout, Gym, Maternity, Teen / Great to pair with your favorite shorts, jeans, pants or skirts on practically any indoor and outdoor occasions. Add a pleasant delight in your daily routine with our Premium Casual Hoodie. | Gift Ideas for Your Loved Ones – Doublju provides exceptional clothes at an affordable price. We guarantee that this will be a perfect outfit for your friends, families, and beloved ones. Surprise them with a memorable gift on any upcoming birthdays and special anniversaries. They will absolutely love it! | Customers Come First – We stand firmly behind the quality and authenticity of our products, and kindly acknowledge any failures to meet your expectations. Do not hesitate to reach out to us in our office hours about all unsatisfactory deficiencies and possible issues.</x:v>
      </x:c>
      <x:c r="G141" s="17" t="str">
        <x:v>Item model number: AWOHOL085 | Department: Womens | Date First Available: November 23, 2016</x:v>
      </x:c>
      <x:c r="H141" s="17" t="str"/>
      <x:c r="I141" s="76" t="n">
        <x:v>35.99</x:v>
      </x:c>
      <x:c r="J141" s="75" t="n">
        <x:v>4.4</x:v>
      </x:c>
      <x:c r="K141" s="77" t="n">
        <x:v>33522</x:v>
      </x:c>
      <x:c r="L141" s="77" t="str">
        <x:v>DOUBLJU</x:v>
      </x:c>
      <x:c r="M141" s="77" t="n">
        <x:f>LEN(C141)</x:f>
        <x:v>81</x:v>
      </x:c>
      <x:c r="N141" s="77" t="n">
        <x:f>LEN(F141)</x:f>
        <x:v>1499</x:v>
      </x:c>
      <x:c r="O141" s="77" t="n">
        <x:f>LEN(G141)</x:f>
        <x:v>91</x:v>
      </x:c>
      <x:c r="P141" s="77" t="n">
        <x:f>LEN(H141)</x:f>
        <x:v>0</x:v>
      </x:c>
      <x:c r="Q141" s="77" t="n">
        <x:f>IF(LEN(C141)&gt;0,1,0)+IF(LEN(D141)&gt;0,1,0)+IF(LEN(F141)&gt;0,1,0)+IF(LEN(G141)&gt;0,1,0)+IF(LEN(H141)&gt;0,1,0)+IF(ISNUMBER(I141),1,0)+IF(ISNUMBER(J141),1,0)+IF(ISNUMBER(K141),1,0)+IF(LEN(L141)&gt;0,1,0)</x:f>
        <x:v>8</x:v>
      </x:c>
      <x:c r="R141" s="78" t="n">
        <x:f>Q141/9</x:f>
        <x:v>0.8888888888888888</x:v>
      </x:c>
    </x:row>
    <x:row r="142" ht="72" customHeight="1">
      <x:c r="A142" t="str">
        <x:v>public_0138</x:v>
      </x:c>
      <x:c r="B142" t="str">
        <x:v>B0B4BRW7JT</x:v>
      </x:c>
      <x:c r="C142" s="17" t="str">
        <x:v>KORSIS Summer Dresses For Women Casual T Shirt Dresses Swing Flowy Beach Vacation Sundress with Pockets</x:v>
      </x:c>
      <x:c r="D142" s="17" t="str">
        <x:v>Clothing, Shoes &amp; Jewelry | Women | Clothing | Tops, Tees &amp; Blouses | Tunics</x:v>
      </x:c>
      <x:c r="E142" s="17" t="str">
        <x:v>Tunics</x:v>
      </x:c>
      <x:c r="F142" s="17" t="str">
        <x:v>95% Rayon, 5% Spandex | Machine Wash | Standard US Size: S(US 4-6), M(US 8-10), L(US 12-14), XL(US 16-18), XXL(US 20-22), 3XL(US 24-26). This women's casual loose dress is available in a variety of solid colors and print colors to suit your personal style. | Material: The sleeveless dress is made of 95% Rayon and 5% Spandex, which makes it soft,comfortable,stretchy, lightweight and not see through. | Features: This above-the-knee tank summer dress is a swing style, loose enough to fit comfortably over large hips, and comes with pockets. It's not too baggy, and you don't need to wear leggings with it if you don't want to.</x:v>
      </x:c>
      <x:c r="G142" s="17" t="str">
        <x:v>Department: Womens | Date First Available: June 16, 2022 | Manufacturer: KORSIS</x:v>
      </x:c>
      <x:c r="H142" s="17" t="str">
        <x:v>In fashion, three words can change everything: "It has pockets." | The t-shirt dress is featuring round neck, pullover style, short sleeve, solid color, loose fit and mini length | Features:Lightweight, soft,sexy flowy and stretchy</x:v>
      </x:c>
      <x:c r="I142" s="76" t="n">
        <x:v>28.99</x:v>
      </x:c>
      <x:c r="J142" s="75" t="n">
        <x:v>4.3</x:v>
      </x:c>
      <x:c r="K142" s="77" t="n">
        <x:v>40492</x:v>
      </x:c>
      <x:c r="L142" s="77" t="str">
        <x:v>KORSIS</x:v>
      </x:c>
      <x:c r="M142" s="77" t="n">
        <x:f>LEN(C142)</x:f>
        <x:v>103</x:v>
      </x:c>
      <x:c r="N142" s="77" t="n">
        <x:f>LEN(F142)</x:f>
        <x:v>628</x:v>
      </x:c>
      <x:c r="O142" s="77" t="n">
        <x:f>LEN(G142)</x:f>
        <x:v>79</x:v>
      </x:c>
      <x:c r="P142" s="77" t="n">
        <x:f>LEN(H142)</x:f>
        <x:v>231</x:v>
      </x:c>
      <x:c r="Q142" s="77" t="n">
        <x:f>IF(LEN(C142)&gt;0,1,0)+IF(LEN(D142)&gt;0,1,0)+IF(LEN(F142)&gt;0,1,0)+IF(LEN(G142)&gt;0,1,0)+IF(LEN(H142)&gt;0,1,0)+IF(ISNUMBER(I142),1,0)+IF(ISNUMBER(J142),1,0)+IF(ISNUMBER(K142),1,0)+IF(LEN(L142)&gt;0,1,0)</x:f>
        <x:v>9</x:v>
      </x:c>
      <x:c r="R142" s="78" t="n">
        <x:f>Q142/9</x:f>
        <x:v>1</x:v>
      </x:c>
    </x:row>
    <x:row r="143" ht="72" customHeight="1">
      <x:c r="A143" t="str">
        <x:v>public_0139</x:v>
      </x:c>
      <x:c r="B143" t="str">
        <x:v>B09SGYPW3M</x:v>
      </x:c>
      <x:c r="C143" s="17" t="str">
        <x:v>OFEEFAN Womens Tops Ruffle Short Sleeve V Neck T-Shirts Casual Loose Fit</x:v>
      </x:c>
      <x:c r="D143" s="17" t="str">
        <x:v>Clothing, Shoes &amp; Jewelry | Women | Clothing | Tops, Tees &amp; Blouses | T-Shirts</x:v>
      </x:c>
      <x:c r="E143" s="17" t="str">
        <x:v>T-Shirts</x:v>
      </x:c>
      <x:c r="F143" s="17" t="str">
        <x:v>Fabric: 35%Rayon,60% Polyester and 5% Spandex,very soft and comfortable for spring and summer | Cute ruffle sleeve tops for spring summer and fall, pull on and down closure | Care: Machine or hand wash in cold water, no bleach, no dry clean, hang or line dry, low iron if need | Features: Sexy v-neck t-shirts with double ruffle sleeves, short sleeve tops, solid color, fashion and trendy, add beauty to your wardrobe | Match: Goes well with shorts, jeans, leggings, sweatpants or skirts. Fashion to pair with sunglass, necklace or belt. That's easy to love all seasons | Ocassion: Simple design makes it perfect for any occasions. Good for work, daily, office, travel, running, home wear, school, dating, beach. | Comfy Tshirts: These Tshirts are make of soft and comfortable fabaric,lightweight and very comfortabke to your skin | Size: S-3XL are available, If you want a looser fit look,you can choose 1 size up. Please reference to the size guide on "Product description" below before ordering.</x:v>
      </x:c>
      <x:c r="G143" s="17" t="str">
        <x:v>Item model number: OFE-WTS2776-Parent | Department: womens | Date First Available: February 8, 2022</x:v>
      </x:c>
      <x:c r="H143" s="17" t="str"/>
      <x:c r="I143" s="76" t="n">
        <x:v>24.99</x:v>
      </x:c>
      <x:c r="J143" s="75" t="n">
        <x:v>4.3</x:v>
      </x:c>
      <x:c r="K143" s="77" t="n">
        <x:v>4110</x:v>
      </x:c>
      <x:c r="L143" s="77" t="str">
        <x:v>OFEEFAN</x:v>
      </x:c>
      <x:c r="M143" s="77" t="n">
        <x:f>LEN(C143)</x:f>
        <x:v>72</x:v>
      </x:c>
      <x:c r="N143" s="77" t="n">
        <x:f>LEN(F143)</x:f>
        <x:v>998</x:v>
      </x:c>
      <x:c r="O143" s="77" t="n">
        <x:f>LEN(G143)</x:f>
        <x:v>99</x:v>
      </x:c>
      <x:c r="P143" s="77" t="n">
        <x:f>LEN(H143)</x:f>
        <x:v>0</x:v>
      </x:c>
      <x:c r="Q143" s="77" t="n">
        <x:f>IF(LEN(C143)&gt;0,1,0)+IF(LEN(D143)&gt;0,1,0)+IF(LEN(F143)&gt;0,1,0)+IF(LEN(G143)&gt;0,1,0)+IF(LEN(H143)&gt;0,1,0)+IF(ISNUMBER(I143),1,0)+IF(ISNUMBER(J143),1,0)+IF(ISNUMBER(K143),1,0)+IF(LEN(L143)&gt;0,1,0)</x:f>
        <x:v>8</x:v>
      </x:c>
      <x:c r="R143" s="78" t="n">
        <x:f>Q143/9</x:f>
        <x:v>0.8888888888888888</x:v>
      </x:c>
    </x:row>
    <x:row r="144" ht="72" customHeight="1">
      <x:c r="A144" t="str">
        <x:v>public_0140</x:v>
      </x:c>
      <x:c r="B144" t="str">
        <x:v>B09BT6LSJV</x:v>
      </x:c>
      <x:c r="C144" s="17" t="str">
        <x:v>Grlasen Women's Casual Long Blazers Ruched 3/4 Sleeve Lapel Oversized Suit Jacket Elegant Work Office Blazer Jackets</x:v>
      </x:c>
      <x:c r="D144" s="17" t="str">
        <x:v>Clothing, Shoes &amp; Jewelry | Women | Clothing | Suiting &amp; Blazers | Blazers</x:v>
      </x:c>
      <x:c r="E144" s="17" t="str">
        <x:v>Blazers</x:v>
      </x:c>
      <x:c r="F144" s="17" t="str">
        <x:v>Polyester,Spandex | Polyester lining | Button closure | Machine Wash | Material: Polyester&amp;Spandex. Soft fabric. This long blazer jackets comes with a full lining. Soft and Comfortable to Wear. | Features: Basic lapel collar oversized blazers for women, a single front button design, solid color,two functional pockets, perfectly carrying some necessity, or nailing a chic look. | Pair with: This casual blazer for women perfectly hug your chest and waist. Great with your favorite skinny jeans leggings or boots, and so on. | Occasions：Practical straight business casual blazer, suitable for both casual and formal wear. This womens suit jacket can be paired with a shirt, pumps and skinny pants, Soft and stretch fabric makes it breathable and comfortable. Great for casual, formal, business wear and other special events. | Garment Care: Machine Wash With Cold Water/ Line Dry/ Not Bleach.</x:v>
      </x:c>
      <x:c r="G144" s="17" t="str">
        <x:v>Department: womens | Date First Available: August 3, 2021</x:v>
      </x:c>
      <x:c r="H144" s="17" t="str"/>
      <x:c r="I144" s="76" t="n">
        <x:v>48.99</x:v>
      </x:c>
      <x:c r="J144" s="75" t="n">
        <x:v>3.8</x:v>
      </x:c>
      <x:c r="K144" s="77" t="n">
        <x:v>162</x:v>
      </x:c>
      <x:c r="L144" s="77" t="str">
        <x:v>Grlasen</x:v>
      </x:c>
      <x:c r="M144" s="77" t="n">
        <x:f>LEN(C144)</x:f>
        <x:v>116</x:v>
      </x:c>
      <x:c r="N144" s="77" t="n">
        <x:f>LEN(F144)</x:f>
        <x:v>892</x:v>
      </x:c>
      <x:c r="O144" s="77" t="n">
        <x:f>LEN(G144)</x:f>
        <x:v>57</x:v>
      </x:c>
      <x:c r="P144" s="77" t="n">
        <x:f>LEN(H144)</x:f>
        <x:v>0</x:v>
      </x:c>
      <x:c r="Q144" s="77" t="n">
        <x:f>IF(LEN(C144)&gt;0,1,0)+IF(LEN(D144)&gt;0,1,0)+IF(LEN(F144)&gt;0,1,0)+IF(LEN(G144)&gt;0,1,0)+IF(LEN(H144)&gt;0,1,0)+IF(ISNUMBER(I144),1,0)+IF(ISNUMBER(J144),1,0)+IF(ISNUMBER(K144),1,0)+IF(LEN(L144)&gt;0,1,0)</x:f>
        <x:v>8</x:v>
      </x:c>
      <x:c r="R144" s="78" t="n">
        <x:f>Q144/9</x:f>
        <x:v>0.8888888888888888</x:v>
      </x:c>
    </x:row>
    <x:row r="145" ht="72" customHeight="1">
      <x:c r="A145" t="str">
        <x:v>public_0141</x:v>
      </x:c>
      <x:c r="B145" t="str">
        <x:v>B0BLH7JHG8</x:v>
      </x:c>
      <x:c r="C145" s="17" t="str">
        <x:v>Fzroezz 6Pcs Nose Studs L Shaped 20 Gauge Nose Piercings Nose Rings Studs Nose Piercing Jewelry Nose Piercing Stud Surgical Steel Nose Ring Nose Rings Studs Jewelry for Women Men 20G 2mm 2.5mm 3mm CZ Gold Silver Rose Gold</x:v>
      </x:c>
      <x:c r="D145" s="17" t="str">
        <x:v>Clothing, Shoes &amp; Jewelry | Women | Jewelry | Body Jewelry | Piercing Jewelry | Screws</x:v>
      </x:c>
      <x:c r="E145" s="17" t="str">
        <x:v>Screws</x:v>
      </x:c>
      <x:c r="F145" s="17" t="str">
        <x:v>You will receive 6 Pcs silver nose studs, coming with one free gift velvet bag. Can be used as nose rings, nose piercings, nose rings studs, nose piercing jewelry, nostril piercing jewelry, nose jewelry, stud nose rings etc. | Nose Rings Studs Size: 20 gauge (0.8mm), Pin Length: 7mm (9/32"), Round Cubic Zirconia Size: 2mm. Easy to Put In and Take Off, absolutely make you feel beautiful, comfortable, happier and unique. Definitely worth the try! | High quality 316L surgical stainless steel, hypoallergenic, nickel and lead free, never rust and tarnish resistance, lightweight. High-polished finishing and electroplating, super smooth and shiny. | The best gift for women men teens: perfect for daily using, best gift for Birthday, Graduation, Back to school, Halloween, Thanksgiving Day, Christmas Day, Valentine's Day, Mother's Day, Father's Day, Anniversary Day and more | 90 DAY GUARANTEE POLICY: If you are not satisfied with the multifunction nose rings studs nose piercing jewelry, We will give you Money Back or Exchange Guarantee.</x:v>
      </x:c>
      <x:c r="G145" s="17" t="str">
        <x:v>Department: womens | Date First Available: November 4, 2022</x:v>
      </x:c>
      <x:c r="H145" s="17" t="str">
        <x:v>Fzroezz 6Pcs Nose Studs Nose Piercings Nose Rings Studs Nose Piercing Jewelry Nose Piercing Stud 20 Gauge Surgical Steel Nose Ring Nose Rings Studs Jewelry for Women Men 20G 2mm 2.5mm 3mm CZ Gold Silver Rose Gold  FEATURES: ⭐️ Our nose rings studs is made of high-quality 316L surgical stainless steel, hypoallergenic, lightweight, so your nose won't get red and irritated and itchy  ⭐️ The ends of our stud nose rings are round after polished, so they won’t scratch your skin  ⭐️ The 316L surgical steel never rust and tarnish resistance, high-polished finishing and electroplating, super smooth and shiny  Why Choose Us? A. One By One Quality Control, 100% Quality Inspection. B. Comfortable and Hyperallergic Nose Studs set, solid expensive-looking and Durable. C. We offer 90 days money back. Feel free to buy. Affordable price and high average review rating of jewelry collection. D. Fast shipping from US Amazon warehouse. Any problem can contact customer service.  Caring of Nose Studs Rings Jewelry for Women Girls Teens Men: 1. Avoid chemicals, avoid impact and scratches. 2. Wipe with a soft dry cloth after wearing. 3. Small parts.Not suitable for children under 10 years old.</x:v>
      </x:c>
      <x:c r="I145" s="76" t="n">
        <x:v>5.49</x:v>
      </x:c>
      <x:c r="J145" s="75" t="n">
        <x:v>4.7</x:v>
      </x:c>
      <x:c r="K145" s="77" t="n">
        <x:v>76</x:v>
      </x:c>
      <x:c r="L145" s="77" t="str">
        <x:v>Fzroezz</x:v>
      </x:c>
      <x:c r="M145" s="77" t="n">
        <x:f>LEN(C145)</x:f>
        <x:v>221</x:v>
      </x:c>
      <x:c r="N145" s="77" t="n">
        <x:f>LEN(F145)</x:f>
        <x:v>1042</x:v>
      </x:c>
      <x:c r="O145" s="77" t="n">
        <x:f>LEN(G145)</x:f>
        <x:v>59</x:v>
      </x:c>
      <x:c r="P145" s="77" t="n">
        <x:f>LEN(H145)</x:f>
        <x:v>1187</x:v>
      </x:c>
      <x:c r="Q145" s="77" t="n">
        <x:f>IF(LEN(C145)&gt;0,1,0)+IF(LEN(D145)&gt;0,1,0)+IF(LEN(F145)&gt;0,1,0)+IF(LEN(G145)&gt;0,1,0)+IF(LEN(H145)&gt;0,1,0)+IF(ISNUMBER(I145),1,0)+IF(ISNUMBER(J145),1,0)+IF(ISNUMBER(K145),1,0)+IF(LEN(L145)&gt;0,1,0)</x:f>
        <x:v>9</x:v>
      </x:c>
      <x:c r="R145" s="78" t="n">
        <x:f>Q145/9</x:f>
        <x:v>1</x:v>
      </x:c>
    </x:row>
    <x:row r="146" ht="72" customHeight="1">
      <x:c r="A146" t="str">
        <x:v>public_0142</x:v>
      </x:c>
      <x:c r="B146" t="str">
        <x:v>B07YRGC1Q1</x:v>
      </x:c>
      <x:c r="C146" s="17" t="str">
        <x:v>Feraco Mens Bikers Bracelet Stainless Steel Motorcycle Bike Chain Bracelets 8.4 Inch</x:v>
      </x:c>
      <x:c r="D146" s="17" t="str">
        <x:v>Clothing, Shoes &amp; Jewelry | Men | Jewelry | Bracelets | Link</x:v>
      </x:c>
      <x:c r="E146" s="17" t="str">
        <x:v>Link</x:v>
      </x:c>
      <x:c r="F146" s="17" t="str">
        <x:v>Stainless Steel Bike Bracelet: Handcrafted with high quality material, 100% HYPOALLERGENIC, Lead &amp; Nickel Free, Stronger and very LOW MAINTENANCE Metal, long lasting IP vacuum Plating, Not Tarnish. | Unique Design: Inspire from Royal Knight, high polished bright chain links, with strong fold-over clasp, personalized colors match can highlights the low-key but noble quality and punk style. | Bracelet Size: Length-8.34 inch, width-0.4 inch, weight: 54g. smooth chain, lightweight and comfortable to wear, perfect for bike enthusiasts etc | Ideal Gifts: Cool bike chain bracelet packed with a delicate velvet gift bag, great for boys, boyfriend, dad, husband, friends, teens or other sport fan during Birthday, Anniversary. | Guarantee: 90-Day Money-back and 100% satisfaction, We promise nice price with good quality, the same as picture and description. If you have any not satisfy, pls feel free to contact us.</x:v>
      </x:c>
      <x:c r="G146" s="17" t="str">
        <x:v>Material: Stainless Steel | Color: Black Red | Brand: Feraco | Style: Chain,Personalized | Age Range (Description): Adult | Item model number: USGE191006002 | Department: boys | Date First Available: October 6, 2019 | Manufacturer: Feraco</x:v>
      </x:c>
      <x:c r="H146" s="17" t="str"/>
      <x:c r="I146" s="76" t="n">
        <x:v>16.99</x:v>
      </x:c>
      <x:c r="J146" s="75" t="n">
        <x:v>4.4</x:v>
      </x:c>
      <x:c r="K146" s="77" t="n">
        <x:v>1271</x:v>
      </x:c>
      <x:c r="L146" s="77" t="str">
        <x:v>Feraco</x:v>
      </x:c>
      <x:c r="M146" s="77" t="n">
        <x:f>LEN(C146)</x:f>
        <x:v>84</x:v>
      </x:c>
      <x:c r="N146" s="77" t="n">
        <x:f>LEN(F146)</x:f>
        <x:v>914</x:v>
      </x:c>
      <x:c r="O146" s="77" t="n">
        <x:f>LEN(G146)</x:f>
        <x:v>238</x:v>
      </x:c>
      <x:c r="P146" s="77" t="n">
        <x:f>LEN(H146)</x:f>
        <x:v>0</x:v>
      </x:c>
      <x:c r="Q146" s="77" t="n">
        <x:f>IF(LEN(C146)&gt;0,1,0)+IF(LEN(D146)&gt;0,1,0)+IF(LEN(F146)&gt;0,1,0)+IF(LEN(G146)&gt;0,1,0)+IF(LEN(H146)&gt;0,1,0)+IF(ISNUMBER(I146),1,0)+IF(ISNUMBER(J146),1,0)+IF(ISNUMBER(K146),1,0)+IF(LEN(L146)&gt;0,1,0)</x:f>
        <x:v>8</x:v>
      </x:c>
      <x:c r="R146" s="78" t="n">
        <x:f>Q146/9</x:f>
        <x:v>0.8888888888888888</x:v>
      </x:c>
    </x:row>
    <x:row r="147" ht="72" customHeight="1">
      <x:c r="A147" t="str">
        <x:v>public_0143</x:v>
      </x:c>
      <x:c r="B147" t="str">
        <x:v>B01H54X6CM</x:v>
      </x:c>
      <x:c r="C147" s="17" t="str">
        <x:v>MUXXN Women's Retro 1950s Style Sleeveless Slim Business Pencil Dress</x:v>
      </x:c>
      <x:c r="D147" s="17" t="str">
        <x:v>Clothing, Shoes &amp; Jewelry | Women | Clothing | Dresses | Work</x:v>
      </x:c>
      <x:c r="E147" s="17" t="str">
        <x:v>Work</x:v>
      </x:c>
      <x:c r="F147" s="17" t="str">
        <x:v>65% Rayon, 30% Cotton, 5% Spandex | Imported | Zipper closure | Ultra form-fitting,extremely comfortable | Sleeveless,Classical Cutting | Pleated Detail Design,Below Knees | Perfect for the upcoming season | Do carefully read the size guide in the detailed pictures, not the ones by Amazon on the side of the item that you click</x:v>
      </x:c>
      <x:c r="G147" s="17" t="str">
        <x:v>Department: womens | Date First Available: June 16, 2016</x:v>
      </x:c>
      <x:c r="H147" s="17" t="str"/>
      <x:c r="I147" s="76" t="n">
        <x:v>34.99</x:v>
      </x:c>
      <x:c r="J147" s="75" t="n">
        <x:v>4.3</x:v>
      </x:c>
      <x:c r="K147" s="77" t="n">
        <x:v>21351</x:v>
      </x:c>
      <x:c r="L147" s="77" t="str">
        <x:v>MUXXN</x:v>
      </x:c>
      <x:c r="M147" s="77" t="n">
        <x:f>LEN(C147)</x:f>
        <x:v>69</x:v>
      </x:c>
      <x:c r="N147" s="77" t="n">
        <x:f>LEN(F147)</x:f>
        <x:v>328</x:v>
      </x:c>
      <x:c r="O147" s="77" t="n">
        <x:f>LEN(G147)</x:f>
        <x:v>56</x:v>
      </x:c>
      <x:c r="P147" s="77" t="n">
        <x:f>LEN(H147)</x:f>
        <x:v>0</x:v>
      </x:c>
      <x:c r="Q147" s="77" t="n">
        <x:f>IF(LEN(C147)&gt;0,1,0)+IF(LEN(D147)&gt;0,1,0)+IF(LEN(F147)&gt;0,1,0)+IF(LEN(G147)&gt;0,1,0)+IF(LEN(H147)&gt;0,1,0)+IF(ISNUMBER(I147),1,0)+IF(ISNUMBER(J147),1,0)+IF(ISNUMBER(K147),1,0)+IF(LEN(L147)&gt;0,1,0)</x:f>
        <x:v>8</x:v>
      </x:c>
      <x:c r="R147" s="78" t="n">
        <x:f>Q147/9</x:f>
        <x:v>0.8888888888888888</x:v>
      </x:c>
    </x:row>
    <x:row r="148" ht="72" customHeight="1">
      <x:c r="A148" t="str">
        <x:v>public_0144</x:v>
      </x:c>
      <x:c r="B148" t="str">
        <x:v>B08LMMDYV7</x:v>
      </x:c>
      <x:c r="C148" s="17" t="str">
        <x:v>URBAN REPUBLIC Women's Winter Jacket - Heavyweight Water Resistant Expedition Faux-Fur Lined Parka Jacket</x:v>
      </x:c>
      <x:c r="D148" s="17" t="str">
        <x:v>Clothing, Shoes &amp; Jewelry | Women | Clothing | Coats, Jackets &amp; Vests | Down Jackets &amp; Parkas</x:v>
      </x:c>
      <x:c r="E148" s="17" t="str">
        <x:v>Down Jackets &amp; Parkas</x:v>
      </x:c>
      <x:c r="F148" s="17" t="str">
        <x:v>100% Polyester | Imported | Zipper closure | Machine Wash | High Quality Women's Winter Coat: We fashioned this heavyweight parka from wind and water resistant fabric; Perfect for winter sports and casual wear | Functional Benefits: Keep your neck warm in the faux-fur trimmed hood; Zip closure hip pockets cover chilly hands and keep your valuables safe | Style Benefits: Bundle up in fashion; The classic stadium length cut is complete with zipper chin storm guard; You’ll stand out in the crowd of basic bubble coats this season | Multipurpose: Use this jacket for skiing, snowboarding, sledding, hiking, skating, going to school and many other cold weather activities | Easy Care: Machine Wash, Tumble Dry; Please Reference the Product Description for More Details</x:v>
      </x:c>
      <x:c r="G148" s="17" t="str">
        <x:v>Department: Women | Date First Available: October 21, 2020</x:v>
      </x:c>
      <x:c r="H148" s="17" t="str">
        <x:v>URBAN REPUBLIC Women's Winter Jacket - Heavyweight Water Resistant Expedition Faux-Fur Lined Parka Jacket | is the jacket to wear for women who like to spend time outdoors. You'll appreciate the warmth and convenience of the large zip pockets, the faux-fur trim and fleecee lined hood. The unique construction of our insulated jacket will help you conquer freezing temperatures without weighing you down. | Roomy for comfort over mid-weight layers, locking in your body's temperature without restricting movement. | Roomy | for comfort over mid-weight layers, locking in your body's temperature without restricting movement. | Classic Style earthy colors and tasteful embellishments result in a look that is tough enough for work and smart enough for play. | Classic Style | earthy colors and tasteful embellishments result in a look that is tough enough for work and smart enough for play. | Practical pockets shelter cold hands and secure belongings while the adjustable cuffs and water-resistant shell keep out the wind and snow. | Practical | pockets shelter cold hands and secure belongings while the adjustable cuffs and water-resistant shell keep out the wind and snow. | Faux Fur Lining promises to deliver softness where you need it. Surround your neck and head in this plush fabric for the ultimate luxury. | Faux Fur Lining | promises to deliver softness where you need it. Surround your neck and head in this plush fabric for the ultimate luxury. | Easy to Clean - Simple to machine wash and dry; Please Reference the Variations for all Available Sizes and Colors. | Easy to Clean | - Simple to machine wash and dry; | Please Reference the Variations for all Available Sizes and Colors. | URBAN REPUBLIC Offers Premium Clothing | at Affordable Prices | because we value every customer that visits our listings! | Stop by Our Storefront to See the Rest of Our Great Deals | ; we’re confident you’re going to find items that anyone who needs a gift will absolutely love and adore!</x:v>
      </x:c>
      <x:c r="I148" s="76" t="n">
        <x:v>34.99</x:v>
      </x:c>
      <x:c r="J148" s="75" t="n">
        <x:v>4.3</x:v>
      </x:c>
      <x:c r="K148" s="77" t="n">
        <x:v>147</x:v>
      </x:c>
      <x:c r="L148" s="77" t="str">
        <x:v>URBAN REPUBLIC</x:v>
      </x:c>
      <x:c r="M148" s="77" t="n">
        <x:f>LEN(C148)</x:f>
        <x:v>105</x:v>
      </x:c>
      <x:c r="N148" s="77" t="n">
        <x:f>LEN(F148)</x:f>
        <x:v>768</x:v>
      </x:c>
      <x:c r="O148" s="77" t="n">
        <x:f>LEN(G148)</x:f>
        <x:v>58</x:v>
      </x:c>
      <x:c r="P148" s="77" t="n">
        <x:f>LEN(H148)</x:f>
        <x:v>1990</x:v>
      </x:c>
      <x:c r="Q148" s="77" t="n">
        <x:f>IF(LEN(C148)&gt;0,1,0)+IF(LEN(D148)&gt;0,1,0)+IF(LEN(F148)&gt;0,1,0)+IF(LEN(G148)&gt;0,1,0)+IF(LEN(H148)&gt;0,1,0)+IF(ISNUMBER(I148),1,0)+IF(ISNUMBER(J148),1,0)+IF(ISNUMBER(K148),1,0)+IF(LEN(L148)&gt;0,1,0)</x:f>
        <x:v>9</x:v>
      </x:c>
      <x:c r="R148" s="78" t="n">
        <x:f>Q148/9</x:f>
        <x:v>1</x:v>
      </x:c>
    </x:row>
    <x:row r="149" ht="72" customHeight="1">
      <x:c r="A149" t="str">
        <x:v>public_0145</x:v>
      </x:c>
      <x:c r="B149" t="str">
        <x:v>B00IJZZWGA</x:v>
      </x:c>
      <x:c r="C149" s="17" t="str">
        <x:v>BRIGHT STAR Low Cut Ankle Socks For Women - 30 Pairs of Athletic Socks For Running, Workout, Sports</x:v>
      </x:c>
      <x:c r="D149" s="17" t="str">
        <x:v>Clothing, Shoes &amp; Jewelry | Women | Clothing | Active | Athletic Socks</x:v>
      </x:c>
      <x:c r="E149" s="17" t="str">
        <x:v>Athletic Socks</x:v>
      </x:c>
      <x:c r="F149" s="17" t="str">
        <x:v>Cotton | Imported | Machine Wash | PREMIUM RUNNING SOCKS FOR WOMEN - Move comfortably with our thin and breathable sports socks, designed to suit your active lifestyle. Made with 97% polyester and 3% spandex, these women's athletic socks guarantee durability. These lightweight women ankle socks are built to last! | LOW-CUT, NO-SLIP SOCKS - The slim fit design provides comfort whether you're indoors or outdoors. Wear our thin ankle socks while lounging at home or while hanging out! With our quality women socks, you can work out comfortably, dance, and play sports freely! | SAFE FOR MACHINE WASH - Never worry about your ankle socks wearing out after tossing them in the washing machine. These short socks for women are safe for machine use. Our women's socks are durable and designed to last. Remember not to iron these sports socks for women. Simply fold neatly after drying. | DESIGNED TO FIT YOUR STYLE - With 30 pairs to choose from, you'll never run out of women socks! This pack comes in assorted colors and designs, from solid black, gray, and white to trendy print and patterns. You're sure to find a pair that complements OOTD or match a pair of our workout socks with your gym clothes to get your vibe on! | SOCKS FOR ALL SEASONS - Bright Stars socks for women offer a wide range of colorful designs, and fun patterns that will mix and match with every ensemble. Our women's socks are made from high-quality materials, including our comfortable, discreet ankle socks. Our women's socks provide the comfort and style to go with any outfit and any activity — and we'll help you match them to any season.</x:v>
      </x:c>
      <x:c r="G149" s="17" t="str">
        <x:v>Is Discontinued By Manufacturer: No | Package Dimensions: 10 x 8 x 3 inches; 1 Pounds | Department: womens | Date First Available: February 19, 2014</x:v>
      </x:c>
      <x:c r="H149" s="17" t="str">
        <x:v>Say goodbye to old, boring socks and say hello to | Bright Star 30-Pack Women's Sport Socks | !Made from 97% polyester and 3% spandex, these running socks for women allow for comfortable movement. | Wear a pair for any occasion, whether you're just chilling at home or rocking your workout at the gym. | These low-cut, no-slip socks let you safely move with no worries -- perfect for playing sports, dancing, hiking, or traveling. | Upgrade your outfit with a burst of fun colors and designs to choose from, or keep it classy and simple with our women socks in plain colors white, black, and gray. | Look bright and vibrant with our comfy and stylish woman socks today! | Product Highlights | - 30 Pair Value Pack- Available in Assorted Colors- Thin and Breathable- Washing Machine Safe | FAQs | Will these women’s sports socks fit size 10-11? | Our running socks are recommended for sizes 5-9, but we also get orders from our size 10-11 customers and they still fit perfectly. | Do the black socks catch lint and fuzz balls? | No. Our plain-colored workout socks (black, gray, white) do not catch lint and fuzz balls. | What is the material used for these socks? | Each pair is 97% polyester and 3% spandex.</x:v>
      </x:c>
      <x:c r="I149" s="76" t="n">
        <x:v>23.99</x:v>
      </x:c>
      <x:c r="J149" s="75" t="n">
        <x:v>4.6</x:v>
      </x:c>
      <x:c r="K149" s="77" t="n">
        <x:v>3117</x:v>
      </x:c>
      <x:c r="L149" s="77" t="str">
        <x:v>BRIGHT STAR</x:v>
      </x:c>
      <x:c r="M149" s="77" t="n">
        <x:f>LEN(C149)</x:f>
        <x:v>99</x:v>
      </x:c>
      <x:c r="N149" s="77" t="n">
        <x:f>LEN(F149)</x:f>
        <x:v>1617</x:v>
      </x:c>
      <x:c r="O149" s="77" t="n">
        <x:f>LEN(G149)</x:f>
        <x:v>148</x:v>
      </x:c>
      <x:c r="P149" s="77" t="n">
        <x:f>LEN(H149)</x:f>
        <x:v>1208</x:v>
      </x:c>
      <x:c r="Q149" s="77" t="n">
        <x:f>IF(LEN(C149)&gt;0,1,0)+IF(LEN(D149)&gt;0,1,0)+IF(LEN(F149)&gt;0,1,0)+IF(LEN(G149)&gt;0,1,0)+IF(LEN(H149)&gt;0,1,0)+IF(ISNUMBER(I149),1,0)+IF(ISNUMBER(J149),1,0)+IF(ISNUMBER(K149),1,0)+IF(LEN(L149)&gt;0,1,0)</x:f>
        <x:v>9</x:v>
      </x:c>
      <x:c r="R149" s="78" t="n">
        <x:f>Q149/9</x:f>
        <x:v>1</x:v>
      </x:c>
    </x:row>
    <x:row r="150" ht="72" customHeight="1">
      <x:c r="A150" t="str">
        <x:v>public_0146</x:v>
      </x:c>
      <x:c r="B150" t="str">
        <x:v>B0BCQWYQLQ</x:v>
      </x:c>
      <x:c r="C150" s="17" t="str">
        <x:v>Sarin Mathews Womens One Shoulder Ruched Bodycon Dress Sexy Sleeveless Slit Midi Party Cocktail Wedding Guest Dresses</x:v>
      </x:c>
      <x:c r="D150" s="17" t="str">
        <x:v>Clothing, Shoes &amp; Jewelry | Women | Clothing | Dresses</x:v>
      </x:c>
      <x:c r="E150" s="17" t="str">
        <x:v>Dresses</x:v>
      </x:c>
      <x:c r="F150" s="17" t="str">
        <x:v>50%Rayon+45%Polyester+5%Spandex | Imported | Zipper closure | Material: This One Shoulder Dress Are Made of 50%Rayon, 45%Polyester, 5%Spandex. Excellent Elasticity, Soft To Feel, Comfortable To Wear. More Friendly To Skin, Bring You Silky Touching Experience. This Bodycon Cocktail Dress Never Let You Down. | Feature: One Shoulder Dress/ Ruched Dress/ Sexy High Split Dress/ Slim Fit Dress/ Bodycon Dress/ High Waist Dress/ Hidden Side Zipper Closure Dress/ Midi Dress/ Sleeveless Dress/ Solid Color Pencil Dresses/ Tight Midi Length Dress/ Elegant Cocktail Dresses/ Wedding Guest Dress/ Sexy Club Party Dress For Women/ Evening Dress For Women. | Design: This One Shoulder Design Of This Bodycon Midi Dress Greatly Show Off Your Pretty Shoulder And Reveal Your Delicate Collarbone. The Ruched Front Design Can Hide Your Belly Fat And Make You Look Slimmer. Make The Dress More Stylish And Not Monotonous. The Sexy Slit Dresses Is Designed For A Longer Leg Visual Effect, Helps You Show Your Beautiful Body Curve. | Occasion: This Sexy Sleeveless Dress Especially For Cocktail, Party, Wedding Guest, Prom, Club, Evening, Birthday, Homecoming, Graduation, Vacation, Dating, Night Out, Work, Hang-Out, Honeymoon, Picnic, Travel, Beach, Engagement, Dinner And Office Etc. The Fitted Midi Dress Suitable for All Semi-Formal, Formal Occasions, Daily Wear And For All Seasons. | Match: The Elegant Ruched Dress Can Be Dressed Up With Beautiful Accessories, Different Types Of Shoes And Handbag, Creating Trendy Looks. Perfect Midi Dress Can Wear It Alone In Spring And Summer, Can Also Look Great With Leggings, Tights, Coat, Jackets, Sweaters In Fall And Winter. This Ruched Midi Dress Is A Exquisite Clothing For Womens Wardrobes.</x:v>
      </x:c>
      <x:c r="G150" s="17" t="str">
        <x:v>Department: womens | Date First Available: September 1, 2022</x:v>
      </x:c>
      <x:c r="H150" s="17" t="str"/>
      <x:c r="I150" s="76" t="n">
        <x:v>41.99</x:v>
      </x:c>
      <x:c r="J150" s="75" t="n">
        <x:v>4</x:v>
      </x:c>
      <x:c r="K150" s="77" t="n">
        <x:v>279</x:v>
      </x:c>
      <x:c r="L150" s="77" t="str">
        <x:v>Sarin Mathews</x:v>
      </x:c>
      <x:c r="M150" s="77" t="n">
        <x:f>LEN(C150)</x:f>
        <x:v>117</x:v>
      </x:c>
      <x:c r="N150" s="77" t="n">
        <x:f>LEN(F150)</x:f>
        <x:v>1727</x:v>
      </x:c>
      <x:c r="O150" s="77" t="n">
        <x:f>LEN(G150)</x:f>
        <x:v>60</x:v>
      </x:c>
      <x:c r="P150" s="77" t="n">
        <x:f>LEN(H150)</x:f>
        <x:v>0</x:v>
      </x:c>
      <x:c r="Q150" s="77" t="n">
        <x:f>IF(LEN(C150)&gt;0,1,0)+IF(LEN(D150)&gt;0,1,0)+IF(LEN(F150)&gt;0,1,0)+IF(LEN(G150)&gt;0,1,0)+IF(LEN(H150)&gt;0,1,0)+IF(ISNUMBER(I150),1,0)+IF(ISNUMBER(J150),1,0)+IF(ISNUMBER(K150),1,0)+IF(LEN(L150)&gt;0,1,0)</x:f>
        <x:v>8</x:v>
      </x:c>
      <x:c r="R150" s="78" t="n">
        <x:f>Q150/9</x:f>
        <x:v>0.8888888888888888</x:v>
      </x:c>
    </x:row>
    <x:row r="151" ht="72" customHeight="1">
      <x:c r="A151" t="str">
        <x:v>public_0147</x:v>
      </x:c>
      <x:c r="B151" t="str">
        <x:v>B077276QGC</x:v>
      </x:c>
      <x:c r="C151" s="17" t="str">
        <x:v>wirarpa Women's High Waisted Cotton Underwear Ladies Soft Full Briefs Panties Multipack</x:v>
      </x:c>
      <x:c r="D151" s="17" t="str">
        <x:v>Clothing, Shoes &amp; Jewelry | Women | Clothing | Lingerie, Sleep &amp; Lounge | Lingerie</x:v>
      </x:c>
      <x:c r="E151" s="17" t="str">
        <x:v>Lingerie</x:v>
      </x:c>
      <x:c r="F151" s="17" t="str">
        <x:v>95% Combed Cotton, 5% Spandex of Women's 4-PACK High Waisted Underwear. Machine Wash with laundry bag (30°C) . | Hand Wash Only | STRETCHY COVERED WAISTBAND: Soft stretchy DOUBLE-LAYER fabric covered waistband sits right at the waist. No rolling or bunching, with no compression but perfectly snuggish. The high rise underwear offers moderate tummy support and reduces the appearance of muffin top. | SOFT EASY ON EASY OFF UNDIES: Comfy full coverage brief panties, suitable for postpartum c-section and abdominal surgery recovery. Perfect for women's/female cotton panties because they're SUPER high rise with tiny bit of pressure on the tummy during that time which offers a nice soothing feeling. | DOUBLE-LAYER CROTCH: Women's underpants with wide breathable crotch for added protection, sweat wicking, breathable and healthy.Multiple color options brings lots of joy to your daily life. Suitable for home, bedtime and everyday use. | STAY IN PLACE UNDERPANTS: No ride up and stretchy enough to make you feel secure. Easy on and easy off undies, not too tight or loose but just comfortable. Nice alternative to "granny panty" type briefs. Wash well with less shrink. | We always expect your inquiry and support. Please let us know if there's any question. Your suggestion will help us to improve products and provide more great products.</x:v>
      </x:c>
      <x:c r="G151" s="17" t="str">
        <x:v>Department: Womens | Date First Available: November 1, 2017</x:v>
      </x:c>
      <x:c r="H151" s="17" t="str"/>
      <x:c r="I151" s="76" t="n">
        <x:v>19.99</x:v>
      </x:c>
      <x:c r="J151" s="75" t="n">
        <x:v>4.6</x:v>
      </x:c>
      <x:c r="K151" s="77" t="n">
        <x:v>74430</x:v>
      </x:c>
      <x:c r="L151" s="77" t="str">
        <x:v>wirarpa</x:v>
      </x:c>
      <x:c r="M151" s="77" t="n">
        <x:f>LEN(C151)</x:f>
        <x:v>87</x:v>
      </x:c>
      <x:c r="N151" s="77" t="n">
        <x:f>LEN(F151)</x:f>
        <x:v>1341</x:v>
      </x:c>
      <x:c r="O151" s="77" t="n">
        <x:f>LEN(G151)</x:f>
        <x:v>59</x:v>
      </x:c>
      <x:c r="P151" s="77" t="n">
        <x:f>LEN(H151)</x:f>
        <x:v>0</x:v>
      </x:c>
      <x:c r="Q151" s="77" t="n">
        <x:f>IF(LEN(C151)&gt;0,1,0)+IF(LEN(D151)&gt;0,1,0)+IF(LEN(F151)&gt;0,1,0)+IF(LEN(G151)&gt;0,1,0)+IF(LEN(H151)&gt;0,1,0)+IF(ISNUMBER(I151),1,0)+IF(ISNUMBER(J151),1,0)+IF(ISNUMBER(K151),1,0)+IF(LEN(L151)&gt;0,1,0)</x:f>
        <x:v>8</x:v>
      </x:c>
      <x:c r="R151" s="78" t="n">
        <x:f>Q151/9</x:f>
        <x:v>0.8888888888888888</x:v>
      </x:c>
    </x:row>
    <x:row r="152" ht="72" customHeight="1">
      <x:c r="A152" t="str">
        <x:v>public_0148</x:v>
      </x:c>
      <x:c r="B152" t="str">
        <x:v>B0BQC2NRG2</x:v>
      </x:c>
      <x:c r="C152" s="17" t="str">
        <x:v>Fruit of the Loom Women's Eversoft Cotton Bikini Underwear, Tag Free &amp; Breathable</x:v>
      </x:c>
      <x:c r="D152" s="17" t="str">
        <x:v>Clothing, Shoes &amp; Jewelry | Women | Clothing | Lingerie, Sleep &amp; Lounge | Lingerie | Panties | Bikinis</x:v>
      </x:c>
      <x:c r="E152" s="17" t="str">
        <x:v>Bikinis</x:v>
      </x:c>
      <x:c r="F152" s="17" t="str">
        <x:v>50% Cotton, 50% Polyester | Imported | Pull On closure | Machine wash cold with like colors. Use only non-chlorine bleach when needed. Tumble dry low. Do not iron. | This is an assorted color pack; This pack may contain all solids, all prints or a combination | Heather | 6 Pack | Bikini | Soft, Ravel Free Waistband | Woven with Fine Yarn for Added Softness | Tag Free | 100% Cotton Liner | Machine Wash | Satisfaction Guaranteed</x:v>
      </x:c>
      <x:c r="G152" s="17" t="str">
        <x:v>Item model number: 6DBIKA1 | Department: womens | Date First Available: May 14, 2021 | Manufacturer: Fruit Of The Loom</x:v>
      </x:c>
      <x:c r="H152" s="17" t="str">
        <x:v>Fruit of the Loom super soft heather bikinis come in the same classic colors you love, and we’ve rebuilt them from the bottom up. Now woven with finer yarn, they’re extra soft to the touch. For added comfort, we’ve added a plush-backed waistband that’s guaranteed to be ravel free wash after wash, and as always, our Fruit of the Loom panties are tag-free and made with a 100% cotton liner for extra softness. The classic bikini silhouette sits slightly above the hips and offers reliable coverage throughout the day.</x:v>
      </x:c>
      <x:c r="I152" s="76" t="n">
        <x:v>9.48</x:v>
      </x:c>
      <x:c r="J152" s="75" t="n">
        <x:v>4.4</x:v>
      </x:c>
      <x:c r="K152" s="77" t="n">
        <x:v>44437</x:v>
      </x:c>
      <x:c r="L152" s="77" t="str">
        <x:v>Fruit of the Loom</x:v>
      </x:c>
      <x:c r="M152" s="77" t="n">
        <x:f>LEN(C152)</x:f>
        <x:v>81</x:v>
      </x:c>
      <x:c r="N152" s="77" t="n">
        <x:f>LEN(F152)</x:f>
        <x:v>430</x:v>
      </x:c>
      <x:c r="O152" s="77" t="n">
        <x:f>LEN(G152)</x:f>
        <x:v>118</x:v>
      </x:c>
      <x:c r="P152" s="77" t="n">
        <x:f>LEN(H152)</x:f>
        <x:v>517</x:v>
      </x:c>
      <x:c r="Q152" s="77" t="n">
        <x:f>IF(LEN(C152)&gt;0,1,0)+IF(LEN(D152)&gt;0,1,0)+IF(LEN(F152)&gt;0,1,0)+IF(LEN(G152)&gt;0,1,0)+IF(LEN(H152)&gt;0,1,0)+IF(ISNUMBER(I152),1,0)+IF(ISNUMBER(J152),1,0)+IF(ISNUMBER(K152),1,0)+IF(LEN(L152)&gt;0,1,0)</x:f>
        <x:v>9</x:v>
      </x:c>
      <x:c r="R152" s="78" t="n">
        <x:f>Q152/9</x:f>
        <x:v>1</x:v>
      </x:c>
    </x:row>
    <x:row r="153" ht="72" customHeight="1">
      <x:c r="A153" t="str">
        <x:v>public_0149</x:v>
      </x:c>
      <x:c r="B153" t="str">
        <x:v>B07CBYYHTL</x:v>
      </x:c>
      <x:c r="C153" s="17" t="str">
        <x:v>SDIYABOLO Small Black Sling Crossbody Backpack Shoulder Bag for Men Women Vintage PU Leather Sling Backpack Cycling</x:v>
      </x:c>
      <x:c r="D153" s="17" t="str">
        <x:v>Clothing, Shoes &amp; Jewelry | Luggage &amp; Travel Gear | Backpacks | Casual Daypacks</x:v>
      </x:c>
      <x:c r="E153" s="17" t="str">
        <x:v>Casual Daypacks</x:v>
      </x:c>
      <x:c r="F153" s="17" t="str">
        <x:v>PU | 进口 | 聚酯棉布 lining | Zipper closure | PREMIUM QUALITY LEATHER BAG: This bag is made of contemporary design with a feel Classic sling for modern people on the go. It is made with premium shining quality pu leather with waterproof ability. It is made to be durable over a long period of time. The material comes with ergonomic design to relieving back pressure | PERFECT SIZE FOR YOUR GADGETS: Our leather sling bag is spacious and it is design to perfectly hold can hold a lot of items. . It is designed to take different gadget at a time. Be it laptop, Ipads, tablet, phone, books, credit cards, jotter and many more. | WELL ORGANIZED COMPARTMENTS: Our bag is well compartmentalized. It has multiple pockets inside and outside with a zip around main compartment with a fully lined interior, one slip pocket, and one zippered pocket for organization. An exterior accessory pocket on the front offers added storage for items that you need to access quickly | USB CHARGE AND EARPHONE JACK: This sling bag comes with a charging port you can connect your phone to and easily charge during outdoors and travel. Place your power bank inside the bag and connect your phone to the outer port. You can as well listen to your favorite music by connecting the headphone directly to your backpack | EXTRA QUALITY AND COLOURFUL DESIGN: It is made in a way that mixes creativity with fashion. It is a pu leather bag with adequate durability. The sling is thick and cannot cut or break easily. The inner is well lined with soft material and breathable soft cushion belt</x:v>
      </x:c>
      <x:c r="G153" s="17" t="str">
        <x:v>Is Discontinued By Manufacturer: No | Product Dimensions: 5 x 8 x 12 inches; 1.41 Pounds | Item model number: YF9909-Black | Department: mens | Date First Available: April 10, 2018 | Country of Origin: China</x:v>
      </x:c>
      <x:c r="H153" s="17" t="str"/>
      <x:c r="I153" s="76" t="n">
        <x:v>32.99</x:v>
      </x:c>
      <x:c r="J153" s="75" t="n">
        <x:v>4.5</x:v>
      </x:c>
      <x:c r="K153" s="77" t="n">
        <x:v>9172</x:v>
      </x:c>
      <x:c r="L153" s="77" t="str">
        <x:v>SDIYABOLO</x:v>
      </x:c>
      <x:c r="M153" s="77" t="n">
        <x:f>LEN(C153)</x:f>
        <x:v>115</x:v>
      </x:c>
      <x:c r="N153" s="77" t="n">
        <x:f>LEN(F153)</x:f>
        <x:v>1556</x:v>
      </x:c>
      <x:c r="O153" s="77" t="n">
        <x:f>LEN(G153)</x:f>
        <x:v>207</x:v>
      </x:c>
      <x:c r="P153" s="77" t="n">
        <x:f>LEN(H153)</x:f>
        <x:v>0</x:v>
      </x:c>
      <x:c r="Q153" s="77" t="n">
        <x:f>IF(LEN(C153)&gt;0,1,0)+IF(LEN(D153)&gt;0,1,0)+IF(LEN(F153)&gt;0,1,0)+IF(LEN(G153)&gt;0,1,0)+IF(LEN(H153)&gt;0,1,0)+IF(ISNUMBER(I153),1,0)+IF(ISNUMBER(J153),1,0)+IF(ISNUMBER(K153),1,0)+IF(LEN(L153)&gt;0,1,0)</x:f>
        <x:v>8</x:v>
      </x:c>
      <x:c r="R153" s="78" t="n">
        <x:f>Q153/9</x:f>
        <x:v>0.8888888888888888</x:v>
      </x:c>
    </x:row>
    <x:row r="154" ht="72" customHeight="1">
      <x:c r="A154" t="str">
        <x:v>public_0150</x:v>
      </x:c>
      <x:c r="B154" t="str">
        <x:v>B07P6MPQY5</x:v>
      </x:c>
      <x:c r="C154" s="17" t="str">
        <x:v>Sivvan Scrubs for Men - Zippered Short Sleeve Jacket</x:v>
      </x:c>
      <x:c r="D154" s="17" t="str">
        <x:v>Clothing, Shoes &amp; Jewelry | Men | Uniforms, Work &amp; Safety | Clothing | Medical | Scrub Jackets</x:v>
      </x:c>
      <x:c r="E154" s="17" t="str">
        <x:v>Scrub Jackets</x:v>
      </x:c>
      <x:c r="F154" s="17" t="str">
        <x:v>65% Polyester, 35% Cotton | CLOSURE: Zip Front closure | Hand Wash Only | FIT &amp; STYLE: Classic Fit, Center Back Length 29.5" In Size M. | POCKETS: 2 Large Patch Pockets Doubled With 2 Angled Pockets, 1 Chest Pocket With Pen Divider. | FEATURES: Collared Neckline, Short Sleeves, Front Yoke &amp; Back Midriff With Pleats. | PROFESSIONAL: This Scrub Jacket is Perfect For Any Nurse, Doctor &amp; More! | MATERIAL: Sturdy Material is Ideal for any Medical Work Environment.</x:v>
      </x:c>
      <x:c r="G154" s="17" t="str">
        <x:v>Item model number: S8308 | Department: mens | Date First Available: May 8, 2017</x:v>
      </x:c>
      <x:c r="H154" s="17" t="str">
        <x:v>About Us:With over 45 years of experience, Sivvan has been producing medical uniforms since 1971. We are known for our exceptional quality, comfort &amp; stylish designs. You can rely on our high performance medical work wear to fulfill all of your needs as a medical professional. Pockets:2 Large Patch Pockets Doubled With 2 Angled Pockets1 Chest Pocket With Pen DividerFit &amp; Style:Classic FitCenter Back Length 29.5" In Size MFront Yoke &amp; Back Midriff With PleatsCollared NecklineShort SleevesZip Front Closure</x:v>
      </x:c>
      <x:c r="I154" s="76" t="n">
        <x:v>15.29</x:v>
      </x:c>
      <x:c r="J154" s="75" t="n">
        <x:v>4.3</x:v>
      </x:c>
      <x:c r="K154" s="77" t="n">
        <x:v>797</x:v>
      </x:c>
      <x:c r="L154" s="77" t="str">
        <x:v>Sivvan</x:v>
      </x:c>
      <x:c r="M154" s="77" t="n">
        <x:f>LEN(C154)</x:f>
        <x:v>52</x:v>
      </x:c>
      <x:c r="N154" s="77" t="n">
        <x:f>LEN(F154)</x:f>
        <x:v>463</x:v>
      </x:c>
      <x:c r="O154" s="77" t="n">
        <x:f>LEN(G154)</x:f>
        <x:v>79</x:v>
      </x:c>
      <x:c r="P154" s="77" t="n">
        <x:f>LEN(H154)</x:f>
        <x:v>509</x:v>
      </x:c>
      <x:c r="Q154" s="77" t="n">
        <x:f>IF(LEN(C154)&gt;0,1,0)+IF(LEN(D154)&gt;0,1,0)+IF(LEN(F154)&gt;0,1,0)+IF(LEN(G154)&gt;0,1,0)+IF(LEN(H154)&gt;0,1,0)+IF(ISNUMBER(I154),1,0)+IF(ISNUMBER(J154),1,0)+IF(ISNUMBER(K154),1,0)+IF(LEN(L154)&gt;0,1,0)</x:f>
        <x:v>9</x:v>
      </x:c>
      <x:c r="R154" s="78" t="n">
        <x:f>Q154/9</x:f>
        <x:v>1</x:v>
      </x:c>
    </x:row>
    <x:row r="155" ht="72" customHeight="1">
      <x:c r="A155" t="str">
        <x:v>public_0151</x:v>
      </x:c>
      <x:c r="B155" t="str">
        <x:v>B08CFNQNJK</x:v>
      </x:c>
      <x:c r="C155" s="17" t="str">
        <x:v>Under Armour Men's Micro G Valsetz Mid Military and Tactical Boot</x:v>
      </x:c>
      <x:c r="D155" s="17" t="str">
        <x:v>Clothing, Shoes &amp; Jewelry | Boot Shop | Men | Outdoor &amp; Work | Work &amp; Safety</x:v>
      </x:c>
      <x:c r="E155" s="17" t="str">
        <x:v>Work &amp; Safety</x:v>
      </x:c>
      <x:c r="F155" s="17" t="str">
        <x:v>Imported | Rubber sole | Shaft measures approximately Ankle from arch | Heel measures approximately 6 inches" | Lightweight synthetic leather &amp; textile upper is durable &amp; breathable | Welded forefoot overlay &amp; molded TPU toe cap for added protection | Pull loops on heel &amp; tongue for easy on/off | Full-length Micro G foam midsole for the ultimate in long-lasting, responsive cushioning | Oil- &amp; slip-resistant high traction rubber lug outsole for enhanced grip on a variety of surfaces | Height: 6"" | Weight: 14.5 oz. | Lace type: Standard tie</x:v>
      </x:c>
      <x:c r="G155" s="17" t="str">
        <x:v>Package Dimensions: 19.49 x 11.81 x 5.83 inches; 14.5 Ounces | Item model number: 3023741 | Department: Mens | Date First Available: July 6, 2020 | Manufacturer: Under Armour</x:v>
      </x:c>
      <x:c r="H155" s="17" t="str">
        <x:v>We took one of our best, most durable, and crazy-comfortable tactical boots up a notch with Micro G® midsole cushioning you'll appreciate more the longer you're on your feet. Mid height amps up the ankle protection.. Lightweight synthetic leather &amp; textile upper is durable &amp; breathable. Welded forefoot overlay &amp; molded TPU toe cap for added protection. Pull loops on heel &amp; tongue for easy on/off. Full-length Micro G® foam midsole for the ultimate in long-lasting, responsive cushioning. Oil- &amp; slip-resistant high traction rubber lug outsole for enhanced grip on a variety of surfaces. Height: 6"". Weight: 14.5 oz.. Lace type: Standard tie.</x:v>
      </x:c>
      <x:c r="I155" s="76" t="str"/>
      <x:c r="J155" s="75" t="n">
        <x:v>4.5</x:v>
      </x:c>
      <x:c r="K155" s="77" t="n">
        <x:v>1804</x:v>
      </x:c>
      <x:c r="L155" s="77" t="str">
        <x:v>Under Armour</x:v>
      </x:c>
      <x:c r="M155" s="77" t="n">
        <x:f>LEN(C155)</x:f>
        <x:v>65</x:v>
      </x:c>
      <x:c r="N155" s="77" t="n">
        <x:f>LEN(F155)</x:f>
        <x:v>545</x:v>
      </x:c>
      <x:c r="O155" s="77" t="n">
        <x:f>LEN(G155)</x:f>
        <x:v>174</x:v>
      </x:c>
      <x:c r="P155" s="77" t="n">
        <x:f>LEN(H155)</x:f>
        <x:v>645</x:v>
      </x:c>
      <x:c r="Q155" s="77" t="n">
        <x:f>IF(LEN(C155)&gt;0,1,0)+IF(LEN(D155)&gt;0,1,0)+IF(LEN(F155)&gt;0,1,0)+IF(LEN(G155)&gt;0,1,0)+IF(LEN(H155)&gt;0,1,0)+IF(ISNUMBER(I155),1,0)+IF(ISNUMBER(J155),1,0)+IF(ISNUMBER(K155),1,0)+IF(LEN(L155)&gt;0,1,0)</x:f>
        <x:v>8</x:v>
      </x:c>
      <x:c r="R155" s="78" t="n">
        <x:f>Q155/9</x:f>
        <x:v>0.8888888888888888</x:v>
      </x:c>
    </x:row>
    <x:row r="156" ht="72" customHeight="1">
      <x:c r="A156" t="str">
        <x:v>public_0152</x:v>
      </x:c>
      <x:c r="B156" t="str">
        <x:v>B000EQU0NW</x:v>
      </x:c>
      <x:c r="C156" s="17" t="str">
        <x:v>Citizen Eco-Drive Corso Quartz Mens Watch, Stainless Steel with Leather strap, Classic, Brown (Model: BM8242-08E)</x:v>
      </x:c>
      <x:c r="D156" s="17" t="str">
        <x:v>Clothing, Shoes &amp; Jewelry | Men | Watches | Wrist Watches</x:v>
      </x:c>
      <x:c r="E156" s="17" t="str">
        <x:v>Wrist Watches</x:v>
      </x:c>
      <x:c r="F156" s="17" t="str">
        <x:v>Gold-tone watch in stainless steel featuring black two-step dial with date window at 3 o'clock and croco-embossed leather band. Case diameter : 36 mm | Japanese quartz movement with analog display | Protective mineral crystal dial window | Day and date function. Water resistant - Splash resistant</x:v>
      </x:c>
      <x:c r="G156" s="17" t="str">
        <x:v>Is Discontinued By Manufacturer: No | Product Dimensions: 0.59 x 0.59 x 0.59 inches; 1.2 Ounces | Item model number: BM8242-08E | Department: Mens | Date First Available: March 15, 2005 | Manufacturer: Citizen</x:v>
      </x:c>
      <x:c r="H156" s="17" t="str">
        <x:v>The very essence of style - Citizens 180 series. | The very essence of style - Citizens 180 series. | This watch is the classic dress watch with polished gold tone stainless steel and base metal case and genuine leather strap. | This watch is the classic dress watch with polished gold tone stainless steel and base metal case and genuine leather strap. | Featuring a scratch resistant mineral crystal. | Featuring a scratch resistant mineral crystal. | Citizens proprietary Eco drive movement packed into this water resistant case. | Citizens proprietary Eco drive movement packed into this water resistant case. | 36mm wide by 8mm thick, water resistant. | 36mm wide by 8mm thick, water resistant. | Its elegant gold-tone hands and markers are accented by the black dial. | Its elegant gold-tone hands and markers are accented by the black dial. | The watch also has a low charge indicator and time reset advisory. | The watch also has a low charge indicator and time reset advisory. | Day and date window. | Day and date window. | Charges in any light source (never change a battery), the watch carries a 12 month reserve charge. | Charges in any light source (never change a battery), the watch carries a 12 month reserve charge. | A men's Eco-Drive timepiece at its' best. The gold tone stainless steel case, brown leather and simple black dial, bring every outfit together. The timepiece is highlighted with day/date indicator, gold tone stainless steel hour indicators and water resistance. | Since its foundation in 1930, CITIZEN has promoted a multi-cultural mindset that fosters excellence and creativity. The very name of the brand conveys a deep respect toward craftsmanship and considered as familiar by citizens the world-over. So as a “citizen” of the world, we bear the responsibility to help cultivate a culture of positive change and on-going evolution through our craft. We take that mission seriously and steadfastly welcome what the future may bring. As a true manufacture d’horlogerie, CITIZEN integrates a comprehensive manufacturing process from creating individual components to a watch’s final assembly. It’s an artisan’s approach to watch making based on pushing forward the boundaries of technology and leveraging our experience toward exploring new possibilities. One pivotal technological breakthrough was the development of a light-driven watch. CITIZEN pioneered this engineering innovation well ahead of other watch manufacturers as early as 1976, which led to the launch of the highly acclaimed Eco-Drive in 1995. Utilizing electrical power converted from virtually any light source, this extraordinary innovation changed forever the way watches could be powered. Eco-Drive eliminated the need to ever replace batteries, which made it especially beneficial to areas where such specialist batteries were not obtainable. This leveled the field for citizens of virtually every country to be able to experience unrestricted joy of wearing and using a CITIZEN watch. The product development policy, “The Fusion of Technology and Beauty,” remains a constant motivation for us to merge cutting-edge technology with perfection of design beauty, which as a consequence inspires people to strive to be their best at any time. CITIZEN launches a new campaign in collaboration with Wieden+Kennedy, Better Starts Now. This is the simple belief that no matter who you are or what you do, it is always possible to make something better — and now is the time to start doing it. We believe that better and now are both infinite, and that there is always a next ‘better’ and a new ‘now’ in which you can start pursuing it. It was clear from the onset of this project that we are dedicated to this ideal…not to the past but to the present, and all the way we can improve it. To help communicate this belief to the world we have created a new global CITIZEN brand movie, brand identity and brand website that represents out Better Starts Now philosophy. | See more</x:v>
      </x:c>
      <x:c r="I156" s="76" t="str"/>
      <x:c r="J156" s="75" t="n">
        <x:v>4.5</x:v>
      </x:c>
      <x:c r="K156" s="77" t="n">
        <x:v>749</x:v>
      </x:c>
      <x:c r="L156" s="77" t="str">
        <x:v>Citizen</x:v>
      </x:c>
      <x:c r="M156" s="77" t="n">
        <x:f>LEN(C156)</x:f>
        <x:v>113</x:v>
      </x:c>
      <x:c r="N156" s="77" t="n">
        <x:f>LEN(F156)</x:f>
        <x:v>297</x:v>
      </x:c>
      <x:c r="O156" s="77" t="n">
        <x:f>LEN(G156)</x:f>
        <x:v>209</x:v>
      </x:c>
      <x:c r="P156" s="77" t="n">
        <x:f>LEN(H156)</x:f>
        <x:v>3978</x:v>
      </x:c>
      <x:c r="Q156" s="77" t="n">
        <x:f>IF(LEN(C156)&gt;0,1,0)+IF(LEN(D156)&gt;0,1,0)+IF(LEN(F156)&gt;0,1,0)+IF(LEN(G156)&gt;0,1,0)+IF(LEN(H156)&gt;0,1,0)+IF(ISNUMBER(I156),1,0)+IF(ISNUMBER(J156),1,0)+IF(ISNUMBER(K156),1,0)+IF(LEN(L156)&gt;0,1,0)</x:f>
        <x:v>8</x:v>
      </x:c>
      <x:c r="R156" s="78" t="n">
        <x:f>Q156/9</x:f>
        <x:v>0.8888888888888888</x:v>
      </x:c>
    </x:row>
    <x:row r="157" ht="72" customHeight="1">
      <x:c r="A157" t="str">
        <x:v>public_0153</x:v>
      </x:c>
      <x:c r="B157" t="str">
        <x:v>B07BMJ77FR</x:v>
      </x:c>
      <x:c r="C157" s="17" t="str">
        <x:v>Susanny High Heel Boots for Women,Womens Platform Boot Heels Sexy Round Toe Lace UP High Heels Mid Calf Boots</x:v>
      </x:c>
      <x:c r="D157" s="17" t="str">
        <x:v>Clothing, Shoes &amp; Jewelry | Women | Shoes | Boots | Ankle &amp; Bootie</x:v>
      </x:c>
      <x:c r="E157" s="17" t="str">
        <x:v>Ankle &amp; Bootie</x:v>
      </x:c>
      <x:c r="F157" s="17" t="str">
        <x:v>PU Leather | Rubber sole | Shaft measures approximately Ankle from arch | Pls Pay Attention to the Heel Height:The heel height of the size 5.5-7 is 3.93" ; The heel height of the size 5.5-7 is 4.72" .Chunky High heels waterproof platform boots | Vogue Element: Slip on and Side Zipper design make it easy on and off | Chic Ankle-high PU leather upper with dual buckled ankle straps | Heel measures approximately 4.72",Platform measures 1.37" | Round toe women working short booties shoes</x:v>
      </x:c>
      <x:c r="G157" s="17" t="str">
        <x:v>Department: Womens | Date First Available: September 2, 2016</x:v>
      </x:c>
      <x:c r="H157" s="17" t="str"/>
      <x:c r="I157" s="76" t="n">
        <x:v>42.99</x:v>
      </x:c>
      <x:c r="J157" s="75" t="n">
        <x:v>4.2</x:v>
      </x:c>
      <x:c r="K157" s="77" t="n">
        <x:v>5530</x:v>
      </x:c>
      <x:c r="L157" s="77" t="str">
        <x:v>Susanny</x:v>
      </x:c>
      <x:c r="M157" s="77" t="n">
        <x:f>LEN(C157)</x:f>
        <x:v>109</x:v>
      </x:c>
      <x:c r="N157" s="77" t="n">
        <x:f>LEN(F157)</x:f>
        <x:v>487</x:v>
      </x:c>
      <x:c r="O157" s="77" t="n">
        <x:f>LEN(G157)</x:f>
        <x:v>60</x:v>
      </x:c>
      <x:c r="P157" s="77" t="n">
        <x:f>LEN(H157)</x:f>
        <x:v>0</x:v>
      </x:c>
      <x:c r="Q157" s="77" t="n">
        <x:f>IF(LEN(C157)&gt;0,1,0)+IF(LEN(D157)&gt;0,1,0)+IF(LEN(F157)&gt;0,1,0)+IF(LEN(G157)&gt;0,1,0)+IF(LEN(H157)&gt;0,1,0)+IF(ISNUMBER(I157),1,0)+IF(ISNUMBER(J157),1,0)+IF(ISNUMBER(K157),1,0)+IF(LEN(L157)&gt;0,1,0)</x:f>
        <x:v>8</x:v>
      </x:c>
      <x:c r="R157" s="78" t="n">
        <x:f>Q157/9</x:f>
        <x:v>0.8888888888888888</x:v>
      </x:c>
    </x:row>
    <x:row r="158" ht="72" customHeight="1">
      <x:c r="A158" t="str">
        <x:v>public_0154</x:v>
      </x:c>
      <x:c r="B158" t="str">
        <x:v>B00CYNKSTE</x:v>
      </x:c>
      <x:c r="C158" s="17" t="str">
        <x:v>Bestform Women's Wire Free Bra</x:v>
      </x:c>
      <x:c r="D158" s="17" t="str">
        <x:v>Clothing, Shoes &amp; Jewelry | Women | Clothing | Lingerie, Sleep &amp; Lounge | Lingerie | Bras | Everyday Bras</x:v>
      </x:c>
      <x:c r="E158" s="17" t="str">
        <x:v>Everyday Bras</x:v>
      </x:c>
      <x:c r="F158" s="17" t="str">
        <x:v>Hand Wash Only</x:v>
      </x:c>
      <x:c r="G158" s="17" t="str">
        <x:v>Item model number: 5006715 | Department: womens | Date First Available: May 23, 2013</x:v>
      </x:c>
      <x:c r="H158" s="17" t="str">
        <x:v>100% Cotton cups are trimmed in a satin for a smooth fit. Wide back adjusting straps. Colors: White and Black. Sizes: B 36-42; C, D 36-44; DD 38-44.</x:v>
      </x:c>
      <x:c r="I158" s="76" t="n">
        <x:v>14.98</x:v>
      </x:c>
      <x:c r="J158" s="75" t="n">
        <x:v>4.2</x:v>
      </x:c>
      <x:c r="K158" s="77" t="n">
        <x:v>96</x:v>
      </x:c>
      <x:c r="L158" s="77" t="str">
        <x:v>Bestform</x:v>
      </x:c>
      <x:c r="M158" s="77" t="n">
        <x:f>LEN(C158)</x:f>
        <x:v>30</x:v>
      </x:c>
      <x:c r="N158" s="77" t="n">
        <x:f>LEN(F158)</x:f>
        <x:v>14</x:v>
      </x:c>
      <x:c r="O158" s="77" t="n">
        <x:f>LEN(G158)</x:f>
        <x:v>84</x:v>
      </x:c>
      <x:c r="P158" s="77" t="n">
        <x:f>LEN(H158)</x:f>
        <x:v>148</x:v>
      </x:c>
      <x:c r="Q158" s="77" t="n">
        <x:f>IF(LEN(C158)&gt;0,1,0)+IF(LEN(D158)&gt;0,1,0)+IF(LEN(F158)&gt;0,1,0)+IF(LEN(G158)&gt;0,1,0)+IF(LEN(H158)&gt;0,1,0)+IF(ISNUMBER(I158),1,0)+IF(ISNUMBER(J158),1,0)+IF(ISNUMBER(K158),1,0)+IF(LEN(L158)&gt;0,1,0)</x:f>
        <x:v>9</x:v>
      </x:c>
      <x:c r="R158" s="78" t="n">
        <x:f>Q158/9</x:f>
        <x:v>1</x:v>
      </x:c>
    </x:row>
    <x:row r="159" ht="72" customHeight="1">
      <x:c r="A159" t="str">
        <x:v>public_0155</x:v>
      </x:c>
      <x:c r="B159" t="str">
        <x:v>B0C4VLWWYY</x:v>
      </x:c>
      <x:c r="C159" s="17" t="str">
        <x:v>GearTOP Net Hat UV Protection Sun Hat Head Net Hat Fishing Hat for Men &amp; Women Wide Brim Hat w/Removable Net</x:v>
      </x:c>
      <x:c r="D159" s="17" t="str">
        <x:v>Clothing, Shoes &amp; Jewelry | Men | Accessories | Hats &amp; Caps | Sun Hats</x:v>
      </x:c>
      <x:c r="E159" s="17" t="str">
        <x:v>Sun Hats</x:v>
      </x:c>
      <x:c r="F159" s="17" t="str">
        <x:v>100% Polyester | Imported | Drawstring closure | Machine Wash 30°C/86°F | Removable hat netting: Helps keep your face away from the sun, dust, dirt, and bugs with the netting! | UPF 50+ protection: Enjoy the highest level of protection against the sun with our safari hats for men and women. | Wide brim: Ensure adequate shade for your face, neck, and ears with this bug net hat. | Breathable: Keep your head cool while the heat easily escapes from this netted hat's mesh band. | Elastic drawcord: Adjust to your preferred fit while keeping the sun hat with veil in place.</x:v>
      </x:c>
      <x:c r="G159" s="17" t="str">
        <x:v>Department: womens | Date First Available: March 20, 2023</x:v>
      </x:c>
      <x:c r="H159" s="17" t="str"/>
      <x:c r="I159" s="76" t="n">
        <x:v>19.99</x:v>
      </x:c>
      <x:c r="J159" s="75" t="n">
        <x:v>4.4</x:v>
      </x:c>
      <x:c r="K159" s="77" t="n">
        <x:v>340</x:v>
      </x:c>
      <x:c r="L159" s="77" t="str">
        <x:v>GearTOP</x:v>
      </x:c>
      <x:c r="M159" s="77" t="n">
        <x:f>LEN(C159)</x:f>
        <x:v>108</x:v>
      </x:c>
      <x:c r="N159" s="77" t="n">
        <x:f>LEN(F159)</x:f>
        <x:v>572</x:v>
      </x:c>
      <x:c r="O159" s="77" t="n">
        <x:f>LEN(G159)</x:f>
        <x:v>57</x:v>
      </x:c>
      <x:c r="P159" s="77" t="n">
        <x:f>LEN(H159)</x:f>
        <x:v>0</x:v>
      </x:c>
      <x:c r="Q159" s="77" t="n">
        <x:f>IF(LEN(C159)&gt;0,1,0)+IF(LEN(D159)&gt;0,1,0)+IF(LEN(F159)&gt;0,1,0)+IF(LEN(G159)&gt;0,1,0)+IF(LEN(H159)&gt;0,1,0)+IF(ISNUMBER(I159),1,0)+IF(ISNUMBER(J159),1,0)+IF(ISNUMBER(K159),1,0)+IF(LEN(L159)&gt;0,1,0)</x:f>
        <x:v>8</x:v>
      </x:c>
      <x:c r="R159" s="78" t="n">
        <x:f>Q159/9</x:f>
        <x:v>0.8888888888888888</x:v>
      </x:c>
    </x:row>
    <x:row r="160" ht="72" customHeight="1">
      <x:c r="A160" t="str">
        <x:v>public_0156</x:v>
      </x:c>
      <x:c r="B160" t="str">
        <x:v>B0C3KZXV4B</x:v>
      </x:c>
      <x:c r="C160" s="17" t="str">
        <x:v>adidas Alliance II Sackpack, Shadow Navy/Snowglobe/Dash Grey, One Size</x:v>
      </x:c>
      <x:c r="D160" s="17" t="str">
        <x:v>Clothing, Shoes &amp; Jewelry | Luggage &amp; Travel Gear | Gym Bags | Drawstring Bags</x:v>
      </x:c>
      <x:c r="E160" s="17" t="str">
        <x:v>Drawstring Bags</x:v>
      </x:c>
      <x:c r="F160" s="17" t="str">
        <x:v>Easy cinch opening with durable cording | Zippered valuables pocket to hold your phone and small stuff | Bold 3-stripe brand read | Model Number: 104148</x:v>
      </x:c>
      <x:c r="G160" s="17" t="str">
        <x:v>Package Dimensions: 14.96 x 12.32 x 1.93 inches | Item Weight: 9.9 ounces | Department: unisex-adult | Manufacturer: adidas | Country of Origin: Cambodia | Item model number: 104148 | Best Sellers Rank: [object Object] | Age Range Description: Adult | Number Of Items: 1 | Units: 1 Count</x:v>
      </x:c>
      <x:c r="H160" s="17" t="str">
        <x:v>As useful as it is classic - this is the iconic sackpack for athletes. Perfect for when you need a bit of extra storage for shoes or clothes or it can be worn alone as a backpack alternative. With two water bottle pockets and a zippered outside drop pocket - it has all the value you need.</x:v>
      </x:c>
      <x:c r="I160" s="76" t="n">
        <x:v>20</x:v>
      </x:c>
      <x:c r="J160" s="75" t="n">
        <x:v>4.7</x:v>
      </x:c>
      <x:c r="K160" s="77" t="n">
        <x:v>562</x:v>
      </x:c>
      <x:c r="L160" s="77" t="str">
        <x:v>adidas</x:v>
      </x:c>
      <x:c r="M160" s="77" t="n">
        <x:f>LEN(C160)</x:f>
        <x:v>70</x:v>
      </x:c>
      <x:c r="N160" s="77" t="n">
        <x:f>LEN(F160)</x:f>
        <x:v>152</x:v>
      </x:c>
      <x:c r="O160" s="77" t="n">
        <x:f>LEN(G160)</x:f>
        <x:v>287</x:v>
      </x:c>
      <x:c r="P160" s="77" t="n">
        <x:f>LEN(H160)</x:f>
        <x:v>289</x:v>
      </x:c>
      <x:c r="Q160" s="77" t="n">
        <x:f>IF(LEN(C160)&gt;0,1,0)+IF(LEN(D160)&gt;0,1,0)+IF(LEN(F160)&gt;0,1,0)+IF(LEN(G160)&gt;0,1,0)+IF(LEN(H160)&gt;0,1,0)+IF(ISNUMBER(I160),1,0)+IF(ISNUMBER(J160),1,0)+IF(ISNUMBER(K160),1,0)+IF(LEN(L160)&gt;0,1,0)</x:f>
        <x:v>9</x:v>
      </x:c>
      <x:c r="R160" s="78" t="n">
        <x:f>Q160/9</x:f>
        <x:v>1</x:v>
      </x:c>
    </x:row>
    <x:row r="161" ht="72" customHeight="1">
      <x:c r="A161" t="str">
        <x:v>public_0157</x:v>
      </x:c>
      <x:c r="B161" t="str">
        <x:v>B00BCHDM14</x:v>
      </x:c>
      <x:c r="C161" s="17" t="str">
        <x:v>Kamik Women's Momentum Snow Boot</x:v>
      </x:c>
      <x:c r="D161" s="17" t="str">
        <x:v>Clothing, Shoes &amp; Jewelry | Boot Shop | Women | Outdoor &amp; Work | Snow &amp; Cold Weather</x:v>
      </x:c>
      <x:c r="E161" s="17" t="str">
        <x:v>Snow &amp; Cold Weather</x:v>
      </x:c>
      <x:c r="F161" s="17" t="str">
        <x:v>Nylon | Rubber sole | Seam-sealed waterproof snow boot featuring plush faux-fur collar, quick bungee lacing, and grippy PEAK snow and ice traction sole | Removable footbed with anti-odor treatment | Moisture-wicking lining provides excellent breathability | Waterproof nylon upper with a faux fur collar and a waterproof gusset tongue</x:v>
      </x:c>
      <x:c r="G161" s="17" t="str">
        <x:v>Package Dimensions: 12 x 8 x 4 inches; 1.3 Pounds | Item model number: Momentum-W | Department: womens | Date First Available: September 20, 2013 | Manufacturer: Kamik</x:v>
      </x:c>
      <x:c r="H161" s="17" t="str">
        <x:v>A subtle print, faux fur lining, and embossed lacing graphics add femininity to this techy snow boot. | Kamik comes from a place of extremes. Where the harshest conditions intersect with some of the most beautiful sights you'll ever see. At Kamik, we make footwear that brings to life our northern origins. Singular. Strong. Simply dependable. We've been doing it for over 100 years. Day after day. 24/7. The result of all this effort: a complete line of outdoor footwear built to deliver superior comfort and reliable protection in the most extreme conditions. We know you wouldn't have it any other way.</x:v>
      </x:c>
      <x:c r="I161" s="76" t="n">
        <x:v>79.95</x:v>
      </x:c>
      <x:c r="J161" s="75" t="n">
        <x:v>4.4</x:v>
      </x:c>
      <x:c r="K161" s="77" t="n">
        <x:v>4601</x:v>
      </x:c>
      <x:c r="L161" s="77" t="str">
        <x:v>Kamik</x:v>
      </x:c>
      <x:c r="M161" s="77" t="n">
        <x:f>LEN(C161)</x:f>
        <x:v>32</x:v>
      </x:c>
      <x:c r="N161" s="77" t="n">
        <x:f>LEN(F161)</x:f>
        <x:v>334</x:v>
      </x:c>
      <x:c r="O161" s="77" t="n">
        <x:f>LEN(G161)</x:f>
        <x:v>167</x:v>
      </x:c>
      <x:c r="P161" s="77" t="n">
        <x:f>LEN(H161)</x:f>
        <x:v>605</x:v>
      </x:c>
      <x:c r="Q161" s="77" t="n">
        <x:f>IF(LEN(C161)&gt;0,1,0)+IF(LEN(D161)&gt;0,1,0)+IF(LEN(F161)&gt;0,1,0)+IF(LEN(G161)&gt;0,1,0)+IF(LEN(H161)&gt;0,1,0)+IF(ISNUMBER(I161),1,0)+IF(ISNUMBER(J161),1,0)+IF(ISNUMBER(K161),1,0)+IF(LEN(L161)&gt;0,1,0)</x:f>
        <x:v>9</x:v>
      </x:c>
      <x:c r="R161" s="78" t="n">
        <x:f>Q161/9</x:f>
        <x:v>1</x:v>
      </x:c>
    </x:row>
    <x:row r="162" ht="72" customHeight="1">
      <x:c r="A162" t="str">
        <x:v>public_0158</x:v>
      </x:c>
      <x:c r="B162" t="str">
        <x:v>B012ZM6RGQ</x:v>
      </x:c>
      <x:c r="C162" s="17" t="str">
        <x:v>CreepyParty Novelty Halloween Costume Party Animal Head Mask - King Lion</x:v>
      </x:c>
      <x:c r="D162" s="17" t="str">
        <x:v>Clothing, Shoes &amp; Jewelry | Costumes &amp; Accessories | Men | Masks</x:v>
      </x:c>
      <x:c r="E162" s="17" t="str">
        <x:v>Masks</x:v>
      </x:c>
      <x:c r="F162" s="17" t="str">
        <x:v>Roomy enough to fit any adult.You can see through the nostrils or the mouth. | Made from 100% natural latex, environmental friendly and non-toxic. We offer a range of quality choices with the best price. | Perfect for a fun meme, Halloween, Christmas, Easter, Carnival, Costume parties, tag party or simply for going to a night club. It is perfect for so many occasions. | CreepyParty is an amazon registered brand, more creepy and funny masks, please visit our store. | 100% Money Back Guarantee - if for any reason you are not entirely satisfied, you may return any item in its original condition for a full refund or exchange within 7 business days from delivery.</x:v>
      </x:c>
      <x:c r="G162" s="17" t="str">
        <x:v>Package Dimensions: 7.7 x 3.4 x 3.3 inches | Item Weight: 7.4 ounces | Item model number: STMask | Best Sellers Rank: [object Object] | Is Discontinued By Manufacturer: No | Department: unisex-adult | Manufacturer: Seaton</x:v>
      </x:c>
      <x:c r="H162" s="17" t="str"/>
      <x:c r="I162" s="76" t="n">
        <x:v>15.99</x:v>
      </x:c>
      <x:c r="J162" s="75" t="n">
        <x:v>3.7</x:v>
      </x:c>
      <x:c r="K162" s="77" t="n">
        <x:v>240</x:v>
      </x:c>
      <x:c r="L162" s="77" t="str">
        <x:v>CreepyParty</x:v>
      </x:c>
      <x:c r="M162" s="77" t="n">
        <x:f>LEN(C162)</x:f>
        <x:v>72</x:v>
      </x:c>
      <x:c r="N162" s="77" t="n">
        <x:f>LEN(F162)</x:f>
        <x:v>666</x:v>
      </x:c>
      <x:c r="O162" s="77" t="n">
        <x:f>LEN(G162)</x:f>
        <x:v>221</x:v>
      </x:c>
      <x:c r="P162" s="77" t="n">
        <x:f>LEN(H162)</x:f>
        <x:v>0</x:v>
      </x:c>
      <x:c r="Q162" s="77" t="n">
        <x:f>IF(LEN(C162)&gt;0,1,0)+IF(LEN(D162)&gt;0,1,0)+IF(LEN(F162)&gt;0,1,0)+IF(LEN(G162)&gt;0,1,0)+IF(LEN(H162)&gt;0,1,0)+IF(ISNUMBER(I162),1,0)+IF(ISNUMBER(J162),1,0)+IF(ISNUMBER(K162),1,0)+IF(LEN(L162)&gt;0,1,0)</x:f>
        <x:v>8</x:v>
      </x:c>
      <x:c r="R162" s="78" t="n">
        <x:f>Q162/9</x:f>
        <x:v>0.8888888888888888</x:v>
      </x:c>
    </x:row>
    <x:row r="163" ht="72" customHeight="1">
      <x:c r="A163" t="str">
        <x:v>public_0159</x:v>
      </x:c>
      <x:c r="B163" t="str">
        <x:v>B00UHLFR32</x:v>
      </x:c>
      <x:c r="C163" s="17" t="str">
        <x:v>Fruit of the Loom Men's Extended Sizes Jersey Knit Sleep Pant (1 &amp; 2 Packs)</x:v>
      </x:c>
      <x:c r="D163" s="17" t="str">
        <x:v>Clothing, Shoes &amp; Jewelry | Men | Clothing | Sleep &amp; Lounge | Sleep Bottoms</x:v>
      </x:c>
      <x:c r="E163" s="17" t="str">
        <x:v>Sleep Bottoms</x:v>
      </x:c>
      <x:c r="F163" s="17" t="str">
        <x:v>60% Cotton, 40% Polyester | Imported | Drawstring closure | Machine Wash | Pack of 1 | Easy care, machine washable | Relaxed sleep pant featuring elastic waistband with drawstring and front fly with single button | Two deep side-seam pockets | Soft-hand feel | Perfect for sleeping, lounging, or relaxing</x:v>
      </x:c>
      <x:c r="G163" s="17" t="str">
        <x:v>Package Dimensions: 1 x 1 x 1 inches; 1 Pounds | Item model number: 2457803FOL | Department: Mens | Date First Available: May 14, 2015 | Manufacturer: Fruit of the Loom Men's Sleepwear</x:v>
      </x:c>
      <x:c r="H163" s="17" t="str">
        <x:v>Fruit of the Loom printed knit lounge pants are your all-season, all-the-time chill-out pants - whether you're just relaxing around the house or trying to get a good night's sleep. The super soft, lightweight cotton knit fabric keeps you warm when you need it, but is cool enough for the spring and summer months, and has natural stretch so it moves with you, too. The elastic waistband has a comfortable drawstring cord, so you can tailor the fit to exactly where you need it. Two side seam pockets and a button thru fly complete the classic look. Machine washable; 100 percent cotton. Fruit of the Loom was born in 1851 when brothers benjamin and Robert knight bought their first mill and started producing cotton cloth and textiles in warwick, rhode island. As one of the world's oldest brands, Fruit of the Loom is synonymous with providing quality, value and style. Staying true to our roots and close to our heritage, our collections are authentic, timeless and unmistakably Fruit of the Loom.</x:v>
      </x:c>
      <x:c r="I163" s="76" t="n">
        <x:v>15.08</x:v>
      </x:c>
      <x:c r="J163" s="75" t="n">
        <x:v>4.5</x:v>
      </x:c>
      <x:c r="K163" s="77" t="n">
        <x:v>42451</x:v>
      </x:c>
      <x:c r="L163" s="77" t="str">
        <x:v>Fruit of the Loom</x:v>
      </x:c>
      <x:c r="M163" s="77" t="n">
        <x:f>LEN(C163)</x:f>
        <x:v>75</x:v>
      </x:c>
      <x:c r="N163" s="77" t="n">
        <x:f>LEN(F163)</x:f>
        <x:v>304</x:v>
      </x:c>
      <x:c r="O163" s="77" t="n">
        <x:f>LEN(G163)</x:f>
        <x:v>184</x:v>
      </x:c>
      <x:c r="P163" s="77" t="n">
        <x:f>LEN(H163)</x:f>
        <x:v>999</x:v>
      </x:c>
      <x:c r="Q163" s="77" t="n">
        <x:f>IF(LEN(C163)&gt;0,1,0)+IF(LEN(D163)&gt;0,1,0)+IF(LEN(F163)&gt;0,1,0)+IF(LEN(G163)&gt;0,1,0)+IF(LEN(H163)&gt;0,1,0)+IF(ISNUMBER(I163),1,0)+IF(ISNUMBER(J163),1,0)+IF(ISNUMBER(K163),1,0)+IF(LEN(L163)&gt;0,1,0)</x:f>
        <x:v>9</x:v>
      </x:c>
      <x:c r="R163" s="78" t="n">
        <x:f>Q163/9</x:f>
        <x:v>1</x:v>
      </x:c>
    </x:row>
    <x:row r="164" ht="72" customHeight="1">
      <x:c r="A164" t="str">
        <x:v>public_0160</x:v>
      </x:c>
      <x:c r="B164" t="str">
        <x:v>B01AAANF2Y</x:v>
      </x:c>
      <x:c r="C164" s="17" t="str">
        <x:v>Amazon Basics 4 Piece Packing Travel Organizer Cubes Set - Slim, Black</x:v>
      </x:c>
      <x:c r="D164" s="17" t="str">
        <x:v>Clothing, Shoes &amp; Jewelry | Luggage &amp; Travel Gear | Travel Accessories | Packing Organizers</x:v>
      </x:c>
      <x:c r="E164" s="17" t="str">
        <x:v>Packing Organizers</x:v>
      </x:c>
      <x:c r="F164" s="17" t="str">
        <x:v>Double zipper pulls make opening/closing simple and fast | Mesh top panel for easy identification of contents, and ventilation | Soft mesh won't damage delicate fabrics | Webbing handle for convenience when carried by itself | Slim cube dimensions: 14 x 5 x 2.8 inches | Made of high-quality fabric with finished interior seams to increase durability</x:v>
      </x:c>
      <x:c r="G164" s="17" t="str">
        <x:v>Brand: Amazon Basics | Material: Polyester | Color: Black | Product Dimensions: 14"L x 5"W x 2.8"H | Special Feature: Durability | Closure Type: Zipper | Shape: Cube | Size: Slim | Number of Sets: 4 | Item Weight: 0.65 Pounds | Manufacturer: Amazon Basics | Country of Origin: Indonesia | Item model number: ZH1509007 | Best Sellers Rank: [object Object] | Is Discontinued By Manufacturer: No</x:v>
      </x:c>
      <x:c r="H164" s="17" t="str">
        <x:v>Product Description | Amazon Basics 4 Piece Packing Travel Organizer Cubes Set - Slim, Black | From the Manufacturer | Amazon Basics</x:v>
      </x:c>
      <x:c r="I164" s="76" t="n">
        <x:v>25.05</x:v>
      </x:c>
      <x:c r="J164" s="75" t="n">
        <x:v>4.7</x:v>
      </x:c>
      <x:c r="K164" s="77" t="n">
        <x:v>33803</x:v>
      </x:c>
      <x:c r="L164" s="77" t="str">
        <x:v>Amazon Basics</x:v>
      </x:c>
      <x:c r="M164" s="77" t="n">
        <x:f>LEN(C164)</x:f>
        <x:v>70</x:v>
      </x:c>
      <x:c r="N164" s="77" t="n">
        <x:f>LEN(F164)</x:f>
        <x:v>350</x:v>
      </x:c>
      <x:c r="O164" s="77" t="n">
        <x:f>LEN(G164)</x:f>
        <x:v>392</x:v>
      </x:c>
      <x:c r="P164" s="77" t="n">
        <x:f>LEN(H164)</x:f>
        <x:v>132</x:v>
      </x:c>
      <x:c r="Q164" s="77" t="n">
        <x:f>IF(LEN(C164)&gt;0,1,0)+IF(LEN(D164)&gt;0,1,0)+IF(LEN(F164)&gt;0,1,0)+IF(LEN(G164)&gt;0,1,0)+IF(LEN(H164)&gt;0,1,0)+IF(ISNUMBER(I164),1,0)+IF(ISNUMBER(J164),1,0)+IF(ISNUMBER(K164),1,0)+IF(LEN(L164)&gt;0,1,0)</x:f>
        <x:v>9</x:v>
      </x:c>
      <x:c r="R164" s="78" t="n">
        <x:f>Q164/9</x:f>
        <x:v>1</x:v>
      </x:c>
    </x:row>
    <x:row r="165" ht="72" customHeight="1">
      <x:c r="A165" t="str">
        <x:v>public_0161</x:v>
      </x:c>
      <x:c r="B165" t="str">
        <x:v>B0B6N6TJ6V</x:v>
      </x:c>
      <x:c r="C165" s="17" t="str">
        <x:v>Thankful Grateful Blessed Shirt for Women Plaid Pumpkin Long Sleeve Tshirts Leopard Stripe Striped Thanksgiving Fall Tee Tops</x:v>
      </x:c>
      <x:c r="D165" s="17" t="str">
        <x:v>Clothing, Shoes &amp; Jewelry | Women | Clothing | Tops, Tees &amp; Blouses | T-Shirts</x:v>
      </x:c>
      <x:c r="E165" s="17" t="str">
        <x:v>T-Shirts</x:v>
      </x:c>
      <x:c r="F165" s="17" t="str">
        <x:v>cotton blend | Imported | Pull On closure | Dry Clean Only | Material: Cotton blend,lightweight and soft material - It's such a classic Look. | Features: Thankful grateful blessed print and cute plaid pumpkin graphic, leopard stripe color block fall long sleeve for women.Thanksgiving shirt for women. | Good match: Casual daily shirt,basic tshirt to wear this shirt very suitable for fall and winter, good match for jeans,dress,gift for mother/sister/grandmother/friend/girlfriend | Occasion :This Thanksgiving shirt is great as Thanksgiving party,Christmas,Thanksgiving Day gift ,and so on. | Note:Washed recommend.Machine wash cold water, do not dry clean, dry flat, Not bleach.Please check the measurement chart carefully before you buy the item.</x:v>
      </x:c>
      <x:c r="G165" s="17" t="str">
        <x:v>Product Dimensions: 0.79 x 0.79 x 0.39 inches | Department: Womens | Date First Available: July 15, 2022</x:v>
      </x:c>
      <x:c r="H165" s="17" t="str"/>
      <x:c r="I165" s="76" t="n">
        <x:v>18.99</x:v>
      </x:c>
      <x:c r="J165" s="75" t="n">
        <x:v>4.6</x:v>
      </x:c>
      <x:c r="K165" s="77" t="n">
        <x:v>202</x:v>
      </x:c>
      <x:c r="L165" s="77" t="str">
        <x:v>FAYALEQ</x:v>
      </x:c>
      <x:c r="M165" s="77" t="n">
        <x:f>LEN(C165)</x:f>
        <x:v>125</x:v>
      </x:c>
      <x:c r="N165" s="77" t="n">
        <x:f>LEN(F165)</x:f>
        <x:v>750</x:v>
      </x:c>
      <x:c r="O165" s="77" t="n">
        <x:f>LEN(G165)</x:f>
        <x:v>104</x:v>
      </x:c>
      <x:c r="P165" s="77" t="n">
        <x:f>LEN(H165)</x:f>
        <x:v>0</x:v>
      </x:c>
      <x:c r="Q165" s="77" t="n">
        <x:f>IF(LEN(C165)&gt;0,1,0)+IF(LEN(D165)&gt;0,1,0)+IF(LEN(F165)&gt;0,1,0)+IF(LEN(G165)&gt;0,1,0)+IF(LEN(H165)&gt;0,1,0)+IF(ISNUMBER(I165),1,0)+IF(ISNUMBER(J165),1,0)+IF(ISNUMBER(K165),1,0)+IF(LEN(L165)&gt;0,1,0)</x:f>
        <x:v>8</x:v>
      </x:c>
      <x:c r="R165" s="78" t="n">
        <x:f>Q165/9</x:f>
        <x:v>0.8888888888888888</x:v>
      </x:c>
    </x:row>
    <x:row r="166" ht="72" customHeight="1">
      <x:c r="A166" t="str">
        <x:v>public_0162</x:v>
      </x:c>
      <x:c r="B166" t="str">
        <x:v>B0B71JNMQY</x:v>
      </x:c>
      <x:c r="C166" s="17" t="str">
        <x:v>Satin Silk Slip Maxi Dress for Wedding Guest Women- Cowl Neck Pleated Bust Split Wedding Guest Cocktail Midi Dresses</x:v>
      </x:c>
      <x:c r="D166" s="17" t="str">
        <x:v>Clothing, Shoes &amp; Jewelry | Women | Clothing | Dresses</x:v>
      </x:c>
      <x:c r="E166" s="17" t="str">
        <x:v>Dresses</x:v>
      </x:c>
      <x:c r="F166" s="17" t="str">
        <x:v>Satin | Imported | Zipper closure | Dry Clean Only | GOOD QUALITY MATERIAL: Maxi dresses for women summer are made of chiffon rayon, lightweight,silky soft and breathable, cool fabric is very suitable for summer, let you wear it no longer feel muggy, eco friendly luscious fabric,no strong odor after unboxing and not too wrinkly,This womens summer dresses are absolutely adorable! | DESIGN &amp; CUT: Dresses for wedding guest,flattering cut,we’re bringing tie-dye back in a big way and featuring it throughout this lush slip-style, elegant trumpet silhouette, It also features a flattering cowl neckline and a cheeky thigh vent for that touch of flirtiness you’ve been dying for! | NOT TRANSPARENT: Mint print midi dress is beautiful,Fabric seems thin but isn't see through,because have heavy lined, bra and uderwear will not show through at all | IMPORTANCE: Please refer the size table given in the left picture to choose the perfect size for you. Please consider 1cm-3cm variations from the given chart all the measurements are taken manually,temperature for machine washing, and hang to dry clean your maxi split dress | OCCASSION: This cocktail dress is great for any season vacation, outdoor,wedding,honeymoon, anniversary,casual,office, beach, date, party, daily wear,wear it attend a wedding party, a good selection go to a beach for a party,you will get tons of compliments</x:v>
      </x:c>
      <x:c r="G166" s="17" t="str">
        <x:v>Is Discontinued By Manufacturer: Yes | Department: Womens | Date First Available: July 13, 2021 | Manufacturer: Fiemaoves</x:v>
      </x:c>
      <x:c r="H166" s="17" t="str"/>
      <x:c r="I166" s="76" t="n">
        <x:v>40.99</x:v>
      </x:c>
      <x:c r="J166" s="75" t="n">
        <x:v>3.5</x:v>
      </x:c>
      <x:c r="K166" s="77" t="n">
        <x:v>717</x:v>
      </x:c>
      <x:c r="L166" s="77" t="str">
        <x:v>Fiemaoves</x:v>
      </x:c>
      <x:c r="M166" s="77" t="n">
        <x:f>LEN(C166)</x:f>
        <x:v>116</x:v>
      </x:c>
      <x:c r="N166" s="77" t="n">
        <x:f>LEN(F166)</x:f>
        <x:v>1380</x:v>
      </x:c>
      <x:c r="O166" s="77" t="n">
        <x:f>LEN(G166)</x:f>
        <x:v>121</x:v>
      </x:c>
      <x:c r="P166" s="77" t="n">
        <x:f>LEN(H166)</x:f>
        <x:v>0</x:v>
      </x:c>
      <x:c r="Q166" s="77" t="n">
        <x:f>IF(LEN(C166)&gt;0,1,0)+IF(LEN(D166)&gt;0,1,0)+IF(LEN(F166)&gt;0,1,0)+IF(LEN(G166)&gt;0,1,0)+IF(LEN(H166)&gt;0,1,0)+IF(ISNUMBER(I166),1,0)+IF(ISNUMBER(J166),1,0)+IF(ISNUMBER(K166),1,0)+IF(LEN(L166)&gt;0,1,0)</x:f>
        <x:v>8</x:v>
      </x:c>
      <x:c r="R166" s="78" t="n">
        <x:f>Q166/9</x:f>
        <x:v>0.8888888888888888</x:v>
      </x:c>
    </x:row>
    <x:row r="167" ht="72" customHeight="1">
      <x:c r="A167" t="str">
        <x:v>public_0163</x:v>
      </x:c>
      <x:c r="B167" t="str">
        <x:v>B0834T68X3</x:v>
      </x:c>
      <x:c r="C167" s="17" t="str">
        <x:v>DOUSSPRT Womens Walking Shoes Slip on Sock Sneakers Lady Girls Nurse Mesh Air Cushion Platform Loafers Fashion Casual</x:v>
      </x:c>
      <x:c r="D167" s="17" t="str">
        <x:v>Clothing, Shoes &amp; Jewelry | Women | Shoes | Athletic | Walking</x:v>
      </x:c>
      <x:c r="E167" s="17" t="str">
        <x:v>Walking</x:v>
      </x:c>
      <x:c r="F167" s="17" t="str">
        <x:v>Rubber sole | 1.Mesh Fabric + Air Cushion sole. | 2.Slip-on Design: Slip on design with Elastic Cuff is convenient for user to put on and take off. | 3.The soft sole is made from durable and MD outsole with air cushion, which provides the user with the enough buffer between feet and ground. | 4.Arch design : Perforated arch for ventilation and breathability.Classic air cushion design makes these shoes are perfect work shoes for those who needs to stand or walk for long time. | 5.OCCASION: work,walking,casual,floor shoes,plantar ,long standing,fasciitis,nursing,fishing,gardening,shopping,travel,driving,jazz,tap dance,street jazz,ballet,folk dance,zumba,athletic.</x:v>
      </x:c>
      <x:c r="G167" s="17" t="str">
        <x:v>Department: womens | Date First Available: December 26, 2019 | Manufacturer: DOUSSPRT</x:v>
      </x:c>
      <x:c r="H167" s="17" t="str"/>
      <x:c r="I167" s="76" t="n">
        <x:v>28.89</x:v>
      </x:c>
      <x:c r="J167" s="75" t="n">
        <x:v>4.3</x:v>
      </x:c>
      <x:c r="K167" s="77" t="n">
        <x:v>36681</x:v>
      </x:c>
      <x:c r="L167" s="77" t="str">
        <x:v>DOUSSPRT</x:v>
      </x:c>
      <x:c r="M167" s="77" t="n">
        <x:f>LEN(C167)</x:f>
        <x:v>117</x:v>
      </x:c>
      <x:c r="N167" s="77" t="n">
        <x:f>LEN(F167)</x:f>
        <x:v>669</x:v>
      </x:c>
      <x:c r="O167" s="77" t="n">
        <x:f>LEN(G167)</x:f>
        <x:v>85</x:v>
      </x:c>
      <x:c r="P167" s="77" t="n">
        <x:f>LEN(H167)</x:f>
        <x:v>0</x:v>
      </x:c>
      <x:c r="Q167" s="77" t="n">
        <x:f>IF(LEN(C167)&gt;0,1,0)+IF(LEN(D167)&gt;0,1,0)+IF(LEN(F167)&gt;0,1,0)+IF(LEN(G167)&gt;0,1,0)+IF(LEN(H167)&gt;0,1,0)+IF(ISNUMBER(I167),1,0)+IF(ISNUMBER(J167),1,0)+IF(ISNUMBER(K167),1,0)+IF(LEN(L167)&gt;0,1,0)</x:f>
        <x:v>8</x:v>
      </x:c>
      <x:c r="R167" s="78" t="n">
        <x:f>Q167/9</x:f>
        <x:v>0.8888888888888888</x:v>
      </x:c>
    </x:row>
    <x:row r="168" ht="72" customHeight="1">
      <x:c r="A168" t="str">
        <x:v>public_0164</x:v>
      </x:c>
      <x:c r="B168" t="str">
        <x:v>B0C61FG7GL</x:v>
      </x:c>
      <x:c r="C168" s="17" t="str">
        <x:v>BARTON Elite Silicone Watch Bands - Quick Release - Choose Strap Color &amp; Buckle Color (Stainless Steel, Black PVD or Gunmetal Grey) - (ODD SIZE LUG WIDTHS ONLY 19mm, 21mm, 23mm - MOST WATCHES HAVE EVEN SIZED LUG WIDTHS, PLEASE MEASURE CAREFULLY)</x:v>
      </x:c>
      <x:c r="D168" s="17" t="str">
        <x:v>Clothing, Shoes &amp; Jewelry | Women | Watches | Watch Bands</x:v>
      </x:c>
      <x:c r="E168" s="17" t="str">
        <x:v>Watch Bands</x:v>
      </x:c>
      <x:c r="F168" s="17" t="str">
        <x:v>Buckle closure | SWAP IN SECONDS: Quick release spring bars allow you to swap bands in seconds to compliment your wardrobe or mix and match with BARTON's other Leather, Canvas and Silicone quick release watch bands to take your timepiece from the gym to the workplace. Simply slide quick release knob with finger as shown in diagram. | SELECT PROPER WIDTH: Compatible with any traditional or smart watch that uses 18mm, 19mm, 20mm, 21mm, 22mm, 23mm or 24mm spring bars. Measure watch lug where band and spring bar meet the watch casing. It is important that your watch's lug width is the exact width of the band you select or spring bars will not fit correctly. You can also find the specifications for most watches by searching online. | TWO LENGTHS INCLUDED: Each band comes standard with different two lengths of the ‘long side’ of the strap (the side with the holes), assuring a perfect fit for nearly any wrist. Fits wrists 5" to 8" in circumference, but watch geometry may also impact fit. | LOCKING FEATURE and OTHER ATTRIBUTES: BARTON’s proprietary locking feature assures that the free end of the strap stays securely in place. Quick release spring bars, durable silicone, solid tang 316L stainless steel buckle, scent free and dust free, 2mm taper from watch head to buckle. | SMART WATCH WIDTHS: 'Product Description' section on this page lists proper widths for Asus Zenwatch &amp; Zenwatch 2; Q, Q Tailor, Q Gazer; Huawei Watch, Watch 2 &amp; Watch 2 Classic; Moto360 Gen2 42mm Men's &amp; Women's &amp; Moto360 Gen2 46mm; LG Watch, Urbane G, Urbane R &amp; Watch Style; Pebble, Pebble 2, Pebble Round Large &amp; most other Pebbles; Gear S2 Classic, S3 Classic, S3 Frontier, Gear Sport; Ticwatch 2 &amp; E;</x:v>
      </x:c>
      <x:c r="G168" s="17" t="str">
        <x:v>Date First Available: May 23, 2023</x:v>
      </x:c>
      <x:c r="H168" s="17" t="str">
        <x:v>BARTON Elite Silicone Watch Bands - Quick Release - Choose Strap Color &amp; Buckle Color (Stainless Steel, Black PVD or Gunmetal Grey) - (ODD SIZE LUG WIDTHS ONLY 19mm, 21mm, 23mm - MOST WATCHES HAVE EVEN SIZED LUG WIDTHS, PLEASE MEASURE CAREFULLY)</x:v>
      </x:c>
      <x:c r="I168" s="76" t="n">
        <x:v>23.99</x:v>
      </x:c>
      <x:c r="J168" s="75" t="n">
        <x:v>3.6</x:v>
      </x:c>
      <x:c r="K168" s="77" t="n">
        <x:v>23</x:v>
      </x:c>
      <x:c r="L168" s="77" t="str">
        <x:v>BARTON WATCH BANDS</x:v>
      </x:c>
      <x:c r="M168" s="77" t="n">
        <x:f>LEN(C168)</x:f>
        <x:v>245</x:v>
      </x:c>
      <x:c r="N168" s="77" t="n">
        <x:f>LEN(F168)</x:f>
        <x:v>1692</x:v>
      </x:c>
      <x:c r="O168" s="77" t="n">
        <x:f>LEN(G168)</x:f>
        <x:v>34</x:v>
      </x:c>
      <x:c r="P168" s="77" t="n">
        <x:f>LEN(H168)</x:f>
        <x:v>245</x:v>
      </x:c>
      <x:c r="Q168" s="77" t="n">
        <x:f>IF(LEN(C168)&gt;0,1,0)+IF(LEN(D168)&gt;0,1,0)+IF(LEN(F168)&gt;0,1,0)+IF(LEN(G168)&gt;0,1,0)+IF(LEN(H168)&gt;0,1,0)+IF(ISNUMBER(I168),1,0)+IF(ISNUMBER(J168),1,0)+IF(ISNUMBER(K168),1,0)+IF(LEN(L168)&gt;0,1,0)</x:f>
        <x:v>9</x:v>
      </x:c>
      <x:c r="R168" s="78" t="n">
        <x:f>Q168/9</x:f>
        <x:v>1</x:v>
      </x:c>
    </x:row>
    <x:row r="169" ht="72" customHeight="1">
      <x:c r="A169" t="str">
        <x:v>public_0165</x:v>
      </x:c>
      <x:c r="B169" t="str">
        <x:v>B09XHSLX4X</x:v>
      </x:c>
      <x:c r="C169" s="17" t="str">
        <x:v>WOCCI Leather Watch Band, Vintage Replacement Strap, Stainless Steel Buckle, Choice of Width 14mm 16mm 18mm 19mm 20mm 21mm 22mm 23mm 24mm</x:v>
      </x:c>
      <x:c r="D169" s="17" t="str">
        <x:v>Clothing, Shoes &amp; Jewelry | Women | Watches | Watch Bands</x:v>
      </x:c>
      <x:c r="E169" s="17" t="str">
        <x:v>Watch Bands</x:v>
      </x:c>
      <x:c r="F169" s="17" t="str">
        <x:v>Watch Band Material: Made of good quality crazy-horse leather, they are durable that they may take some breaking in when you first start get them. But once you start wearing them, the straps will start to take on the shape of the curve of your wrist and become incredibly comfortable. | Vintage Design: Equipped with classic buckle, neat stitching and proper padding, creating a simple yet charming look, adding a retro vibe to any occasion. Please avoid soaking the leather strap in water repeatedly, it is not recommended to wear it to shower or swim. | Available Size (Band Width): 14mm, 16mm, 18mm, 19mm, 20mm, 21mm, 22mm, 23mm, 24mm. Designed to fit most traditional watches and smart watches. In order to get a suitable strap, please measure inner distance between two horns on your watch. | 16mm Strap Length: 115mm+75mm. The available wrist length for men and women is 6.1-7.7 inch (155mm-197mm). But the dial can also affect the fit. | Packjng List: Genuine Leather Watch Strap x 1, Replacement Tool x 1, Spring Bars x 4. If there are any problems, please feel free to contact us, we will reply you within 24h.</x:v>
      </x:c>
      <x:c r="G169" s="17" t="str">
        <x:v>Is Discontinued By Manufacturer: No | Package Dimensions: 5.91 x 1.97 x 0.2 inches; 0.71 Ounces | Item model number: FM18-20-22ZK1 | Department: mens | Date First Available: April 24, 2018 | Manufacturer: Wocci Watch Bands</x:v>
      </x:c>
      <x:c r="H169" s="17" t="str"/>
      <x:c r="I169" s="76" t="n">
        <x:v>13.99</x:v>
      </x:c>
      <x:c r="J169" s="75" t="n">
        <x:v>4.5</x:v>
      </x:c>
      <x:c r="K169" s="77" t="n">
        <x:v>4262</x:v>
      </x:c>
      <x:c r="L169" s="77" t="str">
        <x:v>WOCCI</x:v>
      </x:c>
      <x:c r="M169" s="77" t="n">
        <x:f>LEN(C169)</x:f>
        <x:v>137</x:v>
      </x:c>
      <x:c r="N169" s="77" t="n">
        <x:f>LEN(F169)</x:f>
        <x:v>1119</x:v>
      </x:c>
      <x:c r="O169" s="77" t="n">
        <x:f>LEN(G169)</x:f>
        <x:v>222</x:v>
      </x:c>
      <x:c r="P169" s="77" t="n">
        <x:f>LEN(H169)</x:f>
        <x:v>0</x:v>
      </x:c>
      <x:c r="Q169" s="77" t="n">
        <x:f>IF(LEN(C169)&gt;0,1,0)+IF(LEN(D169)&gt;0,1,0)+IF(LEN(F169)&gt;0,1,0)+IF(LEN(G169)&gt;0,1,0)+IF(LEN(H169)&gt;0,1,0)+IF(ISNUMBER(I169),1,0)+IF(ISNUMBER(J169),1,0)+IF(ISNUMBER(K169),1,0)+IF(LEN(L169)&gt;0,1,0)</x:f>
        <x:v>8</x:v>
      </x:c>
      <x:c r="R169" s="78" t="n">
        <x:f>Q169/9</x:f>
        <x:v>0.8888888888888888</x:v>
      </x:c>
    </x:row>
    <x:row r="170" ht="72" customHeight="1">
      <x:c r="A170" t="str">
        <x:v>public_0166</x:v>
      </x:c>
      <x:c r="B170" t="str">
        <x:v>B00IHW88W0</x:v>
      </x:c>
      <x:c r="C170" s="17" t="str">
        <x:v>Muck Boots Hale Multi-Season Women's Rubber Boot</x:v>
      </x:c>
      <x:c r="D170" s="17" t="str">
        <x:v>Clothing, Shoes &amp; Jewelry | Men | Shoes | Boots | Rain</x:v>
      </x:c>
      <x:c r="E170" s="17" t="str">
        <x:v>Rain</x:v>
      </x:c>
      <x:c r="F170" s="17" t="str">
        <x:v>100% waterproof women's boots are suitable for any season and any outdoor activity | Lightweight and breathable mesh lining keeps feet well ventilated for long-wearing dryness; comfort rated from subfreezing to 65 °F/18 °C | Women's-specific last is designed to match the contours of women's feet | Self-cleaning ribbed outsole offers added stability on slick surfaces; easy on-off style with pull-on tab</x:v>
      </x:c>
      <x:c r="G170" s="17" t="str">
        <x:v>Item Package Dimensions L x W x H: 19.25 x 13.7 x 4.75 inches | Package Weight: 1.66 Kilograms | Item Dimensions  LxWxH: 13.8 x 5.2 x 19.4 inches | Item Weight: 1.6 Pounds | Brand Name: Muck Boot | Country of Origin: China | Warranty Description: Warranty | Model Name: Hawmsmgw6 | Color: Black/Muddy Girl Camo | Material: Plastic | Suggested Users: mens | Manufacturer: Muck | Part Number: 6705218-37 | Model Year: 2016 | Style: Hale | Included Components: Manufactuered Brand Product | Outer Material: Other | Size: 6 | Best Sellers Rank: [object Object] | Date First Available: June 3, 2016</x:v>
      </x:c>
      <x:c r="H170" s="17" t="str">
        <x:v>Product Description | Great looks and reliable protection make Muck Hale Multi-Season Women's Rubber Boots a fashionable and functional choice for any season. These 100% waterproof women's boots feature a lightweight 4 mm neoprene bootie for extra comfort and flexibility. Built on a women’s last, these outdoor boots are designed to cater specifically to the contours of the female foot. On the inside, the mesh lining keeps active feet cool and dry all day long. A pull tab makes for easy on-off, and the self-cleaning outsole is ribbed to provide added stability in outdoor conditions. A comfort rating from subfreezing to 65 °F (18 °C) makes these versatile women’s rubber boots a smart year-round choice. | From the Manufacturer | The story began in 1999 with the sole purpose of building the most comfortable, high performance footwear on the market. The need for a more comfortable boot for use in messy and tough conditions led to the design of The Original Muck Boot Company brand footwear. Every boot in the line is expected to deliver the same 100% waterproof quality and comfort that inspired the original footwear. In just a few years, the line has grown to more than 20 styles, all designed to tackle tough conditions in agriculture, lawn and garden, outdoor sporting, equine, and pet care. Today, the Muck Boot brand defines a standard of comfort and quality that goes beyond the expectations of customers around the country.</x:v>
      </x:c>
      <x:c r="I170" s="76" t="str"/>
      <x:c r="J170" s="75" t="n">
        <x:v>4.7</x:v>
      </x:c>
      <x:c r="K170" s="77" t="n">
        <x:v>90</x:v>
      </x:c>
      <x:c r="L170" s="77" t="str">
        <x:v>Muck Boot</x:v>
      </x:c>
      <x:c r="M170" s="77" t="n">
        <x:f>LEN(C170)</x:f>
        <x:v>48</x:v>
      </x:c>
      <x:c r="N170" s="77" t="n">
        <x:f>LEN(F170)</x:f>
        <x:v>404</x:v>
      </x:c>
      <x:c r="O170" s="77" t="n">
        <x:f>LEN(G170)</x:f>
        <x:v>593</x:v>
      </x:c>
      <x:c r="P170" s="77" t="n">
        <x:f>LEN(H170)</x:f>
        <x:v>1440</x:v>
      </x:c>
      <x:c r="Q170" s="77" t="n">
        <x:f>IF(LEN(C170)&gt;0,1,0)+IF(LEN(D170)&gt;0,1,0)+IF(LEN(F170)&gt;0,1,0)+IF(LEN(G170)&gt;0,1,0)+IF(LEN(H170)&gt;0,1,0)+IF(ISNUMBER(I170),1,0)+IF(ISNUMBER(J170),1,0)+IF(ISNUMBER(K170),1,0)+IF(LEN(L170)&gt;0,1,0)</x:f>
        <x:v>8</x:v>
      </x:c>
      <x:c r="R170" s="78" t="n">
        <x:f>Q170/9</x:f>
        <x:v>0.8888888888888888</x:v>
      </x:c>
    </x:row>
    <x:row r="171" ht="72" customHeight="1">
      <x:c r="A171" t="str">
        <x:v>public_0167</x:v>
      </x:c>
      <x:c r="B171" t="str">
        <x:v>B07357B79L</x:v>
      </x:c>
      <x:c r="C171" s="17" t="str">
        <x:v>Champion Women's Absolute Sports Bra with SmoothTec Band, Graphic</x:v>
      </x:c>
      <x:c r="D171" s="17" t="str">
        <x:v>Clothing, Shoes &amp; Jewelry | Women | Clothing | Lingerie, Sleep &amp; Lounge | Lingerie | Bras | Sports Bras</x:v>
      </x:c>
      <x:c r="E171" s="17" t="str">
        <x:v>Sports Bras</x:v>
      </x:c>
      <x:c r="F171" s="17" t="str">
        <x:v>Imported | Pull-On closure | Machine Wash | Wicking for moisture management | Minimal seams for maximum comfort | T-back design for ease of movement | Compression fit | Built for cycling, running, and gym workouts; Moderate Impact activities</x:v>
      </x:c>
      <x:c r="G171" s="17" t="str">
        <x:v>Item model number: B9504G | Department: womens | Date First Available: April 20, 2016 | Manufacturer: Champion Women's Activewear</x:v>
      </x:c>
      <x:c r="H171" s="17" t="str">
        <x:v>The Champion Absolute Workout Sports Bra has a patented SmoothTec band for the ultimate in chafe resistance and comfort. A must have for any gym bag.</x:v>
      </x:c>
      <x:c r="I171" s="76" t="n">
        <x:v>28</x:v>
      </x:c>
      <x:c r="J171" s="75" t="n">
        <x:v>4.1</x:v>
      </x:c>
      <x:c r="K171" s="77" t="n">
        <x:v>552</x:v>
      </x:c>
      <x:c r="L171" s="77" t="str">
        <x:v>Champion</x:v>
      </x:c>
      <x:c r="M171" s="77" t="n">
        <x:f>LEN(C171)</x:f>
        <x:v>65</x:v>
      </x:c>
      <x:c r="N171" s="77" t="n">
        <x:f>LEN(F171)</x:f>
        <x:v>241</x:v>
      </x:c>
      <x:c r="O171" s="77" t="n">
        <x:f>LEN(G171)</x:f>
        <x:v>129</x:v>
      </x:c>
      <x:c r="P171" s="77" t="n">
        <x:f>LEN(H171)</x:f>
        <x:v>149</x:v>
      </x:c>
      <x:c r="Q171" s="77" t="n">
        <x:f>IF(LEN(C171)&gt;0,1,0)+IF(LEN(D171)&gt;0,1,0)+IF(LEN(F171)&gt;0,1,0)+IF(LEN(G171)&gt;0,1,0)+IF(LEN(H171)&gt;0,1,0)+IF(ISNUMBER(I171),1,0)+IF(ISNUMBER(J171),1,0)+IF(ISNUMBER(K171),1,0)+IF(LEN(L171)&gt;0,1,0)</x:f>
        <x:v>9</x:v>
      </x:c>
      <x:c r="R171" s="78" t="n">
        <x:f>Q171/9</x:f>
        <x:v>1</x:v>
      </x:c>
    </x:row>
    <x:row r="172" ht="72" customHeight="1">
      <x:c r="A172" t="str">
        <x:v>public_0168</x:v>
      </x:c>
      <x:c r="B172" t="str">
        <x:v>B08YYHDJD1</x:v>
      </x:c>
      <x:c r="C172" s="17" t="str">
        <x:v>Desimtion Mothers Day Gifts,Mother Daughter Bracelets Set for 2,3,4,5,6.Matching Heart Back to School Bracelets for Mommy and Me Easter Gifts for Girl</x:v>
      </x:c>
      <x:c r="D172" s="17" t="str">
        <x:v>Clothing, Shoes &amp; Jewelry | Girls | Jewelry | Necklaces &amp; Pendants | Pendants</x:v>
      </x:c>
      <x:c r="E172" s="17" t="str">
        <x:v>Pendants</x:v>
      </x:c>
      <x:c r="F172" s="17" t="str">
        <x:v>Mother Daughter Bracelets - Heart bracelet on card meaning “Never Truly Part,Maybe in Distance,But Never in Heart”. All daughters love their mom, but sometimes we just forget to say it . this bracelets as a sweet and meaningful gift to express the love between each other. | Size &amp; High Quality -The heart Bracelets are adjustable, don’t worried about size.The Bracelet is made of stainless steel, strong, corrosion-resistant, and will not change color after long-term wear. | Daughter Gifts from Mom - This mother bracelet suitable Christmas Day, Mothers Day, Birthday, Thanksgiving, as a gift for mom, daughter, stepdaughter,daughter in law or for yourself to express your good wish. | Classical Design - Our product comes with a beautiful box, it is packed with 4 message cards and 4 bracelets, the bracelet uses a heart-to-heart design, it is meaningful &amp; practical, As a little surprise in life, let her know how important she is. | Worry-free refund: If you have any problems with the bracelet, we will solve it for you within 24 hours.</x:v>
      </x:c>
      <x:c r="G172" s="17" t="str">
        <x:v>Material: Stainless Steel | Brand: Desimtion | Style: 4-Heart | Age Range (Description): Adult | Size: Adjustable | Department: Girls | Date First Available: March 15, 2021 | Manufacturer: DESIMTION</x:v>
      </x:c>
      <x:c r="H172" s="17" t="str"/>
      <x:c r="I172" s="76" t="n">
        <x:v>13.99</x:v>
      </x:c>
      <x:c r="J172" s="75" t="n">
        <x:v>4.4</x:v>
      </x:c>
      <x:c r="K172" s="77" t="n">
        <x:v>846</x:v>
      </x:c>
      <x:c r="L172" s="77" t="str">
        <x:v>Desimtion</x:v>
      </x:c>
      <x:c r="M172" s="77" t="n">
        <x:f>LEN(C172)</x:f>
        <x:v>150</x:v>
      </x:c>
      <x:c r="N172" s="77" t="n">
        <x:f>LEN(F172)</x:f>
        <x:v>1042</x:v>
      </x:c>
      <x:c r="O172" s="77" t="n">
        <x:f>LEN(G172)</x:f>
        <x:v>198</x:v>
      </x:c>
      <x:c r="P172" s="77" t="n">
        <x:f>LEN(H172)</x:f>
        <x:v>0</x:v>
      </x:c>
      <x:c r="Q172" s="77" t="n">
        <x:f>IF(LEN(C172)&gt;0,1,0)+IF(LEN(D172)&gt;0,1,0)+IF(LEN(F172)&gt;0,1,0)+IF(LEN(G172)&gt;0,1,0)+IF(LEN(H172)&gt;0,1,0)+IF(ISNUMBER(I172),1,0)+IF(ISNUMBER(J172),1,0)+IF(ISNUMBER(K172),1,0)+IF(LEN(L172)&gt;0,1,0)</x:f>
        <x:v>8</x:v>
      </x:c>
      <x:c r="R172" s="78" t="n">
        <x:f>Q172/9</x:f>
        <x:v>0.8888888888888888</x:v>
      </x:c>
    </x:row>
    <x:row r="173" ht="72" customHeight="1">
      <x:c r="A173" t="str">
        <x:v>public_0169</x:v>
      </x:c>
      <x:c r="B173" t="str">
        <x:v>B0829R9M5G</x:v>
      </x:c>
      <x:c r="C173" s="17" t="str">
        <x:v>Amazon Essentials Women's Pull-On Knit Jegging (Available in Plus Size)</x:v>
      </x:c>
      <x:c r="D173" s="17" t="str">
        <x:v>Clothing, Shoes &amp; Jewelry | Women | Clothing | Jeans</x:v>
      </x:c>
      <x:c r="E173" s="17" t="str">
        <x:v>Jeans</x:v>
      </x:c>
      <x:c r="F173" s="17" t="str">
        <x:v>57% Cotton, 26% Polyester, 10% Other Fibers, 7% Elastane | Imported | Pull On closure | Machine Wash | Snug fit through hip, thigh, and leg | Smooth, snug, and comfortable stretch knit fabric with the perfect amount of give | Tummy smoothing panel secretly and comfortably shapes | Inseams: Short - 26", Regular - 28", Long - 30" | An Amazon brand</x:v>
      </x:c>
      <x:c r="G173" s="17" t="str">
        <x:v>Package Dimensions: 1 x 1 x 1 inches; 8 Ounces | Item model number: WAE60048FL18 | Department: Womens | Date First Available: September 27, 2020 | Manufacturer: Amazon Essentials</x:v>
      </x:c>
      <x:c r="H173" s="17" t="str">
        <x:v>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x:v>
      </x:c>
      <x:c r="I173" s="76" t="n">
        <x:v>25.6</x:v>
      </x:c>
      <x:c r="J173" s="75" t="n">
        <x:v>4.3</x:v>
      </x:c>
      <x:c r="K173" s="77" t="n">
        <x:v>11994</x:v>
      </x:c>
      <x:c r="L173" s="77" t="str">
        <x:v>Amazon Essentials</x:v>
      </x:c>
      <x:c r="M173" s="77" t="n">
        <x:f>LEN(C173)</x:f>
        <x:v>71</x:v>
      </x:c>
      <x:c r="N173" s="77" t="n">
        <x:f>LEN(F173)</x:f>
        <x:v>347</x:v>
      </x:c>
      <x:c r="O173" s="77" t="n">
        <x:f>LEN(G173)</x:f>
        <x:v>178</x:v>
      </x:c>
      <x:c r="P173" s="77" t="n">
        <x:f>LEN(H173)</x:f>
        <x:v>389</x:v>
      </x:c>
      <x:c r="Q173" s="77" t="n">
        <x:f>IF(LEN(C173)&gt;0,1,0)+IF(LEN(D173)&gt;0,1,0)+IF(LEN(F173)&gt;0,1,0)+IF(LEN(G173)&gt;0,1,0)+IF(LEN(H173)&gt;0,1,0)+IF(ISNUMBER(I173),1,0)+IF(ISNUMBER(J173),1,0)+IF(ISNUMBER(K173),1,0)+IF(LEN(L173)&gt;0,1,0)</x:f>
        <x:v>9</x:v>
      </x:c>
      <x:c r="R173" s="78" t="n">
        <x:f>Q173/9</x:f>
        <x:v>1</x:v>
      </x:c>
    </x:row>
    <x:row r="174" ht="72" customHeight="1">
      <x:c r="A174" t="str">
        <x:v>public_0170</x:v>
      </x:c>
      <x:c r="B174" t="str">
        <x:v>B08LRQX5RH</x:v>
      </x:c>
      <x:c r="C174" s="17" t="str">
        <x:v>UGG Women's Harrison Lace Fashion Boot</x:v>
      </x:c>
      <x:c r="D174" s="17" t="str">
        <x:v>Clothing, Shoes &amp; Jewelry | Boot Shop | Women | Fashion | Combat</x:v>
      </x:c>
      <x:c r="E174" s="17" t="str">
        <x:v>Combat</x:v>
      </x:c>
      <x:c r="F174" s="17" t="str">
        <x:v>100% Leather | Made in the USA or Imported | Rubber sole | Heel measures approximately 1.5" | Waterproof leather or suede upper | Seam-sealed construction | Textile sockliner, Removable insole | Molded rubber outsole | Textile lining</x:v>
      </x:c>
      <x:c r="G174" s="17" t="str">
        <x:v>Product Dimensions: 14.9 x 12.4 x 5 inches; 2.5 Pounds | Item model number: 1115891-SLTH | Department: Womens | Date First Available: October 23, 2020 | Manufacturer: UGG</x:v>
      </x:c>
      <x:c r="H174" s="17" t="str">
        <x:v>A bold lace-up silhouette crafted from seam-sealed waterproof leather for enhanced protection against the elements, our Harrison is the boot you've been waiting for. Featuring a 1.5" stack-wrapped heel, molded rubber outsole, and removable foam insole, it's built for all-day comfort while the versatile 5" shaft height works with virtually anything in your wardrobe.</x:v>
      </x:c>
      <x:c r="I174" s="76" t="n">
        <x:v>63.98</x:v>
      </x:c>
      <x:c r="J174" s="75" t="n">
        <x:v>4.2</x:v>
      </x:c>
      <x:c r="K174" s="77" t="n">
        <x:v>180</x:v>
      </x:c>
      <x:c r="L174" s="77" t="str">
        <x:v>UGG</x:v>
      </x:c>
      <x:c r="M174" s="77" t="n">
        <x:f>LEN(C174)</x:f>
        <x:v>38</x:v>
      </x:c>
      <x:c r="N174" s="77" t="n">
        <x:f>LEN(F174)</x:f>
        <x:v>233</x:v>
      </x:c>
      <x:c r="O174" s="77" t="n">
        <x:f>LEN(G174)</x:f>
        <x:v>170</x:v>
      </x:c>
      <x:c r="P174" s="77" t="n">
        <x:f>LEN(H174)</x:f>
        <x:v>367</x:v>
      </x:c>
      <x:c r="Q174" s="77" t="n">
        <x:f>IF(LEN(C174)&gt;0,1,0)+IF(LEN(D174)&gt;0,1,0)+IF(LEN(F174)&gt;0,1,0)+IF(LEN(G174)&gt;0,1,0)+IF(LEN(H174)&gt;0,1,0)+IF(ISNUMBER(I174),1,0)+IF(ISNUMBER(J174),1,0)+IF(ISNUMBER(K174),1,0)+IF(LEN(L174)&gt;0,1,0)</x:f>
        <x:v>9</x:v>
      </x:c>
      <x:c r="R174" s="78" t="n">
        <x:f>Q174/9</x:f>
        <x:v>1</x:v>
      </x:c>
    </x:row>
    <x:row r="175" ht="72" customHeight="1">
      <x:c r="A175" t="str">
        <x:v>public_0171</x:v>
      </x:c>
      <x:c r="B175" t="str">
        <x:v>B0BFVFFHKS</x:v>
      </x:c>
      <x:c r="C175" s="17" t="str">
        <x:v>ZAFUL Bikini Set for Women Solid V Neck Knot Front Push Up High Leg Thong Two Piece Swimsuit</x:v>
      </x:c>
      <x:c r="D175" s="17" t="str">
        <x:v>Clothing, Shoes &amp; Jewelry | Women | Clothing | Swimsuits &amp; Cover Ups | Bikinis | Sets</x:v>
      </x:c>
      <x:c r="E175" s="17" t="str">
        <x:v>Sets</x:v>
      </x:c>
      <x:c r="F175" s="17" t="str">
        <x:v>Elastic | Imported | Nylon lining | Elastic,Hook,Push Up,Straps closure | Do Not Iron,Line Dry,Machine Wash | Double layer fabric,full lined,stretchy,pro-skin,durable,makes it easy and very comfortable to wear.Knot front Push Up bikini top and high rise thong bottom.Top with double shoulder elastic straps closure,removeable soft bra padded,back hook closure,push up bra for support and good to cover your body. | Knot Bikini Tops:Sexy v neck,knot front,removable push up padded cups,double shoulder elastic straps,offers great support and enhance your shape.Brings you closer fitting,ultra chic and adorable. | V-shape Bikini Bottom:Cheeky high cut bikini bottom with cheeky thong,modest coverage,v style waist design,give you a sexy look while still being comfortable.High cut style make you look slim, sexy and unique,show you more flattering. | Occasions:Holiday,SPA,swimming parties,tropical vacations,summer,beach &amp; pool,beach wear sexy and fashion bathing suit for women. | Washing Method:Hand or machine wash;Don't bleach;Line Dry;Do not Iron.</x:v>
      </x:c>
      <x:c r="G175" s="17" t="str">
        <x:v>Date First Available: January 8, 2019</x:v>
      </x:c>
      <x:c r="H175" s="17" t="str"/>
      <x:c r="I175" s="76" t="n">
        <x:v>33.99</x:v>
      </x:c>
      <x:c r="J175" s="75" t="n">
        <x:v>3.8</x:v>
      </x:c>
      <x:c r="K175" s="77" t="n">
        <x:v>1185</x:v>
      </x:c>
      <x:c r="L175" s="77" t="str">
        <x:v>DEZZAL</x:v>
      </x:c>
      <x:c r="M175" s="77" t="n">
        <x:f>LEN(C175)</x:f>
        <x:v>92</x:v>
      </x:c>
      <x:c r="N175" s="77" t="n">
        <x:f>LEN(F175)</x:f>
        <x:v>1052</x:v>
      </x:c>
      <x:c r="O175" s="77" t="n">
        <x:f>LEN(G175)</x:f>
        <x:v>37</x:v>
      </x:c>
      <x:c r="P175" s="77" t="n">
        <x:f>LEN(H175)</x:f>
        <x:v>0</x:v>
      </x:c>
      <x:c r="Q175" s="77" t="n">
        <x:f>IF(LEN(C175)&gt;0,1,0)+IF(LEN(D175)&gt;0,1,0)+IF(LEN(F175)&gt;0,1,0)+IF(LEN(G175)&gt;0,1,0)+IF(LEN(H175)&gt;0,1,0)+IF(ISNUMBER(I175),1,0)+IF(ISNUMBER(J175),1,0)+IF(ISNUMBER(K175),1,0)+IF(LEN(L175)&gt;0,1,0)</x:f>
        <x:v>8</x:v>
      </x:c>
      <x:c r="R175" s="78" t="n">
        <x:f>Q175/9</x:f>
        <x:v>0.8888888888888888</x:v>
      </x:c>
    </x:row>
    <x:row r="176" ht="72" customHeight="1">
      <x:c r="A176" t="str">
        <x:v>public_0172</x:v>
      </x:c>
      <x:c r="B176" t="str">
        <x:v>B0829PZGBB</x:v>
      </x:c>
      <x:c r="C176" s="17" t="str">
        <x:v>Skechers Women's Sneaker</x:v>
      </x:c>
      <x:c r="D176" s="17" t="str">
        <x:v>Clothing, Shoes &amp; Jewelry | Women | Shoes | Fashion Sneakers</x:v>
      </x:c>
      <x:c r="E176" s="17" t="str">
        <x:v>Fashion Sneakers</x:v>
      </x:c>
      <x:c r="F176" s="17" t="str">
        <x:v>100% Cotton | Imported | Synthetic sole | Memory foam footbed</x:v>
      </x:c>
      <x:c r="G176" s="17" t="str">
        <x:v>Product Dimensions: 11.9 x 7.2 x 4.1 inches; 1.7 Pounds | Item model number: 113212 | Department: womens | Date First Available: December 3, 2019 | Manufacturer: Skechers BOBS</x:v>
      </x:c>
      <x:c r="H176" s="17" t="str">
        <x:v>Loverboy scrunch back slip on w memory foam.</x:v>
      </x:c>
      <x:c r="I176" s="76" t="n">
        <x:v>59.95</x:v>
      </x:c>
      <x:c r="J176" s="75" t="n">
        <x:v>4.7</x:v>
      </x:c>
      <x:c r="K176" s="77" t="n">
        <x:v>190</x:v>
      </x:c>
      <x:c r="L176" s="77" t="str">
        <x:v>Skechers</x:v>
      </x:c>
      <x:c r="M176" s="77" t="n">
        <x:f>LEN(C176)</x:f>
        <x:v>24</x:v>
      </x:c>
      <x:c r="N176" s="77" t="n">
        <x:f>LEN(F176)</x:f>
        <x:v>61</x:v>
      </x:c>
      <x:c r="O176" s="77" t="n">
        <x:f>LEN(G176)</x:f>
        <x:v>175</x:v>
      </x:c>
      <x:c r="P176" s="77" t="n">
        <x:f>LEN(H176)</x:f>
        <x:v>44</x:v>
      </x:c>
      <x:c r="Q176" s="77" t="n">
        <x:f>IF(LEN(C176)&gt;0,1,0)+IF(LEN(D176)&gt;0,1,0)+IF(LEN(F176)&gt;0,1,0)+IF(LEN(G176)&gt;0,1,0)+IF(LEN(H176)&gt;0,1,0)+IF(ISNUMBER(I176),1,0)+IF(ISNUMBER(J176),1,0)+IF(ISNUMBER(K176),1,0)+IF(LEN(L176)&gt;0,1,0)</x:f>
        <x:v>9</x:v>
      </x:c>
      <x:c r="R176" s="78" t="n">
        <x:f>Q176/9</x:f>
        <x:v>1</x:v>
      </x:c>
    </x:row>
    <x:row r="177" ht="72" customHeight="1">
      <x:c r="A177" t="str">
        <x:v>public_0173</x:v>
      </x:c>
      <x:c r="B177" t="str">
        <x:v>B07THT4G8N</x:v>
      </x:c>
      <x:c r="C177" s="17" t="str">
        <x:v>Aqua Socks Beach Water Shoes Barefoot Yoga Socks Quick-Dry Surf Pool Swim Shoes for Women Men</x:v>
      </x:c>
      <x:c r="D177" s="17" t="str">
        <x:v>Clothing, Shoes &amp; Jewelry | Women | Shoes | Athletic | Water Shoes</x:v>
      </x:c>
      <x:c r="E177" s="17" t="str">
        <x:v>Water Shoes</x:v>
      </x:c>
      <x:c r="F177" s="17" t="str">
        <x:v>Rubber sole | Comfortable feeling: Super lightweight and flexible just like socks,breathable and smooth fabric provide great freedom and comfortable feeling. Let you enjoy your your beach trip on holidays. | Convenience: Quick-dry water shoes, ultra light weight smooth stretchy fabrics and easy slip-on design make it convenient to wear and take off. Lightweight and compressible, easy to fold and carry when you go out. | High-quality anti-slip thickened sole: Sole made of high quality material, light and durable. thickened sole and breathable insoles with shock absorption performance, protect your feet from being hurt by stone and other sharp objects. | Occasions: Suitable for a wide range of occasions, such as: Beach, swimming, pool, boating, kayaking, windsurfing, beach volleyball, aqua sport, jogging, walking, fishing, gardening, Yoga training. | Tip: We offer a wide range of sizes for men and women. Please refer to the size chart in the product description before purchasing. If you have doubts about our products, please contact us in time, and we will help you solve the problem within 24 hours.</x:v>
      </x:c>
      <x:c r="G177" s="17" t="str">
        <x:v>Department: womens | Date First Available: June 25, 2019 | Manufacturer: HMIYA</x:v>
      </x:c>
      <x:c r="H177" s="17" t="str"/>
      <x:c r="I177" s="76" t="n">
        <x:v>13.99</x:v>
      </x:c>
      <x:c r="J177" s="75" t="n">
        <x:v>4.3</x:v>
      </x:c>
      <x:c r="K177" s="77" t="n">
        <x:v>14398</x:v>
      </x:c>
      <x:c r="L177" s="77" t="str">
        <x:v>HMIYA</x:v>
      </x:c>
      <x:c r="M177" s="77" t="n">
        <x:f>LEN(C177)</x:f>
        <x:v>93</x:v>
      </x:c>
      <x:c r="N177" s="77" t="n">
        <x:f>LEN(F177)</x:f>
        <x:v>1114</x:v>
      </x:c>
      <x:c r="O177" s="77" t="n">
        <x:f>LEN(G177)</x:f>
        <x:v>78</x:v>
      </x:c>
      <x:c r="P177" s="77" t="n">
        <x:f>LEN(H177)</x:f>
        <x:v>0</x:v>
      </x:c>
      <x:c r="Q177" s="77" t="n">
        <x:f>IF(LEN(C177)&gt;0,1,0)+IF(LEN(D177)&gt;0,1,0)+IF(LEN(F177)&gt;0,1,0)+IF(LEN(G177)&gt;0,1,0)+IF(LEN(H177)&gt;0,1,0)+IF(ISNUMBER(I177),1,0)+IF(ISNUMBER(J177),1,0)+IF(ISNUMBER(K177),1,0)+IF(LEN(L177)&gt;0,1,0)</x:f>
        <x:v>8</x:v>
      </x:c>
      <x:c r="R177" s="78" t="n">
        <x:f>Q177/9</x:f>
        <x:v>0.8888888888888888</x:v>
      </x:c>
    </x:row>
    <x:row r="178" ht="72" customHeight="1">
      <x:c r="A178" t="str">
        <x:v>public_0174</x:v>
      </x:c>
      <x:c r="B178" t="str">
        <x:v>B0794VPVBH</x:v>
      </x:c>
      <x:c r="C178" s="17" t="str">
        <x:v>NY Threads Luxurious Mens Shawl Collar Fleece Bathrobe Spa Robe</x:v>
      </x:c>
      <x:c r="D178" s="17" t="str">
        <x:v>Clothing, Shoes &amp; Jewelry | Men | Clothing | Sleep &amp; Lounge | Robes</x:v>
      </x:c>
      <x:c r="E178" s="17" t="str">
        <x:v>Robes</x:v>
      </x:c>
      <x:c r="F178" s="17" t="str">
        <x:v>100% Polyester | Imported | Tie closure | Machine Wash | SHAWL COLLAR FLEECE BATHROBE - Super soft, plush, shawl collar fleece bathrobe made from coral fleece that offers great comfort whenever in use; perfect for lounging, relaxation and a great choice to wear after a tiring day at work. | SOFT AND FLUFFY - The bathrobe is soft and fluffy, which can be worn all day long; the bathrobe carries a classic design, making it ideal for everyday usage. | ADJUSTABLE WAIST BELT - Each bathrobe features an adjustable waist belt that assists in securely closing the robe from the front so that you can wear it with confidence. | FRONT POCKETS - The two front pockets give you the option of keeping frequently used items in it when it’s worn for a good part of the day. | PILE AND NAP EFFECT - This product might show a Pile and Nap effect on the shade of the robe under different light sources.</x:v>
      </x:c>
      <x:c r="G178" s="17" t="str">
        <x:v>Is Discontinued By Manufacturer: No | Package Dimensions: 14.8 x 5.8 x 5.4 inches; 2.2 Pounds | Department: mens | Date First Available: January 18, 2018</x:v>
      </x:c>
      <x:c r="H178" s="17" t="str"/>
      <x:c r="I178" s="76" t="n">
        <x:v>17.49</x:v>
      </x:c>
      <x:c r="J178" s="75" t="n">
        <x:v>4.7</x:v>
      </x:c>
      <x:c r="K178" s="77" t="n">
        <x:v>42104</x:v>
      </x:c>
      <x:c r="L178" s="77" t="str">
        <x:v>NY Threads</x:v>
      </x:c>
      <x:c r="M178" s="77" t="n">
        <x:f>LEN(C178)</x:f>
        <x:v>63</x:v>
      </x:c>
      <x:c r="N178" s="77" t="n">
        <x:f>LEN(F178)</x:f>
        <x:v>889</x:v>
      </x:c>
      <x:c r="O178" s="77" t="n">
        <x:f>LEN(G178)</x:f>
        <x:v>153</x:v>
      </x:c>
      <x:c r="P178" s="77" t="n">
        <x:f>LEN(H178)</x:f>
        <x:v>0</x:v>
      </x:c>
      <x:c r="Q178" s="77" t="n">
        <x:f>IF(LEN(C178)&gt;0,1,0)+IF(LEN(D178)&gt;0,1,0)+IF(LEN(F178)&gt;0,1,0)+IF(LEN(G178)&gt;0,1,0)+IF(LEN(H178)&gt;0,1,0)+IF(ISNUMBER(I178),1,0)+IF(ISNUMBER(J178),1,0)+IF(ISNUMBER(K178),1,0)+IF(LEN(L178)&gt;0,1,0)</x:f>
        <x:v>8</x:v>
      </x:c>
      <x:c r="R178" s="78" t="n">
        <x:f>Q178/9</x:f>
        <x:v>0.8888888888888888</x:v>
      </x:c>
    </x:row>
    <x:row r="179" ht="72" customHeight="1">
      <x:c r="A179" t="str">
        <x:v>public_0175</x:v>
      </x:c>
      <x:c r="B179" t="str">
        <x:v>B07D5M61T2</x:v>
      </x:c>
      <x:c r="C179" s="17" t="str">
        <x:v>Ariat Men’s M2 Relaxed Boot Cut Jean</x:v>
      </x:c>
      <x:c r="D179" s="17" t="str">
        <x:v>Clothing, Shoes &amp; Jewelry | Men | Clothing | Jeans</x:v>
      </x:c>
      <x:c r="E179" s="17" t="str">
        <x:v>Jeans</x:v>
      </x:c>
      <x:c r="F179" s="17" t="str">
        <x:v>100% Cotton | Imported | Zipper closure | Machine Wash | Stretch in some styles | Extra Deep Pockets</x:v>
      </x:c>
      <x:c r="G179" s="17" t="str">
        <x:v>Product Dimensions: 13 x 9 x 1 inches; 12 Ounces | Item model number: 10026664 | Department: Mens | Date First Available: November 22, 2014 | Manufacturer: Ariat Parent Code</x:v>
      </x:c>
      <x:c r="H179" s="17" t="str">
        <x:v>The M2 granite is relaxed through the waist, hip and thigh with a stackable boot cut leg opening. The fabric is a medium wash with hand sanding and whiskering.</x:v>
      </x:c>
      <x:c r="I179" s="76" t="n">
        <x:v>59.95</x:v>
      </x:c>
      <x:c r="J179" s="75" t="n">
        <x:v>4.6</x:v>
      </x:c>
      <x:c r="K179" s="77" t="n">
        <x:v>3529</x:v>
      </x:c>
      <x:c r="L179" s="77" t="str">
        <x:v>ARIAT</x:v>
      </x:c>
      <x:c r="M179" s="77" t="n">
        <x:f>LEN(C179)</x:f>
        <x:v>36</x:v>
      </x:c>
      <x:c r="N179" s="77" t="n">
        <x:f>LEN(F179)</x:f>
        <x:v>100</x:v>
      </x:c>
      <x:c r="O179" s="77" t="n">
        <x:f>LEN(G179)</x:f>
        <x:v>173</x:v>
      </x:c>
      <x:c r="P179" s="77" t="n">
        <x:f>LEN(H179)</x:f>
        <x:v>159</x:v>
      </x:c>
      <x:c r="Q179" s="77" t="n">
        <x:f>IF(LEN(C179)&gt;0,1,0)+IF(LEN(D179)&gt;0,1,0)+IF(LEN(F179)&gt;0,1,0)+IF(LEN(G179)&gt;0,1,0)+IF(LEN(H179)&gt;0,1,0)+IF(ISNUMBER(I179),1,0)+IF(ISNUMBER(J179),1,0)+IF(ISNUMBER(K179),1,0)+IF(LEN(L179)&gt;0,1,0)</x:f>
        <x:v>9</x:v>
      </x:c>
      <x:c r="R179" s="78" t="n">
        <x:f>Q179/9</x:f>
        <x:v>1</x:v>
      </x:c>
    </x:row>
    <x:row r="180" ht="72" customHeight="1">
      <x:c r="A180" t="str">
        <x:v>public_0176</x:v>
      </x:c>
      <x:c r="B180" t="str">
        <x:v>B0C3MKNZJN</x:v>
      </x:c>
      <x:c r="C180" s="17" t="str">
        <x:v>adidas Originals Originals Sport Waist Pack</x:v>
      </x:c>
      <x:c r="D180" s="17" t="str">
        <x:v>Clothing, Shoes &amp; Jewelry | Luggage &amp; Travel Gear | Waist Packs</x:v>
      </x:c>
      <x:c r="E180" s="17" t="str">
        <x:v>Waist Packs</x:v>
      </x:c>
      <x:c r="F180" s="17" t="str">
        <x:v>93% Polyester, 3% Natural Latex Rubber, 2% Spandex, 2% Nylon | Imported | Polyester lining | Zipper closure | metal frame | Hand Wash Only | Branding in front. | Zippered main compartment and smaller front pocket. | Convenient size to wear as a waist pack or crossbody. | Clip-lock closure. | Interior ear-bud and charger storage.</x:v>
      </x:c>
      <x:c r="G180" s="17" t="str">
        <x:v>Item model number: 979038 | Department: Unisex-adult | Date First Available: April 26, 2023 | Manufacturer: adidas</x:v>
      </x:c>
      <x:c r="H180" s="17" t="str">
        <x:v>Wear this small bag as a waist pack or crossbody to keep your small essentials close by when you're on the move. it has a zip closure and a smaller pocket in front with a key fob inside.</x:v>
      </x:c>
      <x:c r="I180" s="76" t="str"/>
      <x:c r="J180" s="75" t="n">
        <x:v>4.7</x:v>
      </x:c>
      <x:c r="K180" s="77" t="n">
        <x:v>606</x:v>
      </x:c>
      <x:c r="L180" s="77" t="str">
        <x:v>adidas Originals</x:v>
      </x:c>
      <x:c r="M180" s="77" t="n">
        <x:f>LEN(C180)</x:f>
        <x:v>43</x:v>
      </x:c>
      <x:c r="N180" s="77" t="n">
        <x:f>LEN(F180)</x:f>
        <x:v>330</x:v>
      </x:c>
      <x:c r="O180" s="77" t="n">
        <x:f>LEN(G180)</x:f>
        <x:v>114</x:v>
      </x:c>
      <x:c r="P180" s="77" t="n">
        <x:f>LEN(H180)</x:f>
        <x:v>186</x:v>
      </x:c>
      <x:c r="Q180" s="77" t="n">
        <x:f>IF(LEN(C180)&gt;0,1,0)+IF(LEN(D180)&gt;0,1,0)+IF(LEN(F180)&gt;0,1,0)+IF(LEN(G180)&gt;0,1,0)+IF(LEN(H180)&gt;0,1,0)+IF(ISNUMBER(I180),1,0)+IF(ISNUMBER(J180),1,0)+IF(ISNUMBER(K180),1,0)+IF(LEN(L180)&gt;0,1,0)</x:f>
        <x:v>8</x:v>
      </x:c>
      <x:c r="R180" s="78" t="n">
        <x:f>Q180/9</x:f>
        <x:v>0.8888888888888888</x:v>
      </x:c>
    </x:row>
    <x:row r="181" ht="72" customHeight="1">
      <x:c r="A181" t="str">
        <x:v>public_0177</x:v>
      </x:c>
      <x:c r="B181" t="str">
        <x:v>B07HV9WW6Q</x:v>
      </x:c>
      <x:c r="C181" s="17" t="str">
        <x:v>ANIXAY Women's Short/Long Sleeve Henley Button up T Shirt Casual Basic Tops Blouse</x:v>
      </x:c>
      <x:c r="D181" s="17" t="str">
        <x:v>Clothing, Shoes &amp; Jewelry | Women | Clothing | Tops, Tees &amp; Blouses</x:v>
      </x:c>
      <x:c r="E181" s="17" t="str">
        <x:v>Tops, Tees &amp; Blouses</x:v>
      </x:c>
      <x:c r="F181" s="17" t="str">
        <x:v>Cotton, Rayon | Imported | Button closure | Machine Wash | Material: 90% Cotton + 10% Rayon. Soft fabric,It will be a comfortable tops. | Size:US SIZE,Small=(US 4-6), Medium=(US 8-10), Large=(US 12-14）, X-Large=(US 16-18), XX-Large=(US 20-22) | Features: Cotton blouse with button down design,Sexy V Neck,Short sleeve tunic tops, Flower printing color shirt, Slim fitted pullover top.It's a super Soft Blouse. Fitted, Lightweight, Sexy V Neck Basic shirt classic top. | Occasion: Perfect for your daily wear, home, school, outdoor activity, work, dates and parties... any occasion is perfect in Any Season. | It's a super soft blouse. Fitted, lightweight, sexy v neck basic shirt classic top.Hope you have a nice shopping!</x:v>
      </x:c>
      <x:c r="G181" s="17" t="str">
        <x:v>Department: womens | Date First Available: September 30, 2018</x:v>
      </x:c>
      <x:c r="H181" s="17" t="str"/>
      <x:c r="I181" s="76" t="n">
        <x:v>24.99</x:v>
      </x:c>
      <x:c r="J181" s="75" t="n">
        <x:v>4.1</x:v>
      </x:c>
      <x:c r="K181" s="77" t="n">
        <x:v>8010</x:v>
      </x:c>
      <x:c r="L181" s="77" t="str">
        <x:v>ANIXAY</x:v>
      </x:c>
      <x:c r="M181" s="77" t="n">
        <x:f>LEN(C181)</x:f>
        <x:v>82</x:v>
      </x:c>
      <x:c r="N181" s="77" t="n">
        <x:f>LEN(F181)</x:f>
        <x:v>722</x:v>
      </x:c>
      <x:c r="O181" s="77" t="n">
        <x:f>LEN(G181)</x:f>
        <x:v>61</x:v>
      </x:c>
      <x:c r="P181" s="77" t="n">
        <x:f>LEN(H181)</x:f>
        <x:v>0</x:v>
      </x:c>
      <x:c r="Q181" s="77" t="n">
        <x:f>IF(LEN(C181)&gt;0,1,0)+IF(LEN(D181)&gt;0,1,0)+IF(LEN(F181)&gt;0,1,0)+IF(LEN(G181)&gt;0,1,0)+IF(LEN(H181)&gt;0,1,0)+IF(ISNUMBER(I181),1,0)+IF(ISNUMBER(J181),1,0)+IF(ISNUMBER(K181),1,0)+IF(LEN(L181)&gt;0,1,0)</x:f>
        <x:v>8</x:v>
      </x:c>
      <x:c r="R181" s="78" t="n">
        <x:f>Q181/9</x:f>
        <x:v>0.8888888888888888</x:v>
      </x:c>
    </x:row>
    <x:row r="182" ht="72" customHeight="1">
      <x:c r="A182" t="str">
        <x:v>public_0178</x:v>
      </x:c>
      <x:c r="B182" t="str">
        <x:v>B01FWQ8NH8</x:v>
      </x:c>
      <x:c r="C182" s="17" t="str">
        <x:v>Red Hot Chili Peppers Distressed Men's T-Shirt Black</x:v>
      </x:c>
      <x:c r="D182" s="17" t="str">
        <x:v>Clothing, Shoes &amp; Jewelry | Novelty &amp; More | Clothing | Novelty | Men | Shirts | T-Shirts</x:v>
      </x:c>
      <x:c r="E182" s="17" t="str">
        <x:v>T-Shirts</x:v>
      </x:c>
      <x:c r="F182" s="17" t="str">
        <x:v>100% Cotton | Made in the USA | Pull On closure | Machine Wash | Official Licensed T-shirt | Brand New !!!! | T-Shirt | 100% Cotton/High Quality Screen Printed | Sent Securely in Protective Packaging</x:v>
      </x:c>
      <x:c r="G182" s="17" t="str">
        <x:v>Department: Mens | Date First Available: May 19, 2016</x:v>
      </x:c>
      <x:c r="H182" s="17" t="str">
        <x:v>Red Hot Chili Peppers Distressed Men's T-Shirt Black</x:v>
      </x:c>
      <x:c r="I182" s="76" t="n">
        <x:v>17.99</x:v>
      </x:c>
      <x:c r="J182" s="75" t="n">
        <x:v>4.5</x:v>
      </x:c>
      <x:c r="K182" s="77" t="n">
        <x:v>3347</x:v>
      </x:c>
      <x:c r="L182" s="77" t="str">
        <x:v>Bravado</x:v>
      </x:c>
      <x:c r="M182" s="77" t="n">
        <x:f>LEN(C182)</x:f>
        <x:v>52</x:v>
      </x:c>
      <x:c r="N182" s="77" t="n">
        <x:f>LEN(F182)</x:f>
        <x:v>199</x:v>
      </x:c>
      <x:c r="O182" s="77" t="n">
        <x:f>LEN(G182)</x:f>
        <x:v>53</x:v>
      </x:c>
      <x:c r="P182" s="77" t="n">
        <x:f>LEN(H182)</x:f>
        <x:v>52</x:v>
      </x:c>
      <x:c r="Q182" s="77" t="n">
        <x:f>IF(LEN(C182)&gt;0,1,0)+IF(LEN(D182)&gt;0,1,0)+IF(LEN(F182)&gt;0,1,0)+IF(LEN(G182)&gt;0,1,0)+IF(LEN(H182)&gt;0,1,0)+IF(ISNUMBER(I182),1,0)+IF(ISNUMBER(J182),1,0)+IF(ISNUMBER(K182),1,0)+IF(LEN(L182)&gt;0,1,0)</x:f>
        <x:v>9</x:v>
      </x:c>
      <x:c r="R182" s="78" t="n">
        <x:f>Q182/9</x:f>
        <x:v>1</x:v>
      </x:c>
    </x:row>
    <x:row r="183" ht="72" customHeight="1">
      <x:c r="A183" t="str">
        <x:v>public_0179</x:v>
      </x:c>
      <x:c r="B183" t="str">
        <x:v>B08JK818ZD</x:v>
      </x:c>
      <x:c r="C183" s="17" t="str">
        <x:v>Azules Women's Long Sleeve Flowy Tunic</x:v>
      </x:c>
      <x:c r="D183" s="17" t="str">
        <x:v>Clothing, Shoes &amp; Jewelry | Women | Clothing | Tops, Tees &amp; Blouses | Tunics</x:v>
      </x:c>
      <x:c r="E183" s="17" t="str">
        <x:v>Tunics</x:v>
      </x:c>
      <x:c r="F183" s="17" t="str">
        <x:v>5% spandex | Made in the USA | Pull On closure | Wash cold | Lightweight and breathable material that feels soft against the skin, perfect for everyday wear. | Loose fitted long sleeve top that curves at the bottom for a stylish finish. | Wide selection of vibrant, clean, and classy colors/prints to choose from. | Made of 95% Rayon and 5% Spandex. | Quality manufactured. Made in the USA.</x:v>
      </x:c>
      <x:c r="G183" s="17" t="str">
        <x:v>Department: womens | Date First Available: September 20, 2020 | Manufacturer: Azules</x:v>
      </x:c>
      <x:c r="H183" s="17" t="str">
        <x:v>Our signature Azules Extra Soft Tunic Top comes in multiple vibrant colors. Perfect wear for every-occasion. This long sleeve tunic top features a curved hem, giving it a stylish and elegant finish. Ideal for pairing it with your favorite jeans or leggings. Evermore designed and made in the United States of America.</x:v>
      </x:c>
      <x:c r="I183" s="76" t="n">
        <x:v>17.99</x:v>
      </x:c>
      <x:c r="J183" s="75" t="n">
        <x:v>4.4</x:v>
      </x:c>
      <x:c r="K183" s="77" t="n">
        <x:v>217</x:v>
      </x:c>
      <x:c r="L183" s="77" t="str">
        <x:v>Azules</x:v>
      </x:c>
      <x:c r="M183" s="77" t="n">
        <x:f>LEN(C183)</x:f>
        <x:v>38</x:v>
      </x:c>
      <x:c r="N183" s="77" t="n">
        <x:f>LEN(F183)</x:f>
        <x:v>390</x:v>
      </x:c>
      <x:c r="O183" s="77" t="n">
        <x:f>LEN(G183)</x:f>
        <x:v>84</x:v>
      </x:c>
      <x:c r="P183" s="77" t="n">
        <x:f>LEN(H183)</x:f>
        <x:v>317</x:v>
      </x:c>
      <x:c r="Q183" s="77" t="n">
        <x:f>IF(LEN(C183)&gt;0,1,0)+IF(LEN(D183)&gt;0,1,0)+IF(LEN(F183)&gt;0,1,0)+IF(LEN(G183)&gt;0,1,0)+IF(LEN(H183)&gt;0,1,0)+IF(ISNUMBER(I183),1,0)+IF(ISNUMBER(J183),1,0)+IF(ISNUMBER(K183),1,0)+IF(LEN(L183)&gt;0,1,0)</x:f>
        <x:v>9</x:v>
      </x:c>
      <x:c r="R183" s="78" t="n">
        <x:f>Q183/9</x:f>
        <x:v>1</x:v>
      </x:c>
    </x:row>
    <x:row r="184" ht="72" customHeight="1">
      <x:c r="A184" t="str">
        <x:v>public_0180</x:v>
      </x:c>
      <x:c r="B184" t="str">
        <x:v>B01HSMYV8E</x:v>
      </x:c>
      <x:c r="C184" s="17" t="str">
        <x:v>Saucony Women's Cohesion 10 Running Shoe</x:v>
      </x:c>
      <x:c r="D184" s="17" t="str">
        <x:v>Clothing, Shoes &amp; Jewelry | Women | Shoes | Fashion Sneakers</x:v>
      </x:c>
      <x:c r="E184" s="17" t="str">
        <x:v>Fashion Sneakers</x:v>
      </x:c>
      <x:c r="F184" s="17" t="str">
        <x:v>100% Mesh | Imported | Rubber sole | GRID, Injection EVA,</x:v>
      </x:c>
      <x:c r="G184" s="17" t="str">
        <x:v>Is Discontinued By Manufacturer: No | Product Dimensions: 11 x 4 x 7 inches; 9 Ounces | Item model number: GRID COHESION 10-W | Department: Womens | Date First Available: August 6, 2003 | Manufacturer: Saucony</x:v>
      </x:c>
      <x:c r="H184" s="17" t="str">
        <x:v>The Cohesion 10 is your everyday training partner. Encased with excellent cushioning, flexibility, and comfort for crushing any activity, including conquering the longer roads ahead.Forefoot Stack Height: 17mm | Saucony is among the most respected names in running shoes. We offer a wide range of running and walking shoes, each with the Saucony trademark fit, feel and performance. We've spent years studying the biomechanics of top athletes. Our goal? To develop creatively engineered systems that maximize your performance in your specific activity, allowing you to focus on the activity instead of the equipment. From our studies have come many innovative Saucony concepts. Advanced technologies-like Grid, the first sole-based stability and cushioning system--provide an advantage to athletes of all types.</x:v>
      </x:c>
      <x:c r="I184" s="76" t="n">
        <x:v>49.95</x:v>
      </x:c>
      <x:c r="J184" s="75" t="n">
        <x:v>4.6</x:v>
      </x:c>
      <x:c r="K184" s="77" t="n">
        <x:v>9766</x:v>
      </x:c>
      <x:c r="L184" s="77" t="str">
        <x:v>Saucony</x:v>
      </x:c>
      <x:c r="M184" s="77" t="n">
        <x:f>LEN(C184)</x:f>
        <x:v>40</x:v>
      </x:c>
      <x:c r="N184" s="77" t="n">
        <x:f>LEN(F184)</x:f>
        <x:v>57</x:v>
      </x:c>
      <x:c r="O184" s="77" t="n">
        <x:f>LEN(G184)</x:f>
        <x:v>209</x:v>
      </x:c>
      <x:c r="P184" s="77" t="n">
        <x:f>LEN(H184)</x:f>
        <x:v>811</x:v>
      </x:c>
      <x:c r="Q184" s="77" t="n">
        <x:f>IF(LEN(C184)&gt;0,1,0)+IF(LEN(D184)&gt;0,1,0)+IF(LEN(F184)&gt;0,1,0)+IF(LEN(G184)&gt;0,1,0)+IF(LEN(H184)&gt;0,1,0)+IF(ISNUMBER(I184),1,0)+IF(ISNUMBER(J184),1,0)+IF(ISNUMBER(K184),1,0)+IF(LEN(L184)&gt;0,1,0)</x:f>
        <x:v>9</x:v>
      </x:c>
      <x:c r="R184" s="78" t="n">
        <x:f>Q184/9</x:f>
        <x:v>1</x:v>
      </x:c>
    </x:row>
    <x:row r="185" ht="72" customHeight="1">
      <x:c r="A185" t="str">
        <x:v>public_0181</x:v>
      </x:c>
      <x:c r="B185" t="str">
        <x:v>B08M3WKDFJ</x:v>
      </x:c>
      <x:c r="C185" s="17" t="str">
        <x:v>Fixmatti Women's 2 Piece Outfits Long Sleeve Pullover Sweatshirt Jogger Pants Sweatsuit</x:v>
      </x:c>
      <x:c r="D185" s="17" t="str">
        <x:v>Clothing, Shoes &amp; Jewelry | Women | Clothing | Active | Sets | Tracksuits</x:v>
      </x:c>
      <x:c r="E185" s="17" t="str">
        <x:v>Tracksuits</x:v>
      </x:c>
      <x:c r="F185" s="17" t="str">
        <x:v>polyester | Drawstring closure | Hand Wash Only | Casual 2 piece active sweatsuit pant set | Long lantern sleeve turtleneck pullover sweatshirt top | Cropped jogger pants elastic high waist,back pocket | Tracksuit set for lounge, casual, running, workout, sport, outdoor, daily wear | Solid two piece sport sweatsuits,comfy and soft suit to wear all day long</x:v>
      </x:c>
      <x:c r="G185" s="17" t="str">
        <x:v>Item model number: FMPLS1841 | Department: Womens | Date First Available: October 28, 2020</x:v>
      </x:c>
      <x:c r="H185" s="17" t="str"/>
      <x:c r="I185" s="76" t="n">
        <x:v>42.97</x:v>
      </x:c>
      <x:c r="J185" s="75" t="n">
        <x:v>4</x:v>
      </x:c>
      <x:c r="K185" s="77" t="n">
        <x:v>2273</x:v>
      </x:c>
      <x:c r="L185" s="77" t="str">
        <x:v>Fixmatti</x:v>
      </x:c>
      <x:c r="M185" s="77" t="n">
        <x:f>LEN(C185)</x:f>
        <x:v>87</x:v>
      </x:c>
      <x:c r="N185" s="77" t="n">
        <x:f>LEN(F185)</x:f>
        <x:v>358</x:v>
      </x:c>
      <x:c r="O185" s="77" t="n">
        <x:f>LEN(G185)</x:f>
        <x:v>90</x:v>
      </x:c>
      <x:c r="P185" s="77" t="n">
        <x:f>LEN(H185)</x:f>
        <x:v>0</x:v>
      </x:c>
      <x:c r="Q185" s="77" t="n">
        <x:f>IF(LEN(C185)&gt;0,1,0)+IF(LEN(D185)&gt;0,1,0)+IF(LEN(F185)&gt;0,1,0)+IF(LEN(G185)&gt;0,1,0)+IF(LEN(H185)&gt;0,1,0)+IF(ISNUMBER(I185),1,0)+IF(ISNUMBER(J185),1,0)+IF(ISNUMBER(K185),1,0)+IF(LEN(L185)&gt;0,1,0)</x:f>
        <x:v>8</x:v>
      </x:c>
      <x:c r="R185" s="78" t="n">
        <x:f>Q185/9</x:f>
        <x:v>0.8888888888888888</x:v>
      </x:c>
    </x:row>
    <x:row r="186" ht="72" customHeight="1">
      <x:c r="A186" t="str">
        <x:v>public_0182</x:v>
      </x:c>
      <x:c r="B186" t="str">
        <x:v>B0C5XBLB2P</x:v>
      </x:c>
      <x:c r="C186" s="17" t="str">
        <x:v>ELFISH Mini RFID Aluminum Wallet Credit Cards Holder Business Card Case Metal ID Case for Men Women (Black Marble)</x:v>
      </x:c>
      <x:c r="D186" s="17" t="str">
        <x:v>Clothing, Shoes &amp; Jewelry | Women | Accessories | Wallets, Card Cases &amp; Money Organizers | Card &amp; ID Cases | Card Cases</x:v>
      </x:c>
      <x:c r="E186" s="17" t="str">
        <x:v>Card Cases</x:v>
      </x:c>
      <x:c r="F186" s="17" t="str">
        <x:v>UPDATED ALUMINUM WALLET with high quality aluminum materials and Environmentally friendly plastic(ABS) clasp closure | PEACE OF MIND when Travelling: It is a Must Have a protector case ID slots when on vacations or traveling overseas. Using on public transportation and crowded places - keep the worry away and your Bank Debit,ID,ATM Cards be protected all the time. | MOST RELIABLE RFID BLOCKING PROTECTION. Most RFID blocking hard shell aluma wallets can NOT block 125KHz signals. But Elfish metal id cases are able to Block both 13.56 MHz and 125KHz Signals. Don't give thieves any chance. | EASY TO OPEN AND CLOSE. Latches safely and securely when not in use. Rounded corner wouldn't damage on your clothes. With 7 accordion Slots, Capacity for up to more than 9 credit cards. | MONEY-BACK GUARANTEE - We know you'll love our case, that's why if you aren't 100 percent satisfied we will provide you with a refund or a replacement.</x:v>
      </x:c>
      <x:c r="G186" s="17" t="str">
        <x:v>Product Dimensions: 4.3 x 3 x 1 inches | Item Weight: 2.46 ounces | Department: Womens | Manufacturer: ELFISH | Country of Origin: China | Item model number: CX1002 | Best Sellers Rank: [object Object] | Brand: ELFISH | Color: Black Marble | Material: Aluminum | Pattern: Marble | Special Feature: Rfid Blocking,Slim</x:v>
      </x:c>
      <x:c r="H186" s="17" t="str"/>
      <x:c r="I186" s="76" t="n">
        <x:v>6.99</x:v>
      </x:c>
      <x:c r="J186" s="75" t="n">
        <x:v>4.6</x:v>
      </x:c>
      <x:c r="K186" s="77" t="n">
        <x:v>4370</x:v>
      </x:c>
      <x:c r="L186" s="77" t="str">
        <x:v>ELFISH</x:v>
      </x:c>
      <x:c r="M186" s="77" t="n">
        <x:f>LEN(C186)</x:f>
        <x:v>114</x:v>
      </x:c>
      <x:c r="N186" s="77" t="n">
        <x:f>LEN(F186)</x:f>
        <x:v>934</x:v>
      </x:c>
      <x:c r="O186" s="77" t="n">
        <x:f>LEN(G186)</x:f>
        <x:v>316</x:v>
      </x:c>
      <x:c r="P186" s="77" t="n">
        <x:f>LEN(H186)</x:f>
        <x:v>0</x:v>
      </x:c>
      <x:c r="Q186" s="77" t="n">
        <x:f>IF(LEN(C186)&gt;0,1,0)+IF(LEN(D186)&gt;0,1,0)+IF(LEN(F186)&gt;0,1,0)+IF(LEN(G186)&gt;0,1,0)+IF(LEN(H186)&gt;0,1,0)+IF(ISNUMBER(I186),1,0)+IF(ISNUMBER(J186),1,0)+IF(ISNUMBER(K186),1,0)+IF(LEN(L186)&gt;0,1,0)</x:f>
        <x:v>8</x:v>
      </x:c>
      <x:c r="R186" s="78" t="n">
        <x:f>Q186/9</x:f>
        <x:v>0.8888888888888888</x:v>
      </x:c>
    </x:row>
    <x:row r="187" ht="72" customHeight="1">
      <x:c r="A187" t="str">
        <x:v>public_0183</x:v>
      </x:c>
      <x:c r="B187" t="str">
        <x:v>B07Z2KSZR3</x:v>
      </x:c>
      <x:c r="C187" s="17" t="str">
        <x:v>SheIn Women's Double Breasted Long Vest Jacket Casual Sleeveless Pocket Outerwear Longline</x:v>
      </x:c>
      <x:c r="D187" s="17" t="str">
        <x:v>Clothing, Shoes &amp; Jewelry | Women | Clothing | Coats, Jackets &amp; Vests | Vests</x:v>
      </x:c>
      <x:c r="E187" s="17" t="str">
        <x:v>Vests</x:v>
      </x:c>
      <x:c r="F187" s="17" t="str">
        <x:v>100% Polyester | Button closure | Hand Wash Only | Super soft, comfy, stretchy good, lightweight and close to your skin | Features: Plain color, double breasted front, lapel collar, side pockets, open front, casual cardigan vest for women | Long cardigan vest, casual loose fit, soft, comfy and easy to wear with your favorite pants, skirt, leggings or shorts | This women chic and cute sleeveless coat vest is a wardrobe must-have, great for office, work, meeting, travel, date, shopping | Please refer to the other sizes measurement in the Product Description</x:v>
      </x:c>
      <x:c r="G187" s="17" t="str">
        <x:v>Department: Womens | Date First Available: October 12, 2019</x:v>
      </x:c>
      <x:c r="H187" s="17" t="str"/>
      <x:c r="I187" s="76" t="str"/>
      <x:c r="J187" s="75" t="n">
        <x:v>3.9</x:v>
      </x:c>
      <x:c r="K187" s="77" t="n">
        <x:v>3494</x:v>
      </x:c>
      <x:c r="L187" s="77" t="str">
        <x:v>SheIn</x:v>
      </x:c>
      <x:c r="M187" s="77" t="n">
        <x:f>LEN(C187)</x:f>
        <x:v>90</x:v>
      </x:c>
      <x:c r="N187" s="77" t="n">
        <x:f>LEN(F187)</x:f>
        <x:v>561</x:v>
      </x:c>
      <x:c r="O187" s="77" t="n">
        <x:f>LEN(G187)</x:f>
        <x:v>59</x:v>
      </x:c>
      <x:c r="P187" s="77" t="n">
        <x:f>LEN(H187)</x:f>
        <x:v>0</x:v>
      </x:c>
      <x:c r="Q187" s="77" t="n">
        <x:f>IF(LEN(C187)&gt;0,1,0)+IF(LEN(D187)&gt;0,1,0)+IF(LEN(F187)&gt;0,1,0)+IF(LEN(G187)&gt;0,1,0)+IF(LEN(H187)&gt;0,1,0)+IF(ISNUMBER(I187),1,0)+IF(ISNUMBER(J187),1,0)+IF(ISNUMBER(K187),1,0)+IF(LEN(L187)&gt;0,1,0)</x:f>
        <x:v>7</x:v>
      </x:c>
      <x:c r="R187" s="78" t="n">
        <x:f>Q187/9</x:f>
        <x:v>0.7777777777777778</x:v>
      </x:c>
    </x:row>
    <x:row r="188" ht="72" customHeight="1">
      <x:c r="A188" t="str">
        <x:v>public_0184</x:v>
      </x:c>
      <x:c r="B188" t="str">
        <x:v>B0BWLFCTTF</x:v>
      </x:c>
      <x:c r="C188" s="17" t="str">
        <x:v>Ray-Ban Woman Sunglasses Black Frame, Green Classic G-15 Lenses, 57MM</x:v>
      </x:c>
      <x:c r="D188" s="17" t="str">
        <x:v>Clothing, Shoes &amp; Jewelry | Women | Accessories | Sunglasses &amp; Eyewear Accessories | Sunglasses</x:v>
      </x:c>
      <x:c r="E188" s="17" t="str">
        <x:v>Sunglasses</x:v>
      </x:c>
      <x:c r="F188" s="17" t="str">
        <x:v>Composite/Plastic Frame. | Imported | Plastic,Nylon frame | Plastic lens | Non-Polarized | UV Protection Coating coating | Lens width: 57 millimeters | Lens height: 31 millimeters | Bridge: 19 millimeters | Arm: 135 millimeters | Every model in the Ray-Ban collection is the product of meticulous, original styling that translates the best of the latest fashion trends into an ever-contemporary look for millions of Ray-Ban wearers around the world. | Ray-Ban sizes refer to the width of one lens in millimeters. | Protective case included, cases come in a variety of colors. | Lenses are prescription-ready (Rx-able). | Ray-Ban products include an etched "RB" on the left lens. The RB is not a scratch or defect. | The shape and curvature of these sunglasses may need adjustments. Adjustments should only be made by a professional. | Made in Italy or China.</x:v>
      </x:c>
      <x:c r="G188" s="17" t="str">
        <x:v>Department: womens | Date First Available: October 21, 2013</x:v>
      </x:c>
      <x:c r="H188" s="17" t="str">
        <x:v>Timeless and original, colorful and bold. Discover our iconic selection of Ray-Ban sunglasses and eyeglasses for both men and women made to match your style whilst defining your vision. Including the most-loved and best-selling models such as the legendary Aviator, Wayfarer, Clubmaster, Round and many more - not forgetting our fashionable new arrivals too. With different styles for every face shape, find your perfect pair.</x:v>
      </x:c>
      <x:c r="I188" s="76" t="n">
        <x:v>75.5</x:v>
      </x:c>
      <x:c r="J188" s="75" t="n">
        <x:v>4.5</x:v>
      </x:c>
      <x:c r="K188" s="77" t="n">
        <x:v>199</x:v>
      </x:c>
      <x:c r="L188" s="77" t="str">
        <x:v>Ray-Ban</x:v>
      </x:c>
      <x:c r="M188" s="77" t="n">
        <x:f>LEN(C188)</x:f>
        <x:v>69</x:v>
      </x:c>
      <x:c r="N188" s="77" t="n">
        <x:f>LEN(F188)</x:f>
        <x:v>858</x:v>
      </x:c>
      <x:c r="O188" s="77" t="n">
        <x:f>LEN(G188)</x:f>
        <x:v>59</x:v>
      </x:c>
      <x:c r="P188" s="77" t="n">
        <x:f>LEN(H188)</x:f>
        <x:v>426</x:v>
      </x:c>
      <x:c r="Q188" s="77" t="n">
        <x:f>IF(LEN(C188)&gt;0,1,0)+IF(LEN(D188)&gt;0,1,0)+IF(LEN(F188)&gt;0,1,0)+IF(LEN(G188)&gt;0,1,0)+IF(LEN(H188)&gt;0,1,0)+IF(ISNUMBER(I188),1,0)+IF(ISNUMBER(J188),1,0)+IF(ISNUMBER(K188),1,0)+IF(LEN(L188)&gt;0,1,0)</x:f>
        <x:v>9</x:v>
      </x:c>
      <x:c r="R188" s="78" t="n">
        <x:f>Q188/9</x:f>
        <x:v>1</x:v>
      </x:c>
    </x:row>
    <x:row r="189" ht="72" customHeight="1">
      <x:c r="A189" t="str">
        <x:v>public_0185</x:v>
      </x:c>
      <x:c r="B189" t="str">
        <x:v>B0BCW4QKV5</x:v>
      </x:c>
      <x:c r="C189" s="17" t="str">
        <x:v>MIOTAN Boy Shorts Underwear for Women High Waisted Panties Cotton Boxer Briefs 4 Pack</x:v>
      </x:c>
      <x:c r="D189" s="17" t="str">
        <x:v>Clothing, Shoes &amp; Jewelry | Women | Clothing | Lingerie, Sleep &amp; Lounge | Lingerie | Panties | Boy Shorts</x:v>
      </x:c>
      <x:c r="E189" s="17" t="str">
        <x:v>Boy Shorts</x:v>
      </x:c>
      <x:c r="F189" s="17" t="str">
        <x:v>92%Cotton/8%Spandex | Imported | Pull On closure | Machine Wash | MIOTAN Womens boy shorts underwear are made of high quality cotton fabric, comfortable and soft. 100% cotton crotch add more protection, breathable and Moisture wicking. | Double layer elastic designed waistband of our cotton boyshort underwear for women can avoid obvious waist marks on the skin, comfortable and full coverage. | Our high waisted boyshorts panties fit snug and supper comfy stay in place legs and waistband,no roll down, no pilling. Lengthen wide leg opening design avoid chaffing of the thighs. | Super soft boxer briefs underwear for women /girls /ladies,suitable for long time wear in daily for sleepwear, under dresses, skirts shorts, for dancing/sports like yoga, jogging, running, cycling, Gym. | If you have any questions, please feel free to contact us and we will help you solve them to your satisfaction.</x:v>
      </x:c>
      <x:c r="G189" s="17" t="str">
        <x:v>Package Dimensions: 10.55 x 6.56 x 2.36 inches; 9.76 Ounces | Date First Available: September 2, 2022</x:v>
      </x:c>
      <x:c r="H189" s="17" t="str"/>
      <x:c r="I189" s="76" t="n">
        <x:v>19.99</x:v>
      </x:c>
      <x:c r="J189" s="75" t="n">
        <x:v>4.2</x:v>
      </x:c>
      <x:c r="K189" s="77" t="n">
        <x:v>186</x:v>
      </x:c>
      <x:c r="L189" s="77" t="str">
        <x:v>MIOTAN</x:v>
      </x:c>
      <x:c r="M189" s="77" t="n">
        <x:f>LEN(C189)</x:f>
        <x:v>85</x:v>
      </x:c>
      <x:c r="N189" s="77" t="n">
        <x:f>LEN(F189)</x:f>
        <x:v>898</x:v>
      </x:c>
      <x:c r="O189" s="77" t="n">
        <x:f>LEN(G189)</x:f>
        <x:v>101</x:v>
      </x:c>
      <x:c r="P189" s="77" t="n">
        <x:f>LEN(H189)</x:f>
        <x:v>0</x:v>
      </x:c>
      <x:c r="Q189" s="77" t="n">
        <x:f>IF(LEN(C189)&gt;0,1,0)+IF(LEN(D189)&gt;0,1,0)+IF(LEN(F189)&gt;0,1,0)+IF(LEN(G189)&gt;0,1,0)+IF(LEN(H189)&gt;0,1,0)+IF(ISNUMBER(I189),1,0)+IF(ISNUMBER(J189),1,0)+IF(ISNUMBER(K189),1,0)+IF(LEN(L189)&gt;0,1,0)</x:f>
        <x:v>8</x:v>
      </x:c>
      <x:c r="R189" s="78" t="n">
        <x:f>Q189/9</x:f>
        <x:v>0.8888888888888888</x:v>
      </x:c>
    </x:row>
    <x:row r="190" ht="72" customHeight="1">
      <x:c r="A190" t="str">
        <x:v>public_0186</x:v>
      </x:c>
      <x:c r="B190" t="str">
        <x:v>B07XPLHXC1</x:v>
      </x:c>
      <x:c r="C190" s="17" t="str">
        <x:v>ASICS Women's Gel-Contend 6 Running Shoes</x:v>
      </x:c>
      <x:c r="D190" s="17" t="str">
        <x:v>Clothing, Shoes &amp; Jewelry | Women | Shoes | Athletic | Running | Road Running</x:v>
      </x:c>
      <x:c r="E190" s="17" t="str">
        <x:v>Road Running</x:v>
      </x:c>
      <x:c r="F190" s="17" t="str">
        <x:v>100% Synthetic | Rubber sole | AmpliFoam Midsole: Engineered to maintain durability at softer densities, providing better flexibility, comfort, and platform adaptability ideal for natural running. | Ortholite Sockliner: Moisture management (Ortholite is a registered trademark of O2 Partners LLC). | Rearfoot GEL technology cushioning system: Attenuates shock during impact phase and allows for a smooth transition to midstance. | GEL Technology: Cushioning provides excellent shock absorption | Ortholite Sockliner: Moisture management (Ortholite is a registered trademark of O2 Partners LLC).</x:v>
      </x:c>
      <x:c r="G190" s="17" t="str">
        <x:v>Product Dimensions: 10 x 15 x 6 inches; 2 Pounds | Item model number: 1012A571 | Department: Womens | Date First Available: September 10, 2019 | Manufacturer: Asics</x:v>
      </x:c>
      <x:c r="H190" s="17" t="str"/>
      <x:c r="I190" s="76" t="n">
        <x:v>54.95</x:v>
      </x:c>
      <x:c r="J190" s="75" t="n">
        <x:v>4.6</x:v>
      </x:c>
      <x:c r="K190" s="77" t="n">
        <x:v>12582</x:v>
      </x:c>
      <x:c r="L190" s="77" t="str">
        <x:v>ASICS</x:v>
      </x:c>
      <x:c r="M190" s="77" t="n">
        <x:f>LEN(C190)</x:f>
        <x:v>41</x:v>
      </x:c>
      <x:c r="N190" s="77" t="n">
        <x:f>LEN(F190)</x:f>
        <x:v>594</x:v>
      </x:c>
      <x:c r="O190" s="77" t="n">
        <x:f>LEN(G190)</x:f>
        <x:v>164</x:v>
      </x:c>
      <x:c r="P190" s="77" t="n">
        <x:f>LEN(H190)</x:f>
        <x:v>0</x:v>
      </x:c>
      <x:c r="Q190" s="77" t="n">
        <x:f>IF(LEN(C190)&gt;0,1,0)+IF(LEN(D190)&gt;0,1,0)+IF(LEN(F190)&gt;0,1,0)+IF(LEN(G190)&gt;0,1,0)+IF(LEN(H190)&gt;0,1,0)+IF(ISNUMBER(I190),1,0)+IF(ISNUMBER(J190),1,0)+IF(ISNUMBER(K190),1,0)+IF(LEN(L190)&gt;0,1,0)</x:f>
        <x:v>8</x:v>
      </x:c>
      <x:c r="R190" s="78" t="n">
        <x:f>Q190/9</x:f>
        <x:v>0.8888888888888888</x:v>
      </x:c>
    </x:row>
    <x:row r="191" ht="72" customHeight="1">
      <x:c r="A191" t="str">
        <x:v>public_0187</x:v>
      </x:c>
      <x:c r="B191" t="str">
        <x:v>B000GQ1F3O</x:v>
      </x:c>
      <x:c r="C191" s="17" t="str">
        <x:v>Eastland Men's Newport Slip-On Shoe</x:v>
      </x:c>
      <x:c r="D191" s="17" t="str">
        <x:v>Clothing, Shoes &amp; Jewelry | Men | Shoes | Loafers &amp; Slip-Ons</x:v>
      </x:c>
      <x:c r="E191" s="17" t="str">
        <x:v>Loafers &amp; Slip-Ons</x:v>
      </x:c>
      <x:c r="F191" s="17" t="str">
        <x:v>100% Leather | Leather sole | Leather slip-on featuring dual gore panels at entry and padded collar | Opanka stitch-to-sole construction for "no break-in" flexibility | Removable orthotic for cushion and support | Shock-absorbing PU outsole for durability and comfort</x:v>
      </x:c>
      <x:c r="G191" s="17" t="str">
        <x:v>Package Dimensions: 12 x 8 x 4 inches; 12 Ounces | Department: mens | Date First Available: October 4, 2005 | Manufacturer: Eastland</x:v>
      </x:c>
      <x:c r="H191" s="17" t="str">
        <x:v>You'll kick back in comfort with the Eastland Newport slip-on. Featuring a soft leather upper, these shoes have no mid soles so they'll feel broken-in right out of the box. With a durable PU outsole, unique Opanka stitch-to-sole construction and removable padded orthotics, these shoes are fit to handle all of your after-work and weekend activities. | Since 1955, Eastland's mission has been to supply the customer with top-quality comfortable, durable, contemporary casual footwear that is styled and priced right. Everything they do is driven by these five attributes: quality, comfort, durability, style, and affordable pricing. That is what makes Eastland shoes one of the best footwear values in the market.</x:v>
      </x:c>
      <x:c r="I191" s="76" t="str"/>
      <x:c r="J191" s="75" t="n">
        <x:v>4.4</x:v>
      </x:c>
      <x:c r="K191" s="77" t="n">
        <x:v>542</x:v>
      </x:c>
      <x:c r="L191" s="77" t="str">
        <x:v>Eastland</x:v>
      </x:c>
      <x:c r="M191" s="77" t="n">
        <x:f>LEN(C191)</x:f>
        <x:v>35</x:v>
      </x:c>
      <x:c r="N191" s="77" t="n">
        <x:f>LEN(F191)</x:f>
        <x:v>267</x:v>
      </x:c>
      <x:c r="O191" s="77" t="n">
        <x:f>LEN(G191)</x:f>
        <x:v>132</x:v>
      </x:c>
      <x:c r="P191" s="77" t="n">
        <x:f>LEN(H191)</x:f>
        <x:v>713</x:v>
      </x:c>
      <x:c r="Q191" s="77" t="n">
        <x:f>IF(LEN(C191)&gt;0,1,0)+IF(LEN(D191)&gt;0,1,0)+IF(LEN(F191)&gt;0,1,0)+IF(LEN(G191)&gt;0,1,0)+IF(LEN(H191)&gt;0,1,0)+IF(ISNUMBER(I191),1,0)+IF(ISNUMBER(J191),1,0)+IF(ISNUMBER(K191),1,0)+IF(LEN(L191)&gt;0,1,0)</x:f>
        <x:v>8</x:v>
      </x:c>
      <x:c r="R191" s="78" t="n">
        <x:f>Q191/9</x:f>
        <x:v>0.8888888888888888</x:v>
      </x:c>
    </x:row>
    <x:row r="192" ht="72" customHeight="1">
      <x:c r="A192" t="str">
        <x:v>public_0188</x:v>
      </x:c>
      <x:c r="B192" t="str">
        <x:v>B0B5ZS2J2W</x:v>
      </x:c>
      <x:c r="C192" s="17" t="str">
        <x:v>CLUCI Crossbody Purses for Women, Medium Size Zipper Pocket Adjustable Strap, Soft Leather Women's Shoulder Handbags</x:v>
      </x:c>
      <x:c r="D192" s="17" t="str">
        <x:v>Clothing, Shoes &amp; Jewelry | Women | Handbags &amp; Wallets | Crossbody Bags</x:v>
      </x:c>
      <x:c r="E192" s="17" t="str">
        <x:v>Crossbody Bags</x:v>
      </x:c>
      <x:c r="F192" s="17" t="str">
        <x:v>Artificial Leather,Leather,Pu Leather | Imported | Zipper closure | 💧 [EASY TO MAINTAIN]:This leather multi pocket messenger bag is made of vegetarian PU leather on the outside, and consists of fabric lining and gold hardware on the inside. Artificial leather is durable and easy to clean. Just wipe with water to keep the appearance of this bag as new. | 👍 [Multi functional structure]: Everything a woman's purse needs is a spacious compartment and a gorgeous appearance. Our handmade messenger bag meets both requirements. This multi pocket women's purse has 2 external front zip pockets, 1 rear zip pocket, an internal zip pocket and an inset pocket for carrying your items. Zip pockets are smooth and easy to open and close. | 📑 [Perfect size]: This retro lightweight crossover bag is 9.05 "long x 1.96" wide x 9.64 "high, 0.99 pounds, and has an adjustable shoulder strap that can be adjusted from 12.6" to 22.4 ". This wallet is suitable for carrying wallet, iPad, mobile phone, comb, passport, powder puff, glasses, key ring and some cosmetic accessories. Unlike large handbags, you can organize your items well in this small and practical sling bag. | 🎉 [STYLISH&amp;FUNCTIONAL]: This messenger bag has an adjustable shoulder strap and a top zipper closure, which can be worn in many ways. On a sunny day, carrying a handbag is not an option. This is a women's sling bag, which can be used for daily commuting, air travel, visiting parks or spending the night with friends in clubs. | 🎁 [Meaningful gift]: Leather cross bag is the perfect combination of fashion, softness and durability. This small and cute messenger bag is the perfect gift for any occasion, such as Christmas, Valentine's Day, birthday, Mother's Day and the anniversary of a mother, wife or girlfriend. It is the only gift you will enjoy when going out for shopping, work, school, travel, business or vacation.</x:v>
      </x:c>
      <x:c r="G192" s="17" t="str">
        <x:v>Is Discontinued By Manufacturer: No | Product Dimensions: 8.8 x 2.5 x 6.2 inches; 12.8 Ounces | Department: Womens | Date First Available: May 31, 2022 | Country of Origin: China</x:v>
      </x:c>
      <x:c r="H192" s="17" t="str"/>
      <x:c r="I192" s="76" t="n">
        <x:v>32.99</x:v>
      </x:c>
      <x:c r="J192" s="75" t="n">
        <x:v>4.5</x:v>
      </x:c>
      <x:c r="K192" s="77" t="n">
        <x:v>2181</x:v>
      </x:c>
      <x:c r="L192" s="77" t="str">
        <x:v>CLUCI</x:v>
      </x:c>
      <x:c r="M192" s="77" t="n">
        <x:f>LEN(C192)</x:f>
        <x:v>116</x:v>
      </x:c>
      <x:c r="N192" s="77" t="n">
        <x:f>LEN(F192)</x:f>
        <x:v>1889</x:v>
      </x:c>
      <x:c r="O192" s="77" t="n">
        <x:f>LEN(G192)</x:f>
        <x:v>178</x:v>
      </x:c>
      <x:c r="P192" s="77" t="n">
        <x:f>LEN(H192)</x:f>
        <x:v>0</x:v>
      </x:c>
      <x:c r="Q192" s="77" t="n">
        <x:f>IF(LEN(C192)&gt;0,1,0)+IF(LEN(D192)&gt;0,1,0)+IF(LEN(F192)&gt;0,1,0)+IF(LEN(G192)&gt;0,1,0)+IF(LEN(H192)&gt;0,1,0)+IF(ISNUMBER(I192),1,0)+IF(ISNUMBER(J192),1,0)+IF(ISNUMBER(K192),1,0)+IF(LEN(L192)&gt;0,1,0)</x:f>
        <x:v>8</x:v>
      </x:c>
      <x:c r="R192" s="78" t="n">
        <x:f>Q192/9</x:f>
        <x:v>0.8888888888888888</x:v>
      </x:c>
    </x:row>
    <x:row r="193" ht="72" customHeight="1">
      <x:c r="A193" t="str">
        <x:v>public_0189</x:v>
      </x:c>
      <x:c r="B193" t="str">
        <x:v>B0C614ZPK3</x:v>
      </x:c>
      <x:c r="C193" s="17" t="str">
        <x:v>Levi's Men's 505 Regular Fit Shorts (Also Available in Big &amp; Tall)</x:v>
      </x:c>
      <x:c r="D193" s="17" t="str">
        <x:v>Clothing, Shoes &amp; Jewelry | Men | Clothing | Shorts | Denim</x:v>
      </x:c>
      <x:c r="E193" s="17" t="str">
        <x:v>Denim</x:v>
      </x:c>
      <x:c r="F193" s="17" t="str">
        <x:v>100% Cotton | Imported | Zipper closure | Machine Wash | Sits at waist | Extra room through seat and thigh | Falls at knee | Zip fly | Only available on Amazon | The model in the image is 6' 2" and is wearing 32 x 10. | Also available in Big and Tall for Color: Steel Black and Dachshund Roll</x:v>
      </x:c>
      <x:c r="G193" s="17" t="str">
        <x:v>Item model number: 34505-2110 | Department: mens | Date First Available: May 23, 2023 | Manufacturer: Levi's</x:v>
      </x:c>
      <x:c r="H193" s="17" t="str">
        <x:v>The original zip fly, created in 1967. Classic straight leg shorts. Made with our sustainable Water</x:v>
      </x:c>
      <x:c r="I193" s="76" t="n">
        <x:v>21.16</x:v>
      </x:c>
      <x:c r="J193" s="75" t="n">
        <x:v>4.6</x:v>
      </x:c>
      <x:c r="K193" s="77" t="n">
        <x:v>16216</x:v>
      </x:c>
      <x:c r="L193" s="77" t="str">
        <x:v>Levi's</x:v>
      </x:c>
      <x:c r="M193" s="77" t="n">
        <x:f>LEN(C193)</x:f>
        <x:v>66</x:v>
      </x:c>
      <x:c r="N193" s="77" t="n">
        <x:f>LEN(F193)</x:f>
        <x:v>292</x:v>
      </x:c>
      <x:c r="O193" s="77" t="n">
        <x:f>LEN(G193)</x:f>
        <x:v>108</x:v>
      </x:c>
      <x:c r="P193" s="77" t="n">
        <x:f>LEN(H193)</x:f>
        <x:v>99</x:v>
      </x:c>
      <x:c r="Q193" s="77" t="n">
        <x:f>IF(LEN(C193)&gt;0,1,0)+IF(LEN(D193)&gt;0,1,0)+IF(LEN(F193)&gt;0,1,0)+IF(LEN(G193)&gt;0,1,0)+IF(LEN(H193)&gt;0,1,0)+IF(ISNUMBER(I193),1,0)+IF(ISNUMBER(J193),1,0)+IF(ISNUMBER(K193),1,0)+IF(LEN(L193)&gt;0,1,0)</x:f>
        <x:v>9</x:v>
      </x:c>
      <x:c r="R193" s="78" t="n">
        <x:f>Q193/9</x:f>
        <x:v>1</x:v>
      </x:c>
    </x:row>
    <x:row r="194" ht="72" customHeight="1">
      <x:c r="A194" t="str">
        <x:v>public_0190</x:v>
      </x:c>
      <x:c r="B194" t="str">
        <x:v>B01MQUDPPO</x:v>
      </x:c>
      <x:c r="C194" s="17" t="str">
        <x:v>Iflex Scrubs for Women, Yoga-Inspired Knit Waistband Scrub Pants CK002</x:v>
      </x:c>
      <x:c r="D194" s="17" t="str">
        <x:v>Clothing, Shoes &amp; Jewelry | Women | Uniforms, Work &amp; Safety | Clothing | Medical | Scrub Bottoms</x:v>
      </x:c>
      <x:c r="E194" s="17" t="str">
        <x:v>Scrub Bottoms</x:v>
      </x:c>
      <x:c r="F194" s="17" t="str">
        <x:v>94% Polyester, 6% Spandex | Imported | Pull On closure | Machine Wash | CONTEMPORARY FIT, PETITE SIZES UP TO 2XL - Cherokee iflex petite scrub pants for women come in the sizes you want with the features you need. Available in petite sizes from XXS to 2XL. These Contemporary fit mid rise womens scrubs pants are designed for style, comfort, easy care, and maximum durability. Stretch knit waistband for a comfortable and flattering fit. Straight leg. Petite inseam = 28 ½”. (Underscrub sold separately.) | YOGA-INSPIRED KNIT WAISTBAND - Love yoga pants? So do we! That's why we created these pull-on womens scrub pants featuring a comfy, wide tonal knit waistband with inside elastic. Soft enough to be comfortable. Secure enough to stay in place. These are yoga scrub pants women will buy again and again. Short inseam pants for women available. | SIX POCKETS FOR LOTS OF STORAGE - These stylish medical scrubs for women have a waistband pocket, two roomy front pockets, a coin pocket, and two welt cargo pockets. Plastic key clasp on Cherokee logo tape inside left front pocket to keep your keys secure. These are Cherokee iflex scrubs women petite will want in every color. | ADJUSTABLE HEM - Iflex nursing scrubs style CK002P feature flat bungee elastic at the inside bottom hem for adjustability. Cinch the elastic to create a gathered hem that can be pulled up or turned under. These straight leg petite Cherokee scrubs pants for women offer you style and flexibility. | FOUR-WAY STRETCH PERFORMANCE FABRIC - Iflex women scrubs are constructed from a polyester/spandex crosshatch dobby fabric. This lightweight yet durable fabric is soft and stretchy making it comfortable and easy care to outlast your toughest work shift. Moisture wicking helps move moisture away from the skin to keep you dry and comfortable. Look good and feel even better in these yoga-inspired stretchy nurse scrubs. These scrub petite pants for women are the ideal combination of fit and style.</x:v>
      </x:c>
      <x:c r="G194" s="17" t="str">
        <x:v>Package Dimensions: 1 x 1 x 1 inches; 1 Pounds | Item model number: CK002 | Department: womens | Date First Available: August 16, 2016 | Manufacturer: Cherokee Scrubs Womens Child Code</x:v>
      </x:c>
      <x:c r="H194" s="17" t="str">
        <x:v>A Contemporary fit, mid rise, straight leg pant features a comfort-fit knit waistband reinforced with inside elastic for extra support. Also featured are front pockets with signature logo rivets, logo tape with plastic key clasp (inside right pocket), two welt cargo pockets, a hidden waistband pocket, coin pocket and bungee cord at each leg hem for adjustability. Inseam: 31”. This durable crosshatch stretch dobby fabric combined with soft knit panels provide maximum comfort, movement and flexibility.</x:v>
      </x:c>
      <x:c r="I194" s="76" t="n">
        <x:v>34.99</x:v>
      </x:c>
      <x:c r="J194" s="75" t="n">
        <x:v>4.6</x:v>
      </x:c>
      <x:c r="K194" s="77" t="n">
        <x:v>13604</x:v>
      </x:c>
      <x:c r="L194" s="77" t="str">
        <x:v>Cherokee</x:v>
      </x:c>
      <x:c r="M194" s="77" t="n">
        <x:f>LEN(C194)</x:f>
        <x:v>70</x:v>
      </x:c>
      <x:c r="N194" s="77" t="n">
        <x:f>LEN(F194)</x:f>
        <x:v>1975</x:v>
      </x:c>
      <x:c r="O194" s="77" t="n">
        <x:f>LEN(G194)</x:f>
        <x:v>184</x:v>
      </x:c>
      <x:c r="P194" s="77" t="n">
        <x:f>LEN(H194)</x:f>
        <x:v>505</x:v>
      </x:c>
      <x:c r="Q194" s="77" t="n">
        <x:f>IF(LEN(C194)&gt;0,1,0)+IF(LEN(D194)&gt;0,1,0)+IF(LEN(F194)&gt;0,1,0)+IF(LEN(G194)&gt;0,1,0)+IF(LEN(H194)&gt;0,1,0)+IF(ISNUMBER(I194),1,0)+IF(ISNUMBER(J194),1,0)+IF(ISNUMBER(K194),1,0)+IF(LEN(L194)&gt;0,1,0)</x:f>
        <x:v>9</x:v>
      </x:c>
      <x:c r="R194" s="78" t="n">
        <x:f>Q194/9</x:f>
        <x:v>1</x:v>
      </x:c>
    </x:row>
    <x:row r="195" ht="72" customHeight="1">
      <x:c r="A195" t="str">
        <x:v>public_0191</x:v>
      </x:c>
      <x:c r="B195" t="str">
        <x:v>B083TB1NDK</x:v>
      </x:c>
      <x:c r="C195" s="17" t="str">
        <x:v>CS CELERSPORT 3 Pairs Compression Socks for Men and Women 20-30 mmHg Running Support Socks</x:v>
      </x:c>
      <x:c r="D195" s="17" t="str">
        <x:v>Clothing, Shoes &amp; Jewelry | Men | Clothing | Active</x:v>
      </x:c>
      <x:c r="E195" s="17" t="str">
        <x:v>Active</x:v>
      </x:c>
      <x:c r="F195" s="17" t="str">
        <x:v>Polyamide,Mesh | Machine Wash | Moisture Wicking &amp; Breathable: These compression socks for women are made of lightweight farbic and polyamide, Moisture-wicking yarn and breathable mesh pulls perspiration away from the skin to help keep your feet stay dry, cool, and keep your feet dry all day. Perfect for any season, be it summer or winter! | Friction &amp; Shock Protection: Our mens compression socks use the seamless toe design, these compression socks for men circulation have targeted cushioning on the footbed for shock absorption, Cushion on the toe and in bottom with thicker yarn , reduces the impact and friction when your move, and increasing the performance and durance. | Promote Blood Circulation: This support socks are provided with several zones of graduated for boost venous flow. They are designed to promote blood circulation and oxygen flow preventing cramping ,fatigue, swelling, and helps in muscle recovery, varicose veins and diabetic. Provides true graduated compression to support your legs, help relieve pain &amp; discomfort related to plantar fasciitis. | 3 Sizes To Choose: We have 3 sizes for options to meet the demands of you as well as your family and your friends. These pregnancy compression socks 20-30 mmhg are perfect for running, travel, flight, pregnancy, edema, maternity, medical treatment. Great gift choice for joggers, athletes, workout fanatics, office workers. | CelerSport Best Customer Service: Order now and find the different on your feet. you will be 100% satisfied with our compression stockings! If you have any problem in size, or if you have any quality problem, please contact us, we only want to give you the best service!</x:v>
      </x:c>
      <x:c r="G195" s="17" t="str">
        <x:v>Department: unisex-adult | Date First Available: January 13, 2020 | Manufacturer: CelerSport</x:v>
      </x:c>
      <x:c r="H195" s="17" t="str"/>
      <x:c r="I195" s="76" t="n">
        <x:v>17.95</x:v>
      </x:c>
      <x:c r="J195" s="75" t="n">
        <x:v>4.4</x:v>
      </x:c>
      <x:c r="K195" s="77" t="n">
        <x:v>7797</x:v>
      </x:c>
      <x:c r="L195" s="77" t="str">
        <x:v>CS CELERSPORT</x:v>
      </x:c>
      <x:c r="M195" s="77" t="n">
        <x:f>LEN(C195)</x:f>
        <x:v>90</x:v>
      </x:c>
      <x:c r="N195" s="77" t="n">
        <x:f>LEN(F195)</x:f>
        <x:v>1675</x:v>
      </x:c>
      <x:c r="O195" s="77" t="n">
        <x:f>LEN(G195)</x:f>
        <x:v>92</x:v>
      </x:c>
      <x:c r="P195" s="77" t="n">
        <x:f>LEN(H195)</x:f>
        <x:v>0</x:v>
      </x:c>
      <x:c r="Q195" s="77" t="n">
        <x:f>IF(LEN(C195)&gt;0,1,0)+IF(LEN(D195)&gt;0,1,0)+IF(LEN(F195)&gt;0,1,0)+IF(LEN(G195)&gt;0,1,0)+IF(LEN(H195)&gt;0,1,0)+IF(ISNUMBER(I195),1,0)+IF(ISNUMBER(J195),1,0)+IF(ISNUMBER(K195),1,0)+IF(LEN(L195)&gt;0,1,0)</x:f>
        <x:v>8</x:v>
      </x:c>
      <x:c r="R195" s="78" t="n">
        <x:f>Q195/9</x:f>
        <x:v>0.8888888888888888</x:v>
      </x:c>
    </x:row>
    <x:row r="196" ht="72" customHeight="1">
      <x:c r="A196" t="str">
        <x:v>public_0192</x:v>
      </x:c>
      <x:c r="B196" t="str">
        <x:v>B0C62MF2HV</x:v>
      </x:c>
      <x:c r="C196" s="17" t="str">
        <x:v>adidas unisex adult Adilette Clog Slide Sandal, Pink Tint/White/Pink Tint, 12 Women Men US</x:v>
      </x:c>
      <x:c r="D196" s="17" t="str">
        <x:v>Clothing, Shoes &amp; Jewelry | Men | Shoes | Athletic | Sport Sandals &amp; Slides</x:v>
      </x:c>
      <x:c r="E196" s="17" t="str">
        <x:v>Sport Sandals &amp; Slides</x:v>
      </x:c>
      <x:c r="F196" s="17" t="str">
        <x:v>100% Textile Synthetics | Imported | Ethylene Vinyl Acetate sole | Sport-inspired clogs for every day | Regular fit | Slip-on construction for easy on and off | Synthetic upper for durability and light weight; Contoured footbed for a natural feel | Unisex product is men's sizing; women should size down 1 to 1.5 sizes</x:v>
      </x:c>
      <x:c r="G196" s="17" t="str">
        <x:v>Package Dimensions: 15.31 x 10.87 x 5.35 inches; 4.4 Ounces | Item model number: LEQ20 | Department: Unisex-adult | Date First Available: June 1, 2021 | Manufacturer: adidas</x:v>
      </x:c>
      <x:c r="H196" s="17" t="str">
        <x:v>Whether you're walking to the gym for an early-morning workout or taking the dog around the block, slip your feet into the comfy contoured footbeds of these Adilette Clogs. Kinda like the iconic adidas slides, but with the toes covered. Yeah, you're gonna like these.</x:v>
      </x:c>
      <x:c r="I196" s="76" t="n">
        <x:v>20.68</x:v>
      </x:c>
      <x:c r="J196" s="75" t="n">
        <x:v>4.4</x:v>
      </x:c>
      <x:c r="K196" s="77" t="n">
        <x:v>46</x:v>
      </x:c>
      <x:c r="L196" s="77" t="str">
        <x:v>adidas</x:v>
      </x:c>
      <x:c r="M196" s="77" t="n">
        <x:f>LEN(C196)</x:f>
        <x:v>90</x:v>
      </x:c>
      <x:c r="N196" s="77" t="n">
        <x:f>LEN(F196)</x:f>
        <x:v>318</x:v>
      </x:c>
      <x:c r="O196" s="77" t="n">
        <x:f>LEN(G196)</x:f>
        <x:v>173</x:v>
      </x:c>
      <x:c r="P196" s="77" t="n">
        <x:f>LEN(H196)</x:f>
        <x:v>267</x:v>
      </x:c>
      <x:c r="Q196" s="77" t="n">
        <x:f>IF(LEN(C196)&gt;0,1,0)+IF(LEN(D196)&gt;0,1,0)+IF(LEN(F196)&gt;0,1,0)+IF(LEN(G196)&gt;0,1,0)+IF(LEN(H196)&gt;0,1,0)+IF(ISNUMBER(I196),1,0)+IF(ISNUMBER(J196),1,0)+IF(ISNUMBER(K196),1,0)+IF(LEN(L196)&gt;0,1,0)</x:f>
        <x:v>9</x:v>
      </x:c>
      <x:c r="R196" s="78" t="n">
        <x:f>Q196/9</x:f>
        <x:v>1</x:v>
      </x:c>
    </x:row>
    <x:row r="197" ht="72" customHeight="1">
      <x:c r="A197" t="str">
        <x:v>public_0193</x:v>
      </x:c>
      <x:c r="B197" t="str">
        <x:v>B07YM55NLW</x:v>
      </x:c>
      <x:c r="C197" s="17" t="str">
        <x:v>Shimmer Anna Shine USA American Flag Patriotic Scarf</x:v>
      </x:c>
      <x:c r="D197" s="17" t="str">
        <x:v>Clothing, Shoes &amp; Jewelry | Women | Accessories | Scarves &amp; Wraps | Fashion Scarves</x:v>
      </x:c>
      <x:c r="E197" s="17" t="str">
        <x:v>Fashion Scarves</x:v>
      </x:c>
      <x:c r="F197" s="17" t="str">
        <x:v>Chiffon | Hand Wash Only | Soft and lightweight chiffon fabric. | Beautiful traditional Patriotic colors of Red, White and Blue. | Size: Length 57 inches X Width 27 inches</x:v>
      </x:c>
      <x:c r="G197" s="17" t="str">
        <x:v>Department: womens | Date First Available: October 1, 2019</x:v>
      </x:c>
      <x:c r="H197" s="17" t="str"/>
      <x:c r="I197" s="76" t="n">
        <x:v>8.99</x:v>
      </x:c>
      <x:c r="J197" s="75" t="n">
        <x:v>4.6</x:v>
      </x:c>
      <x:c r="K197" s="77" t="n">
        <x:v>619</x:v>
      </x:c>
      <x:c r="L197" s="77" t="str">
        <x:v>Shimmer Anna Shine</x:v>
      </x:c>
      <x:c r="M197" s="77" t="n">
        <x:f>LEN(C197)</x:f>
        <x:v>52</x:v>
      </x:c>
      <x:c r="N197" s="77" t="n">
        <x:f>LEN(F197)</x:f>
        <x:v>171</x:v>
      </x:c>
      <x:c r="O197" s="77" t="n">
        <x:f>LEN(G197)</x:f>
        <x:v>58</x:v>
      </x:c>
      <x:c r="P197" s="77" t="n">
        <x:f>LEN(H197)</x:f>
        <x:v>0</x:v>
      </x:c>
      <x:c r="Q197" s="77" t="n">
        <x:f>IF(LEN(C197)&gt;0,1,0)+IF(LEN(D197)&gt;0,1,0)+IF(LEN(F197)&gt;0,1,0)+IF(LEN(G197)&gt;0,1,0)+IF(LEN(H197)&gt;0,1,0)+IF(ISNUMBER(I197),1,0)+IF(ISNUMBER(J197),1,0)+IF(ISNUMBER(K197),1,0)+IF(LEN(L197)&gt;0,1,0)</x:f>
        <x:v>8</x:v>
      </x:c>
      <x:c r="R197" s="78" t="n">
        <x:f>Q197/9</x:f>
        <x:v>0.8888888888888888</x:v>
      </x:c>
    </x:row>
    <x:row r="198" ht="72" customHeight="1">
      <x:c r="A198" t="str">
        <x:v>public_0194</x:v>
      </x:c>
      <x:c r="B198" t="str">
        <x:v>B09WR1NZ48</x:v>
      </x:c>
      <x:c r="C198" s="17" t="str">
        <x:v>Graphic Tees for Women Short Sleeve Tshirts,Womens Summer Tops Crewneck Shirt Blouse</x:v>
      </x:c>
      <x:c r="D198" s="17" t="str">
        <x:v>Clothing, Shoes &amp; Jewelry | Women | Clothing | Tops, Tees &amp; Blouses | T-Shirts</x:v>
      </x:c>
      <x:c r="E198" s="17" t="str">
        <x:v>T-Shirts</x:v>
      </x:c>
      <x:c r="F198" s="17" t="str">
        <x:v>95% Rayon, 5% Spandex | Pull On closure | Hand Wash Only | SUPERLATIVE MATERIAL: Cotton blend.The fabric is soft and comfortable with a little bit stretch, light weight, breathable and not see through. Super soft, cool, flexible and fitness makes you a wonderful wearing experience. This premium t-shirt is also specially strongly skin-friendly, with very smooth feel. | CUTE FALL SHIRT: It's fall yall cute letter print shirt, funny leopard pumpkin graphic t-shirt tops, great gift for mom grandmother aunt for Halloween, autumn, Thanksgiving or Christmas | EASY TO MATCH: Perfect for casual sports or work wear, good choice to match with your favorite skinny jeans or leggings, make you look very cute, great to wear as casual street style t-shirt. suit for summer casual, home, party, club, holiday, school, street, beach | CARE INSTRUCTIONS: Please don't put it in the dryer, suggest to hand/machine wash cold water, do not dry clean, not bleach, hang to dry. | SIZE INFORMATION: There are four sizes for your choice(Small, Medium, Large, X-Large). You can get more information from the size chart picture, one size larger is more convenient to knot</x:v>
      </x:c>
      <x:c r="G198" s="17" t="str">
        <x:v>Department: Womens | Date First Available: June 10, 2020</x:v>
      </x:c>
      <x:c r="H198" s="17" t="str"/>
      <x:c r="I198" s="76" t="n">
        <x:v>19.99</x:v>
      </x:c>
      <x:c r="J198" s="75" t="n">
        <x:v>4.3</x:v>
      </x:c>
      <x:c r="K198" s="77" t="n">
        <x:v>8940</x:v>
      </x:c>
      <x:c r="L198" s="77" t="str">
        <x:v>Aoang</x:v>
      </x:c>
      <x:c r="M198" s="77" t="n">
        <x:f>LEN(C198)</x:f>
        <x:v>84</x:v>
      </x:c>
      <x:c r="N198" s="77" t="n">
        <x:f>LEN(F198)</x:f>
        <x:v>1153</x:v>
      </x:c>
      <x:c r="O198" s="77" t="n">
        <x:f>LEN(G198)</x:f>
        <x:v>56</x:v>
      </x:c>
      <x:c r="P198" s="77" t="n">
        <x:f>LEN(H198)</x:f>
        <x:v>0</x:v>
      </x:c>
      <x:c r="Q198" s="77" t="n">
        <x:f>IF(LEN(C198)&gt;0,1,0)+IF(LEN(D198)&gt;0,1,0)+IF(LEN(F198)&gt;0,1,0)+IF(LEN(G198)&gt;0,1,0)+IF(LEN(H198)&gt;0,1,0)+IF(ISNUMBER(I198),1,0)+IF(ISNUMBER(J198),1,0)+IF(ISNUMBER(K198),1,0)+IF(LEN(L198)&gt;0,1,0)</x:f>
        <x:v>8</x:v>
      </x:c>
      <x:c r="R198" s="78" t="n">
        <x:f>Q198/9</x:f>
        <x:v>0.8888888888888888</x:v>
      </x:c>
    </x:row>
    <x:row r="199" ht="72" customHeight="1">
      <x:c r="A199" t="str">
        <x:v>public_0195</x:v>
      </x:c>
      <x:c r="B199" t="str">
        <x:v>B072M4K5LF</x:v>
      </x:c>
      <x:c r="C199" s="17" t="str">
        <x:v>Floerns Women's Ruffle Off Shoulder Rose Embroidery Loose Blouse Top</x:v>
      </x:c>
      <x:c r="D199" s="17" t="str">
        <x:v>Clothing, Shoes &amp; Jewelry | Women | Clothing | Tops, Tees &amp; Blouses | Blouses &amp; Button-Down Shirts</x:v>
      </x:c>
      <x:c r="E199" s="17" t="str">
        <x:v>Blouses &amp; Button-Down Shirts</x:v>
      </x:c>
      <x:c r="F199" s="17" t="str">
        <x:v>100% Rayon | Pull On closure | 100%Rayon | Off the shoulder, short sleeve, ruffle, loose, thin | Loose casual blouse, fit for everyday dressing, for women, for summer | Model: Height:178cm/5'10", Bust:84cm/33", Waist:64cm/25", Hip:90cm/35", Wear: S | Please refer to Size Chart in Product Description as below</x:v>
      </x:c>
      <x:c r="G199" s="17" t="str">
        <x:v>Department: Womens | Date First Available: June 1, 2017</x:v>
      </x:c>
      <x:c r="H199" s="17" t="str"/>
      <x:c r="I199" s="76" t="n">
        <x:v>25.99</x:v>
      </x:c>
      <x:c r="J199" s="75" t="n">
        <x:v>4.2</x:v>
      </x:c>
      <x:c r="K199" s="77" t="n">
        <x:v>820</x:v>
      </x:c>
      <x:c r="L199" s="77" t="str">
        <x:v>Floerns</x:v>
      </x:c>
      <x:c r="M199" s="77" t="n">
        <x:f>LEN(C199)</x:f>
        <x:v>68</x:v>
      </x:c>
      <x:c r="N199" s="77" t="n">
        <x:f>LEN(F199)</x:f>
        <x:v>309</x:v>
      </x:c>
      <x:c r="O199" s="77" t="n">
        <x:f>LEN(G199)</x:f>
        <x:v>55</x:v>
      </x:c>
      <x:c r="P199" s="77" t="n">
        <x:f>LEN(H199)</x:f>
        <x:v>0</x:v>
      </x:c>
      <x:c r="Q199" s="77" t="n">
        <x:f>IF(LEN(C199)&gt;0,1,0)+IF(LEN(D199)&gt;0,1,0)+IF(LEN(F199)&gt;0,1,0)+IF(LEN(G199)&gt;0,1,0)+IF(LEN(H199)&gt;0,1,0)+IF(ISNUMBER(I199),1,0)+IF(ISNUMBER(J199),1,0)+IF(ISNUMBER(K199),1,0)+IF(LEN(L199)&gt;0,1,0)</x:f>
        <x:v>8</x:v>
      </x:c>
      <x:c r="R199" s="78" t="n">
        <x:f>Q199/9</x:f>
        <x:v>0.8888888888888888</x:v>
      </x:c>
    </x:row>
    <x:row r="200" ht="72" customHeight="1">
      <x:c r="A200" t="str">
        <x:v>public_0196</x:v>
      </x:c>
      <x:c r="B200" t="str">
        <x:v>B073T364MM</x:v>
      </x:c>
      <x:c r="C200" s="17" t="str">
        <x:v>DREAM PAIRS Women's Sole-Simple Ballerina Walking Flats Shoes</x:v>
      </x:c>
      <x:c r="D200" s="17" t="str">
        <x:v>Clothing, Shoes &amp; Jewelry | Women | Shoes | Flats</x:v>
      </x:c>
      <x:c r="E200" s="17" t="str">
        <x:v>Flats</x:v>
      </x:c>
      <x:c r="F200" s="17" t="str">
        <x:v>Rubber sole | Design in USA | Heel height: 0.15" (approx) | Ultra Flexible Rubber Outsole | Ultra Soft Lining For Best Comfort | Premium Latex Cushioned Foot-Bed, for Ultimate Comfort</x:v>
      </x:c>
      <x:c r="G200" s="17" t="str">
        <x:v>Department: Womens | Date First Available: March 1, 2017</x:v>
      </x:c>
      <x:c r="H200" s="17" t="str"/>
      <x:c r="I200" s="76" t="n">
        <x:v>30.99</x:v>
      </x:c>
      <x:c r="J200" s="75" t="n">
        <x:v>4.1</x:v>
      </x:c>
      <x:c r="K200" s="77" t="n">
        <x:v>7607</x:v>
      </x:c>
      <x:c r="L200" s="77" t="str">
        <x:v>DREAM PAIRS</x:v>
      </x:c>
      <x:c r="M200" s="77" t="n">
        <x:f>LEN(C200)</x:f>
        <x:v>61</x:v>
      </x:c>
      <x:c r="N200" s="77" t="n">
        <x:f>LEN(F200)</x:f>
        <x:v>183</x:v>
      </x:c>
      <x:c r="O200" s="77" t="n">
        <x:f>LEN(G200)</x:f>
        <x:v>56</x:v>
      </x:c>
      <x:c r="P200" s="77" t="n">
        <x:f>LEN(H200)</x:f>
        <x:v>0</x:v>
      </x:c>
      <x:c r="Q200" s="77" t="n">
        <x:f>IF(LEN(C200)&gt;0,1,0)+IF(LEN(D200)&gt;0,1,0)+IF(LEN(F200)&gt;0,1,0)+IF(LEN(G200)&gt;0,1,0)+IF(LEN(H200)&gt;0,1,0)+IF(ISNUMBER(I200),1,0)+IF(ISNUMBER(J200),1,0)+IF(ISNUMBER(K200),1,0)+IF(LEN(L200)&gt;0,1,0)</x:f>
        <x:v>8</x:v>
      </x:c>
      <x:c r="R200" s="78" t="n">
        <x:f>Q200/9</x:f>
        <x:v>0.8888888888888888</x:v>
      </x:c>
    </x:row>
    <x:row r="201" ht="72" customHeight="1">
      <x:c r="A201" t="str">
        <x:v>public_0197</x:v>
      </x:c>
      <x:c r="B201" t="str">
        <x:v>B07FDNP55K</x:v>
      </x:c>
      <x:c r="C201" s="17" t="str">
        <x:v>Watch Band Strap Link Pins Remover Repair Tool,24 in 1 Kit with 6 Extra Tips Replacement,20PCS Cotter Pin,Spring Bar Tool Set,1PCS Head Hammer</x:v>
      </x:c>
      <x:c r="D201" s="17" t="str">
        <x:v>Clothing, Shoes &amp; Jewelry | Shoe, Jewelry &amp; Watch Accessories | Watch Accessories | Repair Tools &amp; Kits</x:v>
      </x:c>
      <x:c r="E201" s="17" t="str">
        <x:v>Repair Tools &amp; Kits</x:v>
      </x:c>
      <x:c r="F201" s="17" t="str">
        <x:v>What is in the package?EFIXTK watch band tool kit comes with a watch band link pin remover with 6 extra tips, a plastic watch holder, a dual head hammer, 4 pin punches,20pcs cotter pins and a glasses cloth. A perfect kit for watch band link remove and watch repair | Easy to use: Size your watch band yourself with this small, simple tool effectively without wiggling | Fit for different sizes,Fit bands up to 30mm wide ,6 replacement pins and an adjustable base allow for use with different band thicknesses | VALUE KIT FOR MONEY SAVING - This watch band link remover is great for removing and inserting spring bars straps, and widely used in up to 30mm wide watch band replace, watch repair and jewelry making | Package contents: 1PCS All-Metal Watch Band Link Remover，1PCS Holder,1PCS Head Hammer,1PCS Glasses Cloth,20pcs Cotter pins</x:v>
      </x:c>
      <x:c r="G201" s="17" t="str">
        <x:v>Is Discontinued By Manufacturer: No | Package Dimensions: 7.95 x 4.57 x 1.26 inches; 9.59 Ounces | Item model number: EFTK0711001 | Department: unisex-adult | Date First Available: July 11, 2018 | Manufacturer: EFIXTK</x:v>
      </x:c>
      <x:c r="H201" s="17" t="str"/>
      <x:c r="I201" s="76" t="n">
        <x:v>11.99</x:v>
      </x:c>
      <x:c r="J201" s="75" t="n">
        <x:v>4.5</x:v>
      </x:c>
      <x:c r="K201" s="77" t="n">
        <x:v>23103</x:v>
      </x:c>
      <x:c r="L201" s="77" t="str">
        <x:v>EFIXTK</x:v>
      </x:c>
      <x:c r="M201" s="77" t="n">
        <x:f>LEN(C201)</x:f>
        <x:v>142</x:v>
      </x:c>
      <x:c r="N201" s="77" t="n">
        <x:f>LEN(F201)</x:f>
        <x:v>836</x:v>
      </x:c>
      <x:c r="O201" s="77" t="n">
        <x:f>LEN(G201)</x:f>
        <x:v>217</x:v>
      </x:c>
      <x:c r="P201" s="77" t="n">
        <x:f>LEN(H201)</x:f>
        <x:v>0</x:v>
      </x:c>
      <x:c r="Q201" s="77" t="n">
        <x:f>IF(LEN(C201)&gt;0,1,0)+IF(LEN(D201)&gt;0,1,0)+IF(LEN(F201)&gt;0,1,0)+IF(LEN(G201)&gt;0,1,0)+IF(LEN(H201)&gt;0,1,0)+IF(ISNUMBER(I201),1,0)+IF(ISNUMBER(J201),1,0)+IF(ISNUMBER(K201),1,0)+IF(LEN(L201)&gt;0,1,0)</x:f>
        <x:v>8</x:v>
      </x:c>
      <x:c r="R201" s="78" t="n">
        <x:f>Q201/9</x:f>
        <x:v>0.8888888888888888</x:v>
      </x:c>
    </x:row>
    <x:row r="202" ht="72" customHeight="1">
      <x:c r="A202" t="str">
        <x:v>public_0198</x:v>
      </x:c>
      <x:c r="B202" t="str">
        <x:v>B08K1ZJZ4N</x:v>
      </x:c>
      <x:c r="C202" s="17" t="str">
        <x:v>lola mae Quilted Crossbody Bag, Medium Lightweight Shoulder Purse Top Zipper Tassel Accent</x:v>
      </x:c>
      <x:c r="D202" s="17" t="str">
        <x:v>Clothing, Shoes &amp; Jewelry | Women | Handbags &amp; Wallets | Crossbody Bags</x:v>
      </x:c>
      <x:c r="E202" s="17" t="str">
        <x:v>Crossbody Bags</x:v>
      </x:c>
      <x:c r="F202" s="17" t="str">
        <x:v>PU | Imported | * Big enough to fit a wallet and large cell phone - This small crossbody bag is an updated larger version with plenty of room, Perfect size for your everyday use! the purse size is 9.5" (L) x 2.25" (D) x 6.50" (H), the long shoulder strap is adjustable from 22" to 25" drop, from 48" to 54" in length | * Multi pockets - This side purse has 1 open phone pocket outside , 1 zip pocket &amp; 1 slip pocket inside to secure your credit card, phone and keys etc. The detachable chain strap can be replaced easily for a new look, the tassel is also removable | * Trendy design and good quality - This stylish camera purse is well made with soft faux leather and metal hardwares, great quality makes it look like a high end expensive designer purse, many compliments wherever you go, You will love this bag! | * Match your style - With so many different colors and patterns, such as black, nude, beige, taupe,tan, hunter green, yellow, you will find a right color for teen girls, girlfriends and mothers; This going out purse makes a great gift for Valentine's Day, Mother's Day, Easter, Christmas, New year, anniversaries, and other special occasions. | * Money back guaranteed - Shop confidently with these cross body purses for you and your family with 100% satisfaction! please contact us If you have any issues with your purchase, our customer service team will assist you</x:v>
      </x:c>
      <x:c r="G202" s="17" t="str">
        <x:v>Product Dimensions: 9.5 x 2.25 x 6.5 inches; 1.05 Pounds | Item model number: LM692B | Department: Womens | Date First Available: September 14, 2022 | Country of Origin: China</x:v>
      </x:c>
      <x:c r="H202" s="17" t="str"/>
      <x:c r="I202" s="76" t="n">
        <x:v>23.9</x:v>
      </x:c>
      <x:c r="J202" s="75" t="n">
        <x:v>4.7</x:v>
      </x:c>
      <x:c r="K202" s="77" t="n">
        <x:v>4718</x:v>
      </x:c>
      <x:c r="L202" s="77" t="str">
        <x:v>lola mae</x:v>
      </x:c>
      <x:c r="M202" s="77" t="n">
        <x:f>LEN(C202)</x:f>
        <x:v>90</x:v>
      </x:c>
      <x:c r="N202" s="77" t="n">
        <x:f>LEN(F202)</x:f>
        <x:v>1383</x:v>
      </x:c>
      <x:c r="O202" s="77" t="n">
        <x:f>LEN(G202)</x:f>
        <x:v>175</x:v>
      </x:c>
      <x:c r="P202" s="77" t="n">
        <x:f>LEN(H202)</x:f>
        <x:v>0</x:v>
      </x:c>
      <x:c r="Q202" s="77" t="n">
        <x:f>IF(LEN(C202)&gt;0,1,0)+IF(LEN(D202)&gt;0,1,0)+IF(LEN(F202)&gt;0,1,0)+IF(LEN(G202)&gt;0,1,0)+IF(LEN(H202)&gt;0,1,0)+IF(ISNUMBER(I202),1,0)+IF(ISNUMBER(J202),1,0)+IF(ISNUMBER(K202),1,0)+IF(LEN(L202)&gt;0,1,0)</x:f>
        <x:v>8</x:v>
      </x:c>
      <x:c r="R202" s="78" t="n">
        <x:f>Q202/9</x:f>
        <x:v>0.8888888888888888</x:v>
      </x:c>
    </x:row>
    <x:row r="203" ht="72" customHeight="1">
      <x:c r="A203" t="str">
        <x:v>public_0199</x:v>
      </x:c>
      <x:c r="B203" t="str">
        <x:v>B089M57PSQ</x:v>
      </x:c>
      <x:c r="C203" s="17" t="str">
        <x:v>Boboking 100% Cotton Little Boys Briefs Soft Dinosaur Truck Toddler Underwear</x:v>
      </x:c>
      <x:c r="D203" s="17" t="str">
        <x:v>Clothing, Shoes &amp; Jewelry | Boys | Clothing | Underwear | Briefs</x:v>
      </x:c>
      <x:c r="E203" s="17" t="str">
        <x:v>Briefs</x:v>
      </x:c>
      <x:c r="F203" s="17" t="str">
        <x:v>Imported | Machine Wash | 100% Cotton Size:3T (2-3), 4T (3-4), 5 (5-6), 6 (6-7), 8 (7-8), 10 (9-10), 12 (10-12) | Machine wash,boys briefs Cloth material is very soft and comfy,and breathable. extra strength and durability; | The cute designed boy short cut covers your entire backside and sits right on your waistline with a covered elastic band for additional comfort | Breathable, thread does not stick, no smell,we offer this boys underwear made with super soft fabrics from brands. | Package included:Pack of 6 Kids series undies. Each package contains 6 different prints to suit your choice and style</x:v>
      </x:c>
      <x:c r="G203" s="17" t="str">
        <x:v>Item model number: BOboys8866 | Department: Boys | Date First Available: June 3, 2020</x:v>
      </x:c>
      <x:c r="H203" s="17" t="str"/>
      <x:c r="I203" s="76" t="n">
        <x:v>22.99</x:v>
      </x:c>
      <x:c r="J203" s="75" t="n">
        <x:v>4.8</x:v>
      </x:c>
      <x:c r="K203" s="77" t="n">
        <x:v>8314</x:v>
      </x:c>
      <x:c r="L203" s="77" t="str">
        <x:v>Boboking</x:v>
      </x:c>
      <x:c r="M203" s="77" t="n">
        <x:f>LEN(C203)</x:f>
        <x:v>77</x:v>
      </x:c>
      <x:c r="N203" s="77" t="n">
        <x:f>LEN(F203)</x:f>
        <x:v>606</x:v>
      </x:c>
      <x:c r="O203" s="77" t="n">
        <x:f>LEN(G203)</x:f>
        <x:v>85</x:v>
      </x:c>
      <x:c r="P203" s="77" t="n">
        <x:f>LEN(H203)</x:f>
        <x:v>0</x:v>
      </x:c>
      <x:c r="Q203" s="77" t="n">
        <x:f>IF(LEN(C203)&gt;0,1,0)+IF(LEN(D203)&gt;0,1,0)+IF(LEN(F203)&gt;0,1,0)+IF(LEN(G203)&gt;0,1,0)+IF(LEN(H203)&gt;0,1,0)+IF(ISNUMBER(I203),1,0)+IF(ISNUMBER(J203),1,0)+IF(ISNUMBER(K203),1,0)+IF(LEN(L203)&gt;0,1,0)</x:f>
        <x:v>8</x:v>
      </x:c>
      <x:c r="R203" s="78" t="n">
        <x:f>Q203/9</x:f>
        <x:v>0.8888888888888888</x:v>
      </x:c>
    </x:row>
    <x:row r="204" ht="72" customHeight="1">
      <x:c r="A204" t="str">
        <x:v>public_0200</x:v>
      </x:c>
      <x:c r="B204" t="str">
        <x:v>B07VFZ2FC2</x:v>
      </x:c>
      <x:c r="C204" s="17" t="str">
        <x:v>FUNKYMONKEY Mens Bathroom Shower Slippers Indoor Home Beach Non Slip Sandal</x:v>
      </x:c>
      <x:c r="D204" s="17" t="str">
        <x:v>Clothing, Shoes &amp; Jewelry | Men</x:v>
      </x:c>
      <x:c r="E204" s="17" t="str">
        <x:v>Men</x:v>
      </x:c>
      <x:c r="F204" s="17" t="str">
        <x:v>Ethylene Vinyl Acetate sole | Heel measures approximately 2.3 centimeters | 【Concise Style】Diamond pattern and raised design, pure color, casual style are quite suitable for home and any other casual occasion. | 【Soft &amp; Lightweight】Which only weight about 200g, lightweight and durable EVA material can arbitrary bending, thick soles design with light rebound ability, give your feet ultimate comfort and pain relief. | 【Anti Slip】Anti Slip: Sole with diamond-shaped raised design, electing High-Elastic EVA material, has good slip resistance, coupled with the pressure of the human body weight increased friction to keep balance better, especially used in the bath. | 【Widely Occasions】Perfect for all season, Indoor bedroom, Bathroom, Living room, Spa, Gym, Swimming pool, Beach, Holiday, Leisure, public showers, steam rooms, dorms, camps, pools, locker rooms. | 【Satisfaction Guaranteed】We take customer service seriously and hope that you are satisfied with the shopping experience. If you have any questions or comments, please feel free to contact us and we will do our best to meet your needs.</x:v>
      </x:c>
      <x:c r="G204" s="17" t="str">
        <x:v>Department: mens | Date First Available: July 20, 2019</x:v>
      </x:c>
      <x:c r="H204" s="17" t="str"/>
      <x:c r="I204" s="76" t="n">
        <x:v>15.99</x:v>
      </x:c>
      <x:c r="J204" s="75" t="n">
        <x:v>4.3</x:v>
      </x:c>
      <x:c r="K204" s="77" t="n">
        <x:v>15461</x:v>
      </x:c>
      <x:c r="L204" s="77" t="str">
        <x:v>FUNKYMONKEY</x:v>
      </x:c>
      <x:c r="M204" s="77" t="n">
        <x:f>LEN(C204)</x:f>
        <x:v>75</x:v>
      </x:c>
      <x:c r="N204" s="77" t="n">
        <x:f>LEN(F204)</x:f>
        <x:v>1101</x:v>
      </x:c>
      <x:c r="O204" s="77" t="n">
        <x:f>LEN(G204)</x:f>
        <x:v>54</x:v>
      </x:c>
      <x:c r="P204" s="77" t="n">
        <x:f>LEN(H204)</x:f>
        <x:v>0</x:v>
      </x:c>
      <x:c r="Q204" s="77" t="n">
        <x:f>IF(LEN(C204)&gt;0,1,0)+IF(LEN(D204)&gt;0,1,0)+IF(LEN(F204)&gt;0,1,0)+IF(LEN(G204)&gt;0,1,0)+IF(LEN(H204)&gt;0,1,0)+IF(ISNUMBER(I204),1,0)+IF(ISNUMBER(J204),1,0)+IF(ISNUMBER(K204),1,0)+IF(LEN(L204)&gt;0,1,0)</x:f>
        <x:v>8</x:v>
      </x:c>
      <x:c r="R204" s="78" t="n">
        <x:f>Q204/9</x:f>
        <x:v>0.8888888888888888</x:v>
      </x:c>
    </x:row>
  </x:sheetData>
  <x:mergeCells>
    <x:mergeCell ref="A1:R1"/>
    <x:mergeCell ref="A2:R2"/>
  </x:mergeCells>
  <x:conditionalFormatting sqref="R5:R204">
    <x:cfRule type="colorScale" priority="1">
      <x:colorScale>
        <x:cfvo type="min"/>
        <x:cfvo type="percentile" val="50"/>
        <x:cfvo type="max"/>
        <x:color rgb="FFFDE8E7"/>
        <x:color rgb="FFFFF0DF"/>
        <x:color rgb="FFE4F3EA"/>
      </x:colorScale>
    </x:cfRule>
  </x:conditionalFormatting>
  <x:pageMargins left="0.7" right="0.7" top="0.75" bottom="0.75" header="0.3" footer="0.3"/>
  <x:tableParts count="1">
    <x:tablePart xmlns:r="http://schemas.openxmlformats.org/officeDocument/2006/relationships" r:id="R281eb2ef615949e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28" hidden="0" customWidth="1"/>
    <x:col min="4" max="4" width="55" hidden="0" customWidth="1"/>
    <x:col min="5" max="5" width="14" hidden="0" customWidth="1"/>
    <x:col min="6" max="6" width="55" hidden="0" customWidth="1"/>
    <x:col min="7" max="7" width="14" hidden="0" customWidth="1"/>
    <x:col min="8" max="8" width="55" hidden="0" customWidth="1"/>
    <x:col min="9" max="9" width="14" hidden="0" customWidth="1"/>
    <x:col min="10" max="10" width="55" hidden="0" customWidth="1"/>
    <x:col min="11" max="11" width="14" hidden="0" customWidth="1"/>
    <x:col min="12" max="12" width="13" hidden="0" customWidth="1"/>
    <x:col min="13" max="13" width="55" hidden="0" customWidth="1"/>
    <x:col min="14" max="14" width="55" hidden="0" customWidth="1"/>
  </x:cols>
  <x:sheetData>
    <x:row r="1" ht="34" customHeight="1">
      <x:c r="A1" s="4" t="str">
        <x:v>Evaluator-Derived Intent Cards</x:v>
      </x:c>
    </x:row>
    <x:row r="2" ht="30" customHeight="1">
      <x:c r="A2" s="8" t="str">
        <x:v>Exact development materialization used by the shipped local evaluator. These cards are hidden in private evaluation.</x:v>
      </x:c>
      <x:c r="B2" s="8" t="str">
        <x:v>Exact development materialization used by the shipped local evaluator. These cards are hidden in private evaluation.</x:v>
      </x:c>
      <x:c r="C2" s="8" t="str">
        <x:v>Exact development materialization used by the shipped local evaluator. These cards are hidden in private evaluation.</x:v>
      </x:c>
      <x:c r="D2" s="8" t="str">
        <x:v>Exact development materialization used by the shipped local evaluator. These cards are hidden in private evaluation.</x:v>
      </x:c>
      <x:c r="E2" s="8" t="str">
        <x:v>Exact development materialization used by the shipped local evaluator. These cards are hidden in private evaluation.</x:v>
      </x:c>
      <x:c r="F2" s="8" t="str">
        <x:v>Exact development materialization used by the shipped local evaluator. These cards are hidden in private evaluation.</x:v>
      </x:c>
      <x:c r="G2" s="8" t="str">
        <x:v>Exact development materialization used by the shipped local evaluator. These cards are hidden in private evaluation.</x:v>
      </x:c>
      <x:c r="H2" s="8" t="str">
        <x:v>Exact development materialization used by the shipped local evaluator. These cards are hidden in private evaluation.</x:v>
      </x:c>
      <x:c r="I2" s="8" t="str">
        <x:v>Exact development materialization used by the shipped local evaluator. These cards are hidden in private evaluation.</x:v>
      </x:c>
      <x:c r="J2" s="8" t="str">
        <x:v>Exact development materialization used by the shipped local evaluator. These cards are hidden in private evaluation.</x:v>
      </x:c>
      <x:c r="K2" s="8" t="str">
        <x:v>Exact development materialization used by the shipped local evaluator. These cards are hidden in private evaluation.</x:v>
      </x:c>
      <x:c r="L2" s="8" t="str">
        <x:v>Exact development materialization used by the shipped local evaluator. These cards are hidden in private evaluation.</x:v>
      </x:c>
      <x:c r="M2" s="8" t="str">
        <x:v>Exact development materialization used by the shipped local evaluator. These cards are hidden in private evaluation.</x:v>
      </x:c>
      <x:c r="N2" s="8" t="str">
        <x:v>Exact development materialization used by the shipped local evaluator. These cards are hidden in private evaluation.</x:v>
      </x:c>
    </x:row>
    <x:row r="4" ht="28" customHeight="1">
      <x:c r="A4" s="40" t="str">
        <x:v>sample_id</x:v>
      </x:c>
      <x:c r="B4" s="41" t="str">
        <x:v>scenario_type</x:v>
      </x:c>
      <x:c r="C4" s="41" t="str">
        <x:v>target_category</x:v>
      </x:c>
      <x:c r="D4" s="41" t="str">
        <x:v>hard_1</x:v>
      </x:c>
      <x:c r="E4" s="41" t="str">
        <x:v>hard_1_type</x:v>
      </x:c>
      <x:c r="F4" s="41" t="str">
        <x:v>hard_2</x:v>
      </x:c>
      <x:c r="G4" s="41" t="str">
        <x:v>hard_2_type</x:v>
      </x:c>
      <x:c r="H4" s="41" t="str">
        <x:v>soft_1</x:v>
      </x:c>
      <x:c r="I4" s="41" t="str">
        <x:v>soft_1_type</x:v>
      </x:c>
      <x:c r="J4" s="41" t="str">
        <x:v>soft_2</x:v>
      </x:c>
      <x:c r="K4" s="41" t="str">
        <x:v>soft_2_type</x:v>
      </x:c>
      <x:c r="L4" s="41" t="str">
        <x:v>override_turn</x:v>
      </x:c>
      <x:c r="M4" s="41" t="str">
        <x:v>override_old</x:v>
      </x:c>
      <x:c r="N4" s="42" t="str">
        <x:v>override_new</x:v>
      </x:c>
    </x:row>
    <x:row r="5">
      <x:c r="A5" t="str">
        <x:v>public_0001</x:v>
      </x:c>
      <x:c r="B5" t="str">
        <x:v>buying</x:v>
      </x:c>
      <x:c r="C5" t="str">
        <x:v>Jewelry Necklaces</x:v>
      </x:c>
      <x:c r="D5" s="17" t="str">
        <x:v>Material:alloy</x:v>
      </x:c>
      <x:c r="E5" s="17" t="str">
        <x:v>feature</x:v>
      </x:c>
      <x:c r="F5" s="17" t="str">
        <x:v>Triple Moon Pentagram Symbol</x:v>
      </x:c>
      <x:c r="G5" s="17" t="str">
        <x:v>feature</x:v>
      </x:c>
      <x:c r="H5" s="17" t="str">
        <x:v>The Triple Moon represents the Phases of the Moon which are linked to the three aspects of the Goddess and the phases of the Life of Women.The Pentagram representing the holistic r</x:v>
      </x:c>
      <x:c r="I5" s="17" t="str">
        <x:v>feature</x:v>
      </x:c>
      <x:c r="J5" s="17" t="str">
        <x:v>♥ a special gift to your wife/mom/girlfriend/daughter/grandmother/best friend/kids on St. Valentine’s Day, Easter， Christmas day,Birthday,Anniversary ,Independence Day,Labor Day,Th</x:v>
      </x:c>
      <x:c r="K5" s="17" t="str">
        <x:v>feature</x:v>
      </x:c>
      <x:c r="L5" s="17" t="str"/>
      <x:c r="M5" s="17" t="str"/>
      <x:c r="N5" s="17" t="str"/>
    </x:row>
    <x:row r="6">
      <x:c r="A6" t="str">
        <x:v>public_0002</x:v>
      </x:c>
      <x:c r="B6" t="str">
        <x:v>intent_override</x:v>
      </x:c>
      <x:c r="C6" t="str">
        <x:v>Accessories Belts</x:v>
      </x:c>
      <x:c r="D6" s="17" t="str">
        <x:v>leather</x:v>
      </x:c>
      <x:c r="E6" s="17" t="str">
        <x:v>material</x:v>
      </x:c>
      <x:c r="F6" s="17" t="str">
        <x:v>100% Leather</x:v>
      </x:c>
      <x:c r="G6" s="17" t="str">
        <x:v>material</x:v>
      </x:c>
      <x:c r="H6" s="17" t="str">
        <x:v>Imported</x:v>
      </x:c>
      <x:c r="I6" s="17" t="str">
        <x:v>feature</x:v>
      </x:c>
      <x:c r="J6" s="17" t="str">
        <x:v>Buckle closure</x:v>
      </x:c>
      <x:c r="K6" s="17" t="str">
        <x:v>feature</x:v>
      </x:c>
      <x:c r="L6" s="17" t="n">
        <x:v>3</x:v>
      </x:c>
      <x:c r="M6" s="17" t="str">
        <x:v>Buckle closure</x:v>
      </x:c>
      <x:c r="N6" s="17" t="str">
        <x:v>leather</x:v>
      </x:c>
    </x:row>
    <x:row r="7">
      <x:c r="A7" t="str">
        <x:v>public_0003</x:v>
      </x:c>
      <x:c r="B7" t="str">
        <x:v>intent_override</x:v>
      </x:c>
      <x:c r="C7" t="str">
        <x:v>Watches Wrist Watches</x:v>
      </x:c>
      <x:c r="D7" s="17" t="str">
        <x:v>Water Resistant</x:v>
      </x:c>
      <x:c r="E7" s="17" t="str">
        <x:v>feature</x:v>
      </x:c>
      <x:c r="F7" s="17" t="str">
        <x:v>3 Year Battery</x:v>
      </x:c>
      <x:c r="G7" s="17" t="str">
        <x:v>feature</x:v>
      </x:c>
      <x:c r="H7" s="17" t="str">
        <x:v>Day / Date Indicator</x:v>
      </x:c>
      <x:c r="I7" s="17" t="str">
        <x:v>feature</x:v>
      </x:c>
      <x:c r="J7" s="17" t="str">
        <x:v>Stainless Steel Band</x:v>
      </x:c>
      <x:c r="K7" s="17" t="str">
        <x:v>feature</x:v>
      </x:c>
      <x:c r="L7" s="17" t="n">
        <x:v>3</x:v>
      </x:c>
      <x:c r="M7" s="17" t="str">
        <x:v>Stainless Steel Band</x:v>
      </x:c>
      <x:c r="N7" s="17" t="str">
        <x:v>Water Resistant</x:v>
      </x:c>
    </x:row>
    <x:row r="8">
      <x:c r="A8" t="str">
        <x:v>public_0004</x:v>
      </x:c>
      <x:c r="B8" t="str">
        <x:v>intent_override</x:v>
      </x:c>
      <x:c r="C8" t="str">
        <x:v>Tops &amp; Tees Tanks &amp; Camis</x:v>
      </x:c>
      <x:c r="D8" s="17" t="str">
        <x:v>polyester</x:v>
      </x:c>
      <x:c r="E8" s="17" t="str">
        <x:v>material</x:v>
      </x:c>
      <x:c r="F8" s="17" t="str">
        <x:v>Polyester,Cotton,Spandex</x:v>
      </x:c>
      <x:c r="G8" s="17" t="str">
        <x:v>material</x:v>
      </x:c>
      <x:c r="H8" s="17" t="str">
        <x:v>Quality soft cottonblend camisole, 95% cotton, 5% spandex, Neon Colors 57% cotton 38% polyester 5% spandex</x:v>
      </x:c>
      <x:c r="I8" s="17" t="str">
        <x:v>material</x:v>
      </x:c>
      <x:c r="J8" s="17" t="str">
        <x:v>Long torso camisole for extra coverage with spagetti adjustable strap for perfect fit</x:v>
      </x:c>
      <x:c r="K8" s="17" t="str">
        <x:v>style</x:v>
      </x:c>
      <x:c r="L8" s="17" t="n">
        <x:v>3</x:v>
      </x:c>
      <x:c r="M8" s="17" t="str">
        <x:v>Long torso camisole for extra coverage with spagetti adjustable strap for perfect fit</x:v>
      </x:c>
      <x:c r="N8" s="17" t="str">
        <x:v>polyester</x:v>
      </x:c>
    </x:row>
    <x:row r="9">
      <x:c r="A9" t="str">
        <x:v>public_0005</x:v>
      </x:c>
      <x:c r="B9" t="str">
        <x:v>buying</x:v>
      </x:c>
      <x:c r="C9" t="str">
        <x:v>Outdoor &amp; Work Snow &amp; Cold Weather</x:v>
      </x:c>
      <x:c r="D9" s="17" t="str">
        <x:v>leather</x:v>
      </x:c>
      <x:c r="E9" s="17" t="str">
        <x:v>material</x:v>
      </x:c>
      <x:c r="F9" s="17" t="str">
        <x:v>Rubber sole</x:v>
      </x:c>
      <x:c r="G9" s="17" t="str">
        <x:v>feature</x:v>
      </x:c>
      <x:c r="H9" s="17" t="str">
        <x:v>Shaft measures approximately 8.37" from arch</x:v>
      </x:c>
      <x:c r="I9" s="17" t="str">
        <x:v>feature</x:v>
      </x:c>
      <x:c r="J9" s="17" t="str">
        <x:v>Warm And Comfortable Women’s Winter Boots: These Women Winter Boots Featuring Thermolite Insulation Rated To -15F. Fully Lined With Soft Faux Fur To Keep The Feet Warm All Day Long</x:v>
      </x:c>
      <x:c r="K9" s="17" t="str">
        <x:v>use_case</x:v>
      </x:c>
      <x:c r="L9" s="17" t="str"/>
      <x:c r="M9" s="17" t="str"/>
      <x:c r="N9" s="17" t="str"/>
    </x:row>
    <x:row r="10">
      <x:c r="A10" t="str">
        <x:v>public_0006</x:v>
      </x:c>
      <x:c r="B10" t="str">
        <x:v>browsing</x:v>
      </x:c>
      <x:c r="C10" t="str">
        <x:v>Basketball Men</x:v>
      </x:c>
      <x:c r="D10" s="17" t="str">
        <x:v>polyester</x:v>
      </x:c>
      <x:c r="E10" s="17" t="str">
        <x:v>material</x:v>
      </x:c>
      <x:c r="F10" s="17" t="str">
        <x:v>100% Polyester</x:v>
      </x:c>
      <x:c r="G10" s="17" t="str">
        <x:v>material</x:v>
      </x:c>
      <x:c r="H10" s="17" t="str">
        <x:v>Drawstring closure</x:v>
      </x:c>
      <x:c r="I10" s="17" t="str">
        <x:v>feature</x:v>
      </x:c>
      <x:c r="J10" s="17" t="str">
        <x:v>High quality mesh for maximum breathability to keep you cool</x:v>
      </x:c>
      <x:c r="K10" s="17" t="str">
        <x:v>feature</x:v>
      </x:c>
      <x:c r="L10" s="17" t="str"/>
      <x:c r="M10" s="17" t="str"/>
      <x:c r="N10" s="17" t="str"/>
    </x:row>
    <x:row r="11">
      <x:c r="A11" t="str">
        <x:v>public_0007</x:v>
      </x:c>
      <x:c r="B11" t="str">
        <x:v>browsing</x:v>
      </x:c>
      <x:c r="C11" t="str">
        <x:v>Tees &amp; Blouses Tunics</x:v>
      </x:c>
      <x:c r="D11" s="17" t="str">
        <x:v>polyester</x:v>
      </x:c>
      <x:c r="E11" s="17" t="str">
        <x:v>material</x:v>
      </x:c>
      <x:c r="F11" s="17" t="str">
        <x:v>75% Polyester, 20% Rayon, 5% Spandex</x:v>
      </x:c>
      <x:c r="G11" s="17" t="str">
        <x:v>material</x:v>
      </x:c>
      <x:c r="H11" s="17" t="str">
        <x:v>Imported</x:v>
      </x:c>
      <x:c r="I11" s="17" t="str">
        <x:v>feature</x:v>
      </x:c>
      <x:c r="J11" s="17" t="str">
        <x:v>Pull On closure</x:v>
      </x:c>
      <x:c r="K11" s="17" t="str">
        <x:v>feature</x:v>
      </x:c>
      <x:c r="L11" s="17" t="str"/>
      <x:c r="M11" s="17" t="str"/>
      <x:c r="N11" s="17" t="str"/>
    </x:row>
    <x:row r="12">
      <x:c r="A12" t="str">
        <x:v>public_0008</x:v>
      </x:c>
      <x:c r="B12" t="str">
        <x:v>buying</x:v>
      </x:c>
      <x:c r="C12" t="str">
        <x:v>Bras Everyday Bras</x:v>
      </x:c>
      <x:c r="D12" s="17" t="str">
        <x:v>nylon</x:v>
      </x:c>
      <x:c r="E12" s="17" t="str">
        <x:v>material</x:v>
      </x:c>
      <x:c r="F12" s="17" t="str">
        <x:v>96% Nylon, 4% Spandex</x:v>
      </x:c>
      <x:c r="G12" s="17" t="str">
        <x:v>material</x:v>
      </x:c>
      <x:c r="H12" s="17" t="str">
        <x:v>Pull-On closure</x:v>
      </x:c>
      <x:c r="I12" s="17" t="str">
        <x:v>feature</x:v>
      </x:c>
      <x:c r="J12" s="17" t="str">
        <x:v>Hand Wash Only</x:v>
      </x:c>
      <x:c r="K12" s="17" t="str">
        <x:v>feature</x:v>
      </x:c>
      <x:c r="L12" s="17" t="str"/>
      <x:c r="M12" s="17" t="str"/>
      <x:c r="N12" s="17" t="str"/>
    </x:row>
    <x:row r="13">
      <x:c r="A13" t="str">
        <x:v>public_0009</x:v>
      </x:c>
      <x:c r="B13" t="str">
        <x:v>buying</x:v>
      </x:c>
      <x:c r="C13" t="str">
        <x:v>Handbags &amp; Wallets Totes</x:v>
      </x:c>
      <x:c r="D13" s="17" t="str">
        <x:v>leather</x:v>
      </x:c>
      <x:c r="E13" s="17" t="str">
        <x:v>material</x:v>
      </x:c>
      <x:c r="F13" s="17" t="str">
        <x:v>Soft Washed PU Leather with Convenient side Pockets</x:v>
      </x:c>
      <x:c r="G13" s="17" t="str">
        <x:v>material</x:v>
      </x:c>
      <x:c r="H13" s="17" t="str">
        <x:v>Imported</x:v>
      </x:c>
      <x:c r="I13" s="17" t="str">
        <x:v>feature</x:v>
      </x:c>
      <x:c r="J13" s="17" t="str">
        <x:v>Adjustable and Removable Shoulder Strap</x:v>
      </x:c>
      <x:c r="K13" s="17" t="str">
        <x:v>feature</x:v>
      </x:c>
      <x:c r="L13" s="17" t="str"/>
      <x:c r="M13" s="17" t="str"/>
      <x:c r="N13" s="17" t="str"/>
    </x:row>
    <x:row r="14">
      <x:c r="A14" t="str">
        <x:v>public_0010</x:v>
      </x:c>
      <x:c r="B14" t="str">
        <x:v>buying</x:v>
      </x:c>
      <x:c r="C14" t="str">
        <x:v>Women Bodysuits</x:v>
      </x:c>
      <x:c r="D14" s="17" t="str">
        <x:v>fabric</x:v>
      </x:c>
      <x:c r="E14" s="17" t="str">
        <x:v>material</x:v>
      </x:c>
      <x:c r="F14" s="17" t="str">
        <x:v>Stretchy fabric: 95% modal, 5% spandex</x:v>
      </x:c>
      <x:c r="G14" s="17" t="str">
        <x:v>material</x:v>
      </x:c>
      <x:c r="H14" s="17" t="str">
        <x:v>Imported</x:v>
      </x:c>
      <x:c r="I14" s="17" t="str">
        <x:v>feature</x:v>
      </x:c>
      <x:c r="J14" s="17" t="str">
        <x:v>Snap closure</x:v>
      </x:c>
      <x:c r="K14" s="17" t="str">
        <x:v>feature</x:v>
      </x:c>
      <x:c r="L14" s="17" t="str"/>
      <x:c r="M14" s="17" t="str"/>
      <x:c r="N14" s="17" t="str"/>
    </x:row>
    <x:row r="15">
      <x:c r="A15" t="str">
        <x:v>public_0011</x:v>
      </x:c>
      <x:c r="B15" t="str">
        <x:v>browsing</x:v>
      </x:c>
      <x:c r="C15" t="str">
        <x:v>Underwear Undershirts</x:v>
      </x:c>
      <x:c r="D15" s="17" t="str">
        <x:v>cotton</x:v>
      </x:c>
      <x:c r="E15" s="17" t="str">
        <x:v>material</x:v>
      </x:c>
      <x:c r="F15" s="17" t="str">
        <x:v>100% Cotton</x:v>
      </x:c>
      <x:c r="G15" s="17" t="str">
        <x:v>material</x:v>
      </x:c>
      <x:c r="H15" s="17" t="str">
        <x:v>Imported</x:v>
      </x:c>
      <x:c r="I15" s="17" t="str">
        <x:v>feature</x:v>
      </x:c>
      <x:c r="J15" s="17" t="str">
        <x:v>undershirts closure</x:v>
      </x:c>
      <x:c r="K15" s="17" t="str">
        <x:v>feature</x:v>
      </x:c>
      <x:c r="L15" s="17" t="str"/>
      <x:c r="M15" s="17" t="str"/>
      <x:c r="N15" s="17" t="str"/>
    </x:row>
    <x:row r="16">
      <x:c r="A16" t="str">
        <x:v>public_0012</x:v>
      </x:c>
      <x:c r="B16" t="str">
        <x:v>browsing</x:v>
      </x:c>
      <x:c r="C16" t="str">
        <x:v>Women Dresses</x:v>
      </x:c>
      <x:c r="D16" s="17" t="str">
        <x:v>polyester</x:v>
      </x:c>
      <x:c r="E16" s="17" t="str">
        <x:v>material</x:v>
      </x:c>
      <x:c r="F16" s="17" t="str">
        <x:v>95% Polyester, 5% Spandex</x:v>
      </x:c>
      <x:c r="G16" s="17" t="str">
        <x:v>material</x:v>
      </x:c>
      <x:c r="H16" s="17" t="str">
        <x:v>Imported</x:v>
      </x:c>
      <x:c r="I16" s="17" t="str">
        <x:v>feature</x:v>
      </x:c>
      <x:c r="J16" s="17" t="str">
        <x:v>Wrap closure</x:v>
      </x:c>
      <x:c r="K16" s="17" t="str">
        <x:v>feature</x:v>
      </x:c>
      <x:c r="L16" s="17" t="str"/>
      <x:c r="M16" s="17" t="str"/>
      <x:c r="N16" s="17" t="str"/>
    </x:row>
    <x:row r="17">
      <x:c r="A17" t="str">
        <x:v>public_0013</x:v>
      </x:c>
      <x:c r="B17" t="str">
        <x:v>intent_override</x:v>
      </x:c>
      <x:c r="C17" t="str">
        <x:v>Shoes Slippers</x:v>
      </x:c>
      <x:c r="D17" s="17" t="str">
        <x:v>Rubber sole</x:v>
      </x:c>
      <x:c r="E17" s="17" t="str">
        <x:v>feature</x:v>
      </x:c>
      <x:c r="F17" s="17" t="str">
        <x:v>Textile Upper. Textile Covered EVA Footbed. Rubber Outsole</x:v>
      </x:c>
      <x:c r="G17" s="17" t="str">
        <x:v>color</x:v>
      </x:c>
      <x:c r="H17" s="17" t="str">
        <x:v>Received APMA (American Podiatric Medical Association) Seal of Acceptance</x:v>
      </x:c>
      <x:c r="I17" s="17" t="str">
        <x:v>feature</x:v>
      </x:c>
      <x:c r="J17" s="17" t="str">
        <x:v>YOUR NEW FAVORITE SLIPPERS: Slip into divine comfort with Gemma, a plush mule-style spa slipper with an adjustable hook-and-loop closure across the vamp</x:v>
      </x:c>
      <x:c r="K17" s="17" t="str">
        <x:v>style</x:v>
      </x:c>
      <x:c r="L17" s="17" t="n">
        <x:v>4</x:v>
      </x:c>
      <x:c r="M17" s="17" t="str">
        <x:v>YOUR NEW FAVORITE SLIPPERS: Slip into divine comfort with Gemma, a plush mule-style spa slipper with an adjustable hook-and-loop closure across the vamp</x:v>
      </x:c>
      <x:c r="N17" s="17" t="str">
        <x:v>Rubber sole</x:v>
      </x:c>
    </x:row>
    <x:row r="18">
      <x:c r="A18" t="str">
        <x:v>public_0014</x:v>
      </x:c>
      <x:c r="B18" t="str">
        <x:v>browsing</x:v>
      </x:c>
      <x:c r="C18" t="str">
        <x:v>Underwear Briefs</x:v>
      </x:c>
      <x:c r="D18" s="17" t="str">
        <x:v>cotton</x:v>
      </x:c>
      <x:c r="E18" s="17" t="str">
        <x:v>material</x:v>
      </x:c>
      <x:c r="F18" s="17" t="str">
        <x:v>Solids: 100% Cotton; heathers: 75% cotton, 25% polyester</x:v>
      </x:c>
      <x:c r="G18" s="17" t="str">
        <x:v>material</x:v>
      </x:c>
      <x:c r="H18" s="17" t="str">
        <x:v>Imported</x:v>
      </x:c>
      <x:c r="I18" s="17" t="str">
        <x:v>feature</x:v>
      </x:c>
      <x:c r="J18" s="17" t="str">
        <x:v>Pull On closure</x:v>
      </x:c>
      <x:c r="K18" s="17" t="str">
        <x:v>feature</x:v>
      </x:c>
      <x:c r="L18" s="17" t="str"/>
      <x:c r="M18" s="17" t="str"/>
      <x:c r="N18" s="17" t="str"/>
    </x:row>
    <x:row r="19">
      <x:c r="A19" t="str">
        <x:v>public_0015</x:v>
      </x:c>
      <x:c r="B19" t="str">
        <x:v>browsing</x:v>
      </x:c>
      <x:c r="C19" t="str">
        <x:v>Shoes Mules &amp; Clogs</x:v>
      </x:c>
      <x:c r="D19" s="17" t="str">
        <x:v>fabric</x:v>
      </x:c>
      <x:c r="E19" s="17" t="str">
        <x:v>material</x:v>
      </x:c>
      <x:c r="F19" s="17" t="str">
        <x:v>Made in the USA or Imported</x:v>
      </x:c>
      <x:c r="G19" s="17" t="str">
        <x:v>feature</x:v>
      </x:c>
      <x:c r="H19" s="17" t="str">
        <x:v>Ethylene Vinyl Acetate sole</x:v>
      </x:c>
      <x:c r="I19" s="17" t="str">
        <x:v>feature</x:v>
      </x:c>
      <x:c r="J19" s="17" t="str">
        <x:v>Shaft measures approximately 8#inches from arch</x:v>
      </x:c>
      <x:c r="K19" s="17" t="str">
        <x:v>feature</x:v>
      </x:c>
      <x:c r="L19" s="17" t="str"/>
      <x:c r="M19" s="17" t="str"/>
      <x:c r="N19" s="17" t="str"/>
    </x:row>
    <x:row r="20">
      <x:c r="A20" t="str">
        <x:v>public_0016</x:v>
      </x:c>
      <x:c r="B20" t="str">
        <x:v>browsing</x:v>
      </x:c>
      <x:c r="C20" t="str">
        <x:v>Boots Mid-Calf</x:v>
      </x:c>
      <x:c r="D20" s="17" t="str">
        <x:v>leather</x:v>
      </x:c>
      <x:c r="E20" s="17" t="str">
        <x:v>material</x:v>
      </x:c>
      <x:c r="F20" s="17" t="str">
        <x:v>Imported</x:v>
      </x:c>
      <x:c r="G20" s="17" t="str">
        <x:v>feature</x:v>
      </x:c>
      <x:c r="H20" s="17" t="str">
        <x:v>Rubber sole</x:v>
      </x:c>
      <x:c r="I20" s="17" t="str">
        <x:v>feature</x:v>
      </x:c>
      <x:c r="J20" s="17" t="str">
        <x:v>Shaft measures approximately ankle-high from arch</x:v>
      </x:c>
      <x:c r="K20" s="17" t="str">
        <x:v>feature</x:v>
      </x:c>
      <x:c r="L20" s="17" t="str"/>
      <x:c r="M20" s="17" t="str"/>
      <x:c r="N20" s="17" t="str"/>
    </x:row>
    <x:row r="21">
      <x:c r="A21" t="str">
        <x:v>public_0017</x:v>
      </x:c>
      <x:c r="B21" t="str">
        <x:v>buying</x:v>
      </x:c>
      <x:c r="C21" t="str">
        <x:v>Card Cases &amp; Money Organizers Wallets</x:v>
      </x:c>
      <x:c r="D21" s="17" t="str">
        <x:v>leather</x:v>
      </x:c>
      <x:c r="E21" s="17" t="str">
        <x:v>material</x:v>
      </x:c>
      <x:c r="F21" s="17" t="str">
        <x:v>color: red</x:v>
      </x:c>
      <x:c r="G21" s="17" t="str">
        <x:v>color</x:v>
      </x:c>
      <x:c r="H21" s="17" t="str">
        <x:v>Leather</x:v>
      </x:c>
      <x:c r="I21" s="17" t="str">
        <x:v>material</x:v>
      </x:c>
      <x:c r="J21" s="17" t="str">
        <x:v>Leather lining</x:v>
      </x:c>
      <x:c r="K21" s="17" t="str">
        <x:v>material</x:v>
      </x:c>
      <x:c r="L21" s="17" t="str"/>
      <x:c r="M21" s="17" t="str"/>
      <x:c r="N21" s="17" t="str"/>
    </x:row>
    <x:row r="22">
      <x:c r="A22" t="str">
        <x:v>public_0018</x:v>
      </x:c>
      <x:c r="B22" t="str">
        <x:v>buying</x:v>
      </x:c>
      <x:c r="C22" t="str">
        <x:v>Shirts Tanks Tops</x:v>
      </x:c>
      <x:c r="D22" s="17" t="str">
        <x:v>polyester</x:v>
      </x:c>
      <x:c r="E22" s="17" t="str">
        <x:v>material</x:v>
      </x:c>
      <x:c r="F22" s="17" t="str">
        <x:v>Modal,Polyester,Cotton</x:v>
      </x:c>
      <x:c r="G22" s="17" t="str">
        <x:v>material</x:v>
      </x:c>
      <x:c r="H22" s="17" t="str">
        <x:v>Pull On closure</x:v>
      </x:c>
      <x:c r="I22" s="17" t="str">
        <x:v>feature</x:v>
      </x:c>
      <x:c r="J22" s="17" t="str">
        <x:v>Material: 95%Cotton &amp; 5%Polyester - Made of Superior Quality Modal Fiber, Ultra Light-Weight, Soft &amp; Smooth, Feels Really Comfortable, Which Keep You Cool &amp; Dry All Day Long</x:v>
      </x:c>
      <x:c r="K22" s="17" t="str">
        <x:v>material</x:v>
      </x:c>
      <x:c r="L22" s="17" t="str"/>
      <x:c r="M22" s="17" t="str"/>
      <x:c r="N22" s="17" t="str"/>
    </x:row>
    <x:row r="23">
      <x:c r="A23" t="str">
        <x:v>public_0019</x:v>
      </x:c>
      <x:c r="B23" t="str">
        <x:v>browsing</x:v>
      </x:c>
      <x:c r="C23" t="str">
        <x:v>Outdoor &amp; Work Rain</x:v>
      </x:c>
      <x:c r="D23" s="17" t="str">
        <x:v>Rubber sole</x:v>
      </x:c>
      <x:c r="E23" s="17" t="str">
        <x:v>feature</x:v>
      </x:c>
      <x:c r="F23" s="17" t="str">
        <x:v>Shaft measures approximately 5.5" from arch</x:v>
      </x:c>
      <x:c r="G23" s="17" t="str">
        <x:v>feature</x:v>
      </x:c>
      <x:c r="H23" s="17" t="str">
        <x:v>Platform measures approximately 0.5"</x:v>
      </x:c>
      <x:c r="I23" s="17" t="str">
        <x:v>feature</x:v>
      </x:c>
      <x:c r="J23" s="17" t="str">
        <x:v>Boot opening measures approximately 6.5" around</x:v>
      </x:c>
      <x:c r="K23" s="17" t="str">
        <x:v>feature</x:v>
      </x:c>
      <x:c r="L23" s="17" t="str"/>
      <x:c r="M23" s="17" t="str"/>
      <x:c r="N23" s="17" t="str"/>
    </x:row>
    <x:row r="24">
      <x:c r="A24" t="str">
        <x:v>public_0020</x:v>
      </x:c>
      <x:c r="B24" t="str">
        <x:v>buying</x:v>
      </x:c>
      <x:c r="C24" t="str">
        <x:v>Novelty Women</x:v>
      </x:c>
      <x:c r="D24" s="17" t="str">
        <x:v>cotton</x:v>
      </x:c>
      <x:c r="E24" s="17" t="str">
        <x:v>material</x:v>
      </x:c>
      <x:c r="F24" s="17" t="str">
        <x:v>color: grey</x:v>
      </x:c>
      <x:c r="G24" s="17" t="str">
        <x:v>color</x:v>
      </x:c>
      <x:c r="H24" s="17" t="str">
        <x:v>Solid colors: 100% Cotton; Heather Grey: 90% Cotton, 10% Polyester; All Other Heathers: 50% Cotton, 50% Polyester</x:v>
      </x:c>
      <x:c r="I24" s="17" t="str">
        <x:v>material</x:v>
      </x:c>
      <x:c r="J24" s="17" t="str">
        <x:v>Imported</x:v>
      </x:c>
      <x:c r="K24" s="17" t="str">
        <x:v>feature</x:v>
      </x:c>
      <x:c r="L24" s="17" t="str"/>
      <x:c r="M24" s="17" t="str"/>
      <x:c r="N24" s="17" t="str"/>
    </x:row>
    <x:row r="25">
      <x:c r="A25" t="str">
        <x:v>public_0021</x:v>
      </x:c>
      <x:c r="B25" t="str">
        <x:v>browsing</x:v>
      </x:c>
      <x:c r="C25" t="str">
        <x:v>Men Pants</x:v>
      </x:c>
      <x:c r="D25" s="17" t="str">
        <x:v>polyester</x:v>
      </x:c>
      <x:c r="E25" s="17" t="str">
        <x:v>material</x:v>
      </x:c>
      <x:c r="F25" s="17" t="str">
        <x:v>98% Polyester, 2% Spandex</x:v>
      </x:c>
      <x:c r="G25" s="17" t="str">
        <x:v>material</x:v>
      </x:c>
      <x:c r="H25" s="17" t="str">
        <x:v>Imported</x:v>
      </x:c>
      <x:c r="I25" s="17" t="str">
        <x:v>feature</x:v>
      </x:c>
      <x:c r="J25" s="17" t="str">
        <x:v>Zipper closure</x:v>
      </x:c>
      <x:c r="K25" s="17" t="str">
        <x:v>feature</x:v>
      </x:c>
      <x:c r="L25" s="17" t="str"/>
      <x:c r="M25" s="17" t="str"/>
      <x:c r="N25" s="17" t="str"/>
    </x:row>
    <x:row r="26">
      <x:c r="A26" t="str">
        <x:v>public_0022</x:v>
      </x:c>
      <x:c r="B26" t="str">
        <x:v>buying</x:v>
      </x:c>
      <x:c r="C26" t="str">
        <x:v>Dresses Casual</x:v>
      </x:c>
      <x:c r="D26" s="17" t="str">
        <x:v>fabric</x:v>
      </x:c>
      <x:c r="E26" s="17" t="str">
        <x:v>material</x:v>
      </x:c>
      <x:c r="F26" s="17" t="str">
        <x:v>Fabric: 100% Cotton, Soft, Comfy, Breathable and keep you cool</x:v>
      </x:c>
      <x:c r="G26" s="17" t="str">
        <x:v>material</x:v>
      </x:c>
      <x:c r="H26" s="17" t="str">
        <x:v>Imported</x:v>
      </x:c>
      <x:c r="I26" s="17" t="str">
        <x:v>feature</x:v>
      </x:c>
      <x:c r="J26" s="17" t="str">
        <x:v>Pull On closure</x:v>
      </x:c>
      <x:c r="K26" s="17" t="str">
        <x:v>feature</x:v>
      </x:c>
      <x:c r="L26" s="17" t="str"/>
      <x:c r="M26" s="17" t="str"/>
      <x:c r="N26" s="17" t="str"/>
    </x:row>
    <x:row r="27">
      <x:c r="A27" t="str">
        <x:v>public_0023</x:v>
      </x:c>
      <x:c r="B27" t="str">
        <x:v>intent_override</x:v>
      </x:c>
      <x:c r="C27" t="str">
        <x:v>Bras Everyday Bras</x:v>
      </x:c>
      <x:c r="D27" s="17" t="str">
        <x:v>Hand Wash Only</x:v>
      </x:c>
      <x:c r="E27" s="17" t="str">
        <x:v>feature</x:v>
      </x:c>
      <x:c r="F27" s="17" t="str">
        <x:v>Item model number: G796</x:v>
      </x:c>
      <x:c r="G27" s="17" t="str">
        <x:v>feature</x:v>
      </x:c>
      <x:c r="H27" s="17" t="str">
        <x:v>Department: Womens</x:v>
      </x:c>
      <x:c r="I27" s="17" t="str">
        <x:v>style</x:v>
      </x:c>
      <x:c r="J27" s="17" t="str">
        <x:v>Date First Available: March 19, 2021</x:v>
      </x:c>
      <x:c r="K27" s="17" t="str">
        <x:v>feature</x:v>
      </x:c>
      <x:c r="L27" s="17" t="n">
        <x:v>4</x:v>
      </x:c>
      <x:c r="M27" s="17" t="str">
        <x:v>Date First Available: March 19, 2021</x:v>
      </x:c>
      <x:c r="N27" s="17" t="str">
        <x:v>Hand Wash Only</x:v>
      </x:c>
    </x:row>
    <x:row r="28">
      <x:c r="A28" t="str">
        <x:v>public_0024</x:v>
      </x:c>
      <x:c r="B28" t="str">
        <x:v>buying</x:v>
      </x:c>
      <x:c r="C28" t="str">
        <x:v>Rompers &amp; Overalls Jumpsuits</x:v>
      </x:c>
      <x:c r="D28" s="17" t="str">
        <x:v>rayon</x:v>
      </x:c>
      <x:c r="E28" s="17" t="str">
        <x:v>material</x:v>
      </x:c>
      <x:c r="F28" s="17" t="str">
        <x:v>100 rayon</x:v>
      </x:c>
      <x:c r="G28" s="17" t="str">
        <x:v>material</x:v>
      </x:c>
      <x:c r="H28" s="17" t="str">
        <x:v>Machine Wash</x:v>
      </x:c>
      <x:c r="I28" s="17" t="str">
        <x:v>feature</x:v>
      </x:c>
      <x:c r="J28" s="17" t="str">
        <x:v>BOHOSTYLE: Your womens off shoulder jumpsuit has an exaggerated loose fit with beautiful embroidery. It is perfect if you want to keep up with the latest trends without sacrificing</x:v>
      </x:c>
      <x:c r="K28" s="17" t="str">
        <x:v>style</x:v>
      </x:c>
      <x:c r="L28" s="17" t="str"/>
      <x:c r="M28" s="17" t="str"/>
      <x:c r="N28" s="17" t="str"/>
    </x:row>
    <x:row r="29">
      <x:c r="A29" t="str">
        <x:v>public_0025</x:v>
      </x:c>
      <x:c r="B29" t="str">
        <x:v>browsing</x:v>
      </x:c>
      <x:c r="C29" t="str">
        <x:v>Rompers &amp; Overalls Rompers</x:v>
      </x:c>
      <x:c r="D29" s="17" t="str">
        <x:v>spandex</x:v>
      </x:c>
      <x:c r="E29" s="17" t="str">
        <x:v>material</x:v>
      </x:c>
      <x:c r="F29" s="17" t="str">
        <x:v>65%Polyester30%Viscose5%Spandex</x:v>
      </x:c>
      <x:c r="G29" s="17" t="str">
        <x:v>material</x:v>
      </x:c>
      <x:c r="H29" s="17" t="str">
        <x:v>Imported</x:v>
      </x:c>
      <x:c r="I29" s="17" t="str">
        <x:v>feature</x:v>
      </x:c>
      <x:c r="J29" s="17" t="str">
        <x:v>Hook and Eye closure</x:v>
      </x:c>
      <x:c r="K29" s="17" t="str">
        <x:v>feature</x:v>
      </x:c>
      <x:c r="L29" s="17" t="str"/>
      <x:c r="M29" s="17" t="str"/>
      <x:c r="N29" s="17" t="str"/>
    </x:row>
    <x:row r="30">
      <x:c r="A30" t="str">
        <x:v>public_0026</x:v>
      </x:c>
      <x:c r="B30" t="str">
        <x:v>buying</x:v>
      </x:c>
      <x:c r="C30" t="str">
        <x:v>Running Trail Running</x:v>
      </x:c>
      <x:c r="D30" s="17" t="str">
        <x:v>100% Synthetic</x:v>
      </x:c>
      <x:c r="E30" s="17" t="str">
        <x:v>feature</x:v>
      </x:c>
      <x:c r="F30" s="17" t="str">
        <x:v>Imported</x:v>
      </x:c>
      <x:c r="G30" s="17" t="str">
        <x:v>feature</x:v>
      </x:c>
      <x:c r="H30" s="17" t="str">
        <x:v>Rubber sole</x:v>
      </x:c>
      <x:c r="I30" s="17" t="str">
        <x:v>feature</x:v>
      </x:c>
      <x:c r="J30" s="17" t="str">
        <x:v>Shaft measures approximately low-top from arch</x:v>
      </x:c>
      <x:c r="K30" s="17" t="str">
        <x:v>feature</x:v>
      </x:c>
      <x:c r="L30" s="17" t="str"/>
      <x:c r="M30" s="17" t="str"/>
      <x:c r="N30" s="17" t="str"/>
    </x:row>
    <x:row r="31">
      <x:c r="A31" t="str">
        <x:v>public_0027</x:v>
      </x:c>
      <x:c r="B31" t="str">
        <x:v>buying</x:v>
      </x:c>
      <x:c r="C31" t="str">
        <x:v>Women Jeans</x:v>
      </x:c>
      <x:c r="D31" s="17" t="str">
        <x:v>cotton</x:v>
      </x:c>
      <x:c r="E31" s="17" t="str">
        <x:v>material</x:v>
      </x:c>
      <x:c r="F31" s="17" t="str">
        <x:v>73% Cotton, 25% Polyester, 2% Spandex</x:v>
      </x:c>
      <x:c r="G31" s="17" t="str">
        <x:v>material</x:v>
      </x:c>
      <x:c r="H31" s="17" t="str">
        <x:v>Imported</x:v>
      </x:c>
      <x:c r="I31" s="17" t="str">
        <x:v>feature</x:v>
      </x:c>
      <x:c r="J31" s="17" t="str">
        <x:v>Zipper fly with button closure</x:v>
      </x:c>
      <x:c r="K31" s="17" t="str">
        <x:v>feature</x:v>
      </x:c>
      <x:c r="L31" s="17" t="str"/>
      <x:c r="M31" s="17" t="str"/>
      <x:c r="N31" s="17" t="str"/>
    </x:row>
    <x:row r="32">
      <x:c r="A32" t="str">
        <x:v>public_0028</x:v>
      </x:c>
      <x:c r="B32" t="str">
        <x:v>buying</x:v>
      </x:c>
      <x:c r="C32" t="str">
        <x:v>Card Cases &amp; Money Organizers Wallets</x:v>
      </x:c>
      <x:c r="D32" s="17" t="str">
        <x:v>leather</x:v>
      </x:c>
      <x:c r="E32" s="17" t="str">
        <x:v>material</x:v>
      </x:c>
      <x:c r="F32" s="17" t="str">
        <x:v>color: black</x:v>
      </x:c>
      <x:c r="G32" s="17" t="str">
        <x:v>color</x:v>
      </x:c>
      <x:c r="H32" s="17" t="str">
        <x:v>Leather</x:v>
      </x:c>
      <x:c r="I32" s="17" t="str">
        <x:v>material</x:v>
      </x:c>
      <x:c r="J32" s="17" t="str">
        <x:v>Polyester lining</x:v>
      </x:c>
      <x:c r="K32" s="17" t="str">
        <x:v>material</x:v>
      </x:c>
      <x:c r="L32" s="17" t="str"/>
      <x:c r="M32" s="17" t="str"/>
      <x:c r="N32" s="17" t="str"/>
    </x:row>
    <x:row r="33">
      <x:c r="A33" t="str">
        <x:v>public_0029</x:v>
      </x:c>
      <x:c r="B33" t="str">
        <x:v>buying</x:v>
      </x:c>
      <x:c r="C33" t="str">
        <x:v>Sandals Flats</x:v>
      </x:c>
      <x:c r="D33" s="17" t="str">
        <x:v>fabric</x:v>
      </x:c>
      <x:c r="E33" s="17" t="str">
        <x:v>material</x:v>
      </x:c>
      <x:c r="F33" s="17" t="str">
        <x:v>Back for a second time, it's the ever comfy, ever stylish Yoga Sling 2 sandal from Sanuk®. A sandal that's a flexible as you—win!</x:v>
      </x:c>
      <x:c r="G33" s="17" t="str">
        <x:v>feature</x:v>
      </x:c>
      <x:c r="H33" s="17" t="str">
        <x:v>New lightweight, two-way stretch knit upper with sling comfort construction</x:v>
      </x:c>
      <x:c r="I33" s="17" t="str">
        <x:v>feature</x:v>
      </x:c>
      <x:c r="J33" s="17" t="str">
        <x:v>Sealed edge footbed made from real yoga mats</x:v>
      </x:c>
      <x:c r="K33" s="17" t="str">
        <x:v>feature</x:v>
      </x:c>
      <x:c r="L33" s="17" t="str"/>
      <x:c r="M33" s="17" t="str"/>
      <x:c r="N33" s="17" t="str"/>
    </x:row>
    <x:row r="34">
      <x:c r="A34" t="str">
        <x:v>public_0030</x:v>
      </x:c>
      <x:c r="B34" t="str">
        <x:v>buying</x:v>
      </x:c>
      <x:c r="C34" t="str">
        <x:v>Sleep &amp; Lounge Sleep Bottoms</x:v>
      </x:c>
      <x:c r="D34" s="17" t="str">
        <x:v>polyester</x:v>
      </x:c>
      <x:c r="E34" s="17" t="str">
        <x:v>material</x:v>
      </x:c>
      <x:c r="F34" s="17" t="str">
        <x:v>Polyester,Polar Fleece</x:v>
      </x:c>
      <x:c r="G34" s="17" t="str">
        <x:v>material</x:v>
      </x:c>
      <x:c r="H34" s="17" t="str">
        <x:v>Button closure</x:v>
      </x:c>
      <x:c r="I34" s="17" t="str">
        <x:v>feature</x:v>
      </x:c>
      <x:c r="J34" s="17" t="str">
        <x:v>Hand Wash Only</x:v>
      </x:c>
      <x:c r="K34" s="17" t="str">
        <x:v>feature</x:v>
      </x:c>
      <x:c r="L34" s="17" t="str"/>
      <x:c r="M34" s="17" t="str"/>
      <x:c r="N34" s="17" t="str"/>
    </x:row>
    <x:row r="35">
      <x:c r="A35" t="str">
        <x:v>public_0031</x:v>
      </x:c>
      <x:c r="B35" t="str">
        <x:v>buying</x:v>
      </x:c>
      <x:c r="C35" t="str">
        <x:v>Women Jeans</x:v>
      </x:c>
      <x:c r="D35" s="17" t="str">
        <x:v>cotton</x:v>
      </x:c>
      <x:c r="E35" s="17" t="str">
        <x:v>material</x:v>
      </x:c>
      <x:c r="F35" s="17" t="str">
        <x:v>78% Cotton, 20% Polyester, 2% Elastane</x:v>
      </x:c>
      <x:c r="G35" s="17" t="str">
        <x:v>material</x:v>
      </x:c>
      <x:c r="H35" s="17" t="str">
        <x:v>Imported</x:v>
      </x:c>
      <x:c r="I35" s="17" t="str">
        <x:v>feature</x:v>
      </x:c>
      <x:c r="J35" s="17" t="str">
        <x:v>Zipper closure</x:v>
      </x:c>
      <x:c r="K35" s="17" t="str">
        <x:v>feature</x:v>
      </x:c>
      <x:c r="L35" s="17" t="str"/>
      <x:c r="M35" s="17" t="str"/>
      <x:c r="N35" s="17" t="str"/>
    </x:row>
    <x:row r="36">
      <x:c r="A36" t="str">
        <x:v>public_0032</x:v>
      </x:c>
      <x:c r="B36" t="str">
        <x:v>buying</x:v>
      </x:c>
      <x:c r="C36" t="str">
        <x:v>Sleep &amp; Lounge Nightgowns &amp; Sleepshirts</x:v>
      </x:c>
      <x:c r="D36" s="17" t="str">
        <x:v>cotton</x:v>
      </x:c>
      <x:c r="E36" s="17" t="str">
        <x:v>material</x:v>
      </x:c>
      <x:c r="F36" s="17" t="str">
        <x:v>100% Cotton</x:v>
      </x:c>
      <x:c r="G36" s="17" t="str">
        <x:v>material</x:v>
      </x:c>
      <x:c r="H36" s="17" t="str">
        <x:v>Pull On closure</x:v>
      </x:c>
      <x:c r="I36" s="17" t="str">
        <x:v>feature</x:v>
      </x:c>
      <x:c r="J36" s="17" t="str">
        <x:v>Hand Wash Only</x:v>
      </x:c>
      <x:c r="K36" s="17" t="str">
        <x:v>feature</x:v>
      </x:c>
      <x:c r="L36" s="17" t="str"/>
      <x:c r="M36" s="17" t="str"/>
      <x:c r="N36" s="17" t="str"/>
    </x:row>
    <x:row r="37">
      <x:c r="A37" t="str">
        <x:v>public_0033</x:v>
      </x:c>
      <x:c r="B37" t="str">
        <x:v>browsing</x:v>
      </x:c>
      <x:c r="C37" t="str">
        <x:v>Athletic Walking</x:v>
      </x:c>
      <x:c r="D37" s="17" t="str">
        <x:v>fabric</x:v>
      </x:c>
      <x:c r="E37" s="17" t="str">
        <x:v>material</x:v>
      </x:c>
      <x:c r="F37" s="17" t="str">
        <x:v>Mesh Fabric</x:v>
      </x:c>
      <x:c r="G37" s="17" t="str">
        <x:v>material</x:v>
      </x:c>
      <x:c r="H37" s="17" t="str">
        <x:v>Imported</x:v>
      </x:c>
      <x:c r="I37" s="17" t="str">
        <x:v>feature</x:v>
      </x:c>
      <x:c r="J37" s="17" t="str">
        <x:v>MD + Air Cushion sole</x:v>
      </x:c>
      <x:c r="K37" s="17" t="str">
        <x:v>feature</x:v>
      </x:c>
      <x:c r="L37" s="17" t="str"/>
      <x:c r="M37" s="17" t="str"/>
      <x:c r="N37" s="17" t="str"/>
    </x:row>
    <x:row r="38">
      <x:c r="A38" t="str">
        <x:v>public_0034</x:v>
      </x:c>
      <x:c r="B38" t="str">
        <x:v>intent_override</x:v>
      </x:c>
      <x:c r="C38" t="str">
        <x:v>Shoes Loafers &amp; Slip-Ons</x:v>
      </x:c>
      <x:c r="D38" s="17" t="str">
        <x:v>leather</x:v>
      </x:c>
      <x:c r="E38" s="17" t="str">
        <x:v>material</x:v>
      </x:c>
      <x:c r="F38" s="17" t="str">
        <x:v>Rubber sole</x:v>
      </x:c>
      <x:c r="G38" s="17" t="str">
        <x:v>feature</x:v>
      </x:c>
      <x:c r="H38" s="17" t="str">
        <x:v>Cowhide Leather,Rubber Sole,Hand-Sewn Loafers for Women</x:v>
      </x:c>
      <x:c r="I38" s="17" t="str">
        <x:v>material</x:v>
      </x:c>
      <x:c r="J38" s="17" t="str">
        <x:v>Leather Loafers Women:can be bend and curled in 360°,soft and comfortable</x:v>
      </x:c>
      <x:c r="K38" s="17" t="str">
        <x:v>material</x:v>
      </x:c>
      <x:c r="L38" s="17" t="n">
        <x:v>4</x:v>
      </x:c>
      <x:c r="M38" s="17" t="str">
        <x:v>Leather Loafers Women:can be bend and curled in 360°,soft and comfortable</x:v>
      </x:c>
      <x:c r="N38" s="17" t="str">
        <x:v>leather</x:v>
      </x:c>
    </x:row>
    <x:row r="39">
      <x:c r="A39" t="str">
        <x:v>public_0035</x:v>
      </x:c>
      <x:c r="B39" t="str">
        <x:v>boundary</x:v>
      </x:c>
      <x:c r="C39" t="str">
        <x:v>Athletic Walking</x:v>
      </x:c>
      <x:c r="D39" s="17" t="str">
        <x:v>fabric</x:v>
      </x:c>
      <x:c r="E39" s="17" t="str">
        <x:v>material</x:v>
      </x:c>
      <x:c r="F39" s="17" t="str">
        <x:v>100% Textile</x:v>
      </x:c>
      <x:c r="G39" s="17" t="str">
        <x:v>feature</x:v>
      </x:c>
      <x:c r="H39" s="17" t="str">
        <x:v>Imported</x:v>
      </x:c>
      <x:c r="I39" s="17" t="str">
        <x:v>feature</x:v>
      </x:c>
      <x:c r="J39" s="17" t="str">
        <x:v>Rubber sole</x:v>
      </x:c>
      <x:c r="K39" s="17" t="str">
        <x:v>feature</x:v>
      </x:c>
      <x:c r="L39" s="17" t="str"/>
      <x:c r="M39" s="17" t="str"/>
      <x:c r="N39" s="17" t="str"/>
    </x:row>
    <x:row r="40">
      <x:c r="A40" t="str">
        <x:v>public_0036</x:v>
      </x:c>
      <x:c r="B40" t="str">
        <x:v>browsing</x:v>
      </x:c>
      <x:c r="C40" t="str">
        <x:v>Earrings Drop &amp; Dangle</x:v>
      </x:c>
      <x:c r="D40" s="17" t="str">
        <x:v>leather</x:v>
      </x:c>
      <x:c r="E40" s="17" t="str">
        <x:v>material</x:v>
      </x:c>
      <x:c r="F40" s="17" t="str">
        <x:v>color: pink</x:v>
      </x:c>
      <x:c r="G40" s="17" t="str">
        <x:v>color</x:v>
      </x:c>
      <x:c r="H40" s="17" t="str">
        <x:v>DAILY JEWELRY SET: 47 Pairs earrings in 1 collection Box, Various trendy styles, hoop earrings, drop earrings, dangle earrings,stud earrings, offer you many options to wear, Chic d</x:v>
      </x:c>
      <x:c r="I40" s="17" t="str">
        <x:v>style</x:v>
      </x:c>
      <x:c r="J40" s="17" t="str">
        <x:v>FASHIONABLE EARRINGS BULK: Each pair of the earrings is carefully selected from the most popular earrings favored by customers.These fashion dangle earring set including butterfly,</x:v>
      </x:c>
      <x:c r="K40" s="17" t="str">
        <x:v>color</x:v>
      </x:c>
      <x:c r="L40" s="17" t="str"/>
      <x:c r="M40" s="17" t="str"/>
      <x:c r="N40" s="17" t="str"/>
    </x:row>
    <x:row r="41">
      <x:c r="A41" t="str">
        <x:v>public_0037</x:v>
      </x:c>
      <x:c r="B41" t="str">
        <x:v>browsing</x:v>
      </x:c>
      <x:c r="C41" t="str">
        <x:v>Boys Pants</x:v>
      </x:c>
      <x:c r="D41" s="17" t="str">
        <x:v>cotton</x:v>
      </x:c>
      <x:c r="E41" s="17" t="str">
        <x:v>material</x:v>
      </x:c>
      <x:c r="F41" s="17" t="str">
        <x:v>Imported</x:v>
      </x:c>
      <x:c r="G41" s="17" t="str">
        <x:v>feature</x:v>
      </x:c>
      <x:c r="H41" s="17" t="str">
        <x:v>Pull On closure</x:v>
      </x:c>
      <x:c r="I41" s="17" t="str">
        <x:v>feature</x:v>
      </x:c>
      <x:c r="J41" s="17" t="str">
        <x:v>Machine Wash</x:v>
      </x:c>
      <x:c r="K41" s="17" t="str">
        <x:v>feature</x:v>
      </x:c>
      <x:c r="L41" s="17" t="str"/>
      <x:c r="M41" s="17" t="str"/>
      <x:c r="N41" s="17" t="str"/>
    </x:row>
    <x:row r="42">
      <x:c r="A42" t="str">
        <x:v>public_0038</x:v>
      </x:c>
      <x:c r="B42" t="str">
        <x:v>intent_override</x:v>
      </x:c>
      <x:c r="C42" t="str">
        <x:v>Shoes Fashion Sneakers</x:v>
      </x:c>
      <x:c r="D42" s="17" t="str">
        <x:v>Textile</x:v>
      </x:c>
      <x:c r="E42" s="17" t="str">
        <x:v>feature</x:v>
      </x:c>
      <x:c r="F42" s="17" t="str">
        <x:v>Made in the USA or Imported</x:v>
      </x:c>
      <x:c r="G42" s="17" t="str">
        <x:v>feature</x:v>
      </x:c>
      <x:c r="H42" s="17" t="str">
        <x:v>Synthetic sole</x:v>
      </x:c>
      <x:c r="I42" s="17" t="str">
        <x:v>feature</x:v>
      </x:c>
      <x:c r="J42" s="17" t="str">
        <x:v>Lace Slip On Sneaker</x:v>
      </x:c>
      <x:c r="K42" s="17" t="str">
        <x:v>feature</x:v>
      </x:c>
      <x:c r="L42" s="17" t="n">
        <x:v>4</x:v>
      </x:c>
      <x:c r="M42" s="17" t="str">
        <x:v>Lace Slip On Sneaker</x:v>
      </x:c>
      <x:c r="N42" s="17" t="str">
        <x:v>Textile</x:v>
      </x:c>
    </x:row>
    <x:row r="43">
      <x:c r="A43" t="str">
        <x:v>public_0039</x:v>
      </x:c>
      <x:c r="B43" t="str">
        <x:v>browsing</x:v>
      </x:c>
      <x:c r="C43" t="str">
        <x:v>Women Jerseys</x:v>
      </x:c>
      <x:c r="D43" s="17" t="str">
        <x:v>polyester</x:v>
      </x:c>
      <x:c r="E43" s="17" t="str">
        <x:v>material</x:v>
      </x:c>
      <x:c r="F43" s="17" t="str">
        <x:v>80% Polyester, 20% Spandex</x:v>
      </x:c>
      <x:c r="G43" s="17" t="str">
        <x:v>material</x:v>
      </x:c>
      <x:c r="H43" s="17" t="str">
        <x:v>Zipper closure</x:v>
      </x:c>
      <x:c r="I43" s="17" t="str">
        <x:v>feature</x:v>
      </x:c>
      <x:c r="J43" s="17" t="str">
        <x:v>Hand Wash Only</x:v>
      </x:c>
      <x:c r="K43" s="17" t="str">
        <x:v>feature</x:v>
      </x:c>
      <x:c r="L43" s="17" t="str"/>
      <x:c r="M43" s="17" t="str"/>
      <x:c r="N43" s="17" t="str"/>
    </x:row>
    <x:row r="44">
      <x:c r="A44" t="str">
        <x:v>public_0040</x:v>
      </x:c>
      <x:c r="B44" t="str">
        <x:v>browsing</x:v>
      </x:c>
      <x:c r="C44" t="str">
        <x:v>Active Pants Sweatpants</x:v>
      </x:c>
      <x:c r="D44" s="17" t="str">
        <x:v>cotton</x:v>
      </x:c>
      <x:c r="E44" s="17" t="str">
        <x:v>material</x:v>
      </x:c>
      <x:c r="F44" s="17" t="str">
        <x:v>color: black</x:v>
      </x:c>
      <x:c r="G44" s="17" t="str">
        <x:v>color</x:v>
      </x:c>
      <x:c r="H44" s="17" t="str">
        <x:v>100% Cotton</x:v>
      </x:c>
      <x:c r="I44" s="17" t="str">
        <x:v>material</x:v>
      </x:c>
      <x:c r="J44" s="17" t="str">
        <x:v>Imported</x:v>
      </x:c>
      <x:c r="K44" s="17" t="str">
        <x:v>feature</x:v>
      </x:c>
      <x:c r="L44" s="17" t="str"/>
      <x:c r="M44" s="17" t="str"/>
      <x:c r="N44" s="17" t="str"/>
    </x:row>
    <x:row r="45">
      <x:c r="A45" t="str">
        <x:v>public_0041</x:v>
      </x:c>
      <x:c r="B45" t="str">
        <x:v>boundary</x:v>
      </x:c>
      <x:c r="C45" t="str">
        <x:v>Tees &amp; Blouses Tunics</x:v>
      </x:c>
      <x:c r="D45" s="17" t="str">
        <x:v>polyester</x:v>
      </x:c>
      <x:c r="E45" s="17" t="str">
        <x:v>material</x:v>
      </x:c>
      <x:c r="F45" s="17" t="str">
        <x:v>3X women tops care: Hand wash or machine wash in gentle; Hang to dry; No ironing; No shrinkage</x:v>
      </x:c>
      <x:c r="G45" s="17" t="str">
        <x:v>feature</x:v>
      </x:c>
      <x:c r="H45" s="17" t="str">
        <x:v>进口</x:v>
      </x:c>
      <x:c r="I45" s="17" t="str">
        <x:v>feature</x:v>
      </x:c>
      <x:c r="J45" s="17" t="str">
        <x:v>Pull On closure</x:v>
      </x:c>
      <x:c r="K45" s="17" t="str">
        <x:v>feature</x:v>
      </x:c>
      <x:c r="L45" s="17" t="str"/>
      <x:c r="M45" s="17" t="str"/>
      <x:c r="N45" s="17" t="str"/>
    </x:row>
    <x:row r="46">
      <x:c r="A46" t="str">
        <x:v>public_0042</x:v>
      </x:c>
      <x:c r="B46" t="str">
        <x:v>buying</x:v>
      </x:c>
      <x:c r="C46" t="str">
        <x:v>Watches Wrist Watches</x:v>
      </x:c>
      <x:c r="D46" s="17" t="str">
        <x:v>Imported</x:v>
      </x:c>
      <x:c r="E46" s="17" t="str">
        <x:v>feature</x:v>
      </x:c>
      <x:c r="F46" s="17" t="str">
        <x:v>color: green</x:v>
      </x:c>
      <x:c r="G46" s="17" t="str">
        <x:v>color</x:v>
      </x:c>
      <x:c r="H46" s="17" t="str">
        <x:v>Gold-tone 18mm stainless steel expansion band fits up to 8-inch wrist circumference</x:v>
      </x:c>
      <x:c r="I46" s="17" t="str">
        <x:v>style</x:v>
      </x:c>
      <x:c r="J46" s="17" t="str">
        <x:v>100-hour chronograph with lap &amp; split times; month, day &amp; date calendar</x:v>
      </x:c>
      <x:c r="K46" s="17" t="str">
        <x:v>feature</x:v>
      </x:c>
      <x:c r="L46" s="17" t="str"/>
      <x:c r="M46" s="17" t="str"/>
      <x:c r="N46" s="17" t="str"/>
    </x:row>
    <x:row r="47">
      <x:c r="A47" t="str">
        <x:v>public_0043</x:v>
      </x:c>
      <x:c r="B47" t="str">
        <x:v>browsing</x:v>
      </x:c>
      <x:c r="C47" t="str">
        <x:v>Women Jeans</x:v>
      </x:c>
      <x:c r="D47" s="17" t="str">
        <x:v>cotton</x:v>
      </x:c>
      <x:c r="E47" s="17" t="str">
        <x:v>material</x:v>
      </x:c>
      <x:c r="F47" s="17" t="str">
        <x:v>60% Cotton, 23% Viscose, 16% Polyester, 1% Elastane</x:v>
      </x:c>
      <x:c r="G47" s="17" t="str">
        <x:v>material</x:v>
      </x:c>
      <x:c r="H47" s="17" t="str">
        <x:v>Imported</x:v>
      </x:c>
      <x:c r="I47" s="17" t="str">
        <x:v>feature</x:v>
      </x:c>
      <x:c r="J47" s="17" t="str">
        <x:v>Zipper closure</x:v>
      </x:c>
      <x:c r="K47" s="17" t="str">
        <x:v>feature</x:v>
      </x:c>
      <x:c r="L47" s="17" t="str"/>
      <x:c r="M47" s="17" t="str"/>
      <x:c r="N47" s="17" t="str"/>
    </x:row>
    <x:row r="48">
      <x:c r="A48" t="str">
        <x:v>public_0044</x:v>
      </x:c>
      <x:c r="B48" t="str">
        <x:v>buying</x:v>
      </x:c>
      <x:c r="C48" t="str">
        <x:v>Men Jammers</x:v>
      </x:c>
      <x:c r="D48" s="17" t="str">
        <x:v>fabric</x:v>
      </x:c>
      <x:c r="E48" s="17" t="str">
        <x:v>material</x:v>
      </x:c>
      <x:c r="F48" s="17" t="str">
        <x:v>Polyester,Spandex</x:v>
      </x:c>
      <x:c r="G48" s="17" t="str">
        <x:v>material</x:v>
      </x:c>
      <x:c r="H48" s="17" t="str">
        <x:v>Rope closure</x:v>
      </x:c>
      <x:c r="I48" s="17" t="str">
        <x:v>feature</x:v>
      </x:c>
      <x:c r="J48" s="17" t="str">
        <x:v>【100% chlorine-resistant durable】KGKE mens swimming jammer swimsuit have 4-Level chlorine resistant fabric,worth to prevent chaffing and fadding.FBT fabrics keep shape retention af</x:v>
      </x:c>
      <x:c r="K48" s="17" t="str">
        <x:v>material</x:v>
      </x:c>
      <x:c r="L48" s="17" t="str"/>
      <x:c r="M48" s="17" t="str"/>
      <x:c r="N48" s="17" t="str"/>
    </x:row>
    <x:row r="49">
      <x:c r="A49" t="str">
        <x:v>public_0045</x:v>
      </x:c>
      <x:c r="B49" t="str">
        <x:v>buying</x:v>
      </x:c>
      <x:c r="C49" t="str">
        <x:v>Tees &amp; Blouses Tunics</x:v>
      </x:c>
      <x:c r="D49" s="17" t="str">
        <x:v>polyester</x:v>
      </x:c>
      <x:c r="E49" s="17" t="str">
        <x:v>material</x:v>
      </x:c>
      <x:c r="F49" s="17" t="str">
        <x:v>95% Polyester, 5% Spandex</x:v>
      </x:c>
      <x:c r="G49" s="17" t="str">
        <x:v>material</x:v>
      </x:c>
      <x:c r="H49" s="17" t="str">
        <x:v>Imported</x:v>
      </x:c>
      <x:c r="I49" s="17" t="str">
        <x:v>feature</x:v>
      </x:c>
      <x:c r="J49" s="17" t="str">
        <x:v>Button closure</x:v>
      </x:c>
      <x:c r="K49" s="17" t="str">
        <x:v>feature</x:v>
      </x:c>
      <x:c r="L49" s="17" t="str"/>
      <x:c r="M49" s="17" t="str"/>
      <x:c r="N49" s="17" t="str"/>
    </x:row>
    <x:row r="50">
      <x:c r="A50" t="str">
        <x:v>public_0046</x:v>
      </x:c>
      <x:c r="B50" t="str">
        <x:v>intent_override</x:v>
      </x:c>
      <x:c r="C50" t="str">
        <x:v>Socks &amp; Hosiery Leg Warmers</x:v>
      </x:c>
      <x:c r="D50" s="17" t="str">
        <x:v>wool</x:v>
      </x:c>
      <x:c r="E50" s="17" t="str">
        <x:v>material</x:v>
      </x:c>
      <x:c r="F50" s="17" t="str">
        <x:v>44% Acrylic, 28% Cotton, 20% Merino Wool, 8% Polyester</x:v>
      </x:c>
      <x:c r="G50" s="17" t="str">
        <x:v>material</x:v>
      </x:c>
      <x:c r="H50" s="17" t="str">
        <x:v>Imported</x:v>
      </x:c>
      <x:c r="I50" s="17" t="str">
        <x:v>feature</x:v>
      </x:c>
      <x:c r="J50" s="17" t="str">
        <x:v>No Closure closure</x:v>
      </x:c>
      <x:c r="K50" s="17" t="str">
        <x:v>feature</x:v>
      </x:c>
      <x:c r="L50" s="17" t="n">
        <x:v>4</x:v>
      </x:c>
      <x:c r="M50" s="17" t="str">
        <x:v>No Closure closure</x:v>
      </x:c>
      <x:c r="N50" s="17" t="str">
        <x:v>wool</x:v>
      </x:c>
    </x:row>
    <x:row r="51">
      <x:c r="A51" t="str">
        <x:v>public_0047</x:v>
      </x:c>
      <x:c r="B51" t="str">
        <x:v>browsing</x:v>
      </x:c>
      <x:c r="C51" t="str">
        <x:v>Accessories Bandanas</x:v>
      </x:c>
      <x:c r="D51" s="17" t="str">
        <x:v>polyester</x:v>
      </x:c>
      <x:c r="E51" s="17" t="str">
        <x:v>material</x:v>
      </x:c>
      <x:c r="F51" s="17" t="str">
        <x:v>color: pink</x:v>
      </x:c>
      <x:c r="G51" s="17" t="str">
        <x:v>color</x:v>
      </x:c>
      <x:c r="H51" s="17" t="str">
        <x:v>100% Polyester</x:v>
      </x:c>
      <x:c r="I51" s="17" t="str">
        <x:v>material</x:v>
      </x:c>
      <x:c r="J51" s="17" t="str">
        <x:v>Adjustable closure</x:v>
      </x:c>
      <x:c r="K51" s="17" t="str">
        <x:v>feature</x:v>
      </x:c>
      <x:c r="L51" s="17" t="str"/>
      <x:c r="M51" s="17" t="str"/>
      <x:c r="N51" s="17" t="str"/>
    </x:row>
    <x:row r="52">
      <x:c r="A52" t="str">
        <x:v>public_0048</x:v>
      </x:c>
      <x:c r="B52" t="str">
        <x:v>browsing</x:v>
      </x:c>
      <x:c r="C52" t="str">
        <x:v>Athletic Soccer</x:v>
      </x:c>
      <x:c r="D52" s="17" t="str">
        <x:v>100% Synthetic</x:v>
      </x:c>
      <x:c r="E52" s="17" t="str">
        <x:v>feature</x:v>
      </x:c>
      <x:c r="F52" s="17" t="str">
        <x:v>Rubber sole</x:v>
      </x:c>
      <x:c r="G52" s="17" t="str">
        <x:v>feature</x:v>
      </x:c>
      <x:c r="H52" s="17" t="str">
        <x:v>FEATURES: Infinity style cleats are constructed from durable synthetic materials that are water resistant. Easily adjustable laces allow these shoes to easily form to your foot</x:v>
      </x:c>
      <x:c r="I52" s="17" t="str">
        <x:v>style</x:v>
      </x:c>
      <x:c r="J52" s="17" t="str">
        <x:v>RUGGED OUTSOLE: Our flexible rubber outsoles have a two tone design and feature rugged studs to aid with traction on turf and outdoor fields</x:v>
      </x:c>
      <x:c r="K52" s="17" t="str">
        <x:v>use_case</x:v>
      </x:c>
      <x:c r="L52" s="17" t="str"/>
      <x:c r="M52" s="17" t="str"/>
      <x:c r="N52" s="17" t="str"/>
    </x:row>
    <x:row r="53">
      <x:c r="A53" t="str">
        <x:v>public_0049</x:v>
      </x:c>
      <x:c r="B53" t="str">
        <x:v>browsing</x:v>
      </x:c>
      <x:c r="C53" t="str">
        <x:v>Shoes Loafers &amp; Slip-Ons</x:v>
      </x:c>
      <x:c r="D53" s="17" t="str">
        <x:v>leather</x:v>
      </x:c>
      <x:c r="E53" s="17" t="str">
        <x:v>material</x:v>
      </x:c>
      <x:c r="F53" s="17" t="str">
        <x:v>color: brown</x:v>
      </x:c>
      <x:c r="G53" s="17" t="str">
        <x:v>color</x:v>
      </x:c>
      <x:c r="H53" s="17" t="str">
        <x:v>Rubber sole</x:v>
      </x:c>
      <x:c r="I53" s="17" t="str">
        <x:v>feature</x:v>
      </x:c>
      <x:c r="J53" s="17" t="str">
        <x:v>👟BEST MATERIAL.These mens shoes casual slip on has premium microfiber leather upper,soft rubber sole.It's a good choice for outdoor all season</x:v>
      </x:c>
      <x:c r="K53" s="17" t="str">
        <x:v>material</x:v>
      </x:c>
      <x:c r="L53" s="17" t="str"/>
      <x:c r="M53" s="17" t="str"/>
      <x:c r="N53" s="17" t="str"/>
    </x:row>
    <x:row r="54">
      <x:c r="A54" t="str">
        <x:v>public_0050</x:v>
      </x:c>
      <x:c r="B54" t="str">
        <x:v>boundary</x:v>
      </x:c>
      <x:c r="C54" t="str">
        <x:v>Work &amp; Utility Industrial &amp; Construction Boots</x:v>
      </x:c>
      <x:c r="D54" s="17" t="str">
        <x:v>leather</x:v>
      </x:c>
      <x:c r="E54" s="17" t="str">
        <x:v>material</x:v>
      </x:c>
      <x:c r="F54" s="17" t="str">
        <x:v>100% Leather</x:v>
      </x:c>
      <x:c r="G54" s="17" t="str">
        <x:v>material</x:v>
      </x:c>
      <x:c r="H54" s="17" t="str">
        <x:v>EVA/Rubber sole</x:v>
      </x:c>
      <x:c r="I54" s="17" t="str">
        <x:v>feature</x:v>
      </x:c>
      <x:c r="J54" s="17" t="str">
        <x:v>Shaft measures approximately 6inch from arch</x:v>
      </x:c>
      <x:c r="K54" s="17" t="str">
        <x:v>feature</x:v>
      </x:c>
      <x:c r="L54" s="17" t="str"/>
      <x:c r="M54" s="17" t="str"/>
      <x:c r="N54" s="17" t="str"/>
    </x:row>
    <x:row r="55">
      <x:c r="A55" t="str">
        <x:v>public_0051</x:v>
      </x:c>
      <x:c r="B55" t="str">
        <x:v>browsing</x:v>
      </x:c>
      <x:c r="C55" t="str">
        <x:v>Athletic Walking</x:v>
      </x:c>
      <x:c r="D55" s="17" t="str">
        <x:v>Rubber sole</x:v>
      </x:c>
      <x:c r="E55" s="17" t="str">
        <x:v>feature</x:v>
      </x:c>
      <x:c r="F55" s="17" t="str">
        <x:v>Skechers Go Walk 5-True shoe is designed with high-rebound comfort pillar technology underfoot that reacts to your every step for the ultimate comfort</x:v>
      </x:c>
      <x:c r="G55" s="17" t="str">
        <x:v>feature</x:v>
      </x:c>
      <x:c r="H55" s="17" t="str">
        <x:v>Our Go Walk 5-True shoe is made with Skechers Air Cooled Goga Mat a breathable insole that provides high-rebound cushioning</x:v>
      </x:c>
      <x:c r="I55" s="17" t="str">
        <x:v>feature</x:v>
      </x:c>
      <x:c r="J55" s="17" t="str">
        <x:v>Our Skechers shoe provides a dual density outsole for added stability and support</x:v>
      </x:c>
      <x:c r="K55" s="17" t="str">
        <x:v>feature</x:v>
      </x:c>
      <x:c r="L55" s="17" t="str"/>
      <x:c r="M55" s="17" t="str"/>
      <x:c r="N55" s="17" t="str"/>
    </x:row>
    <x:row r="56">
      <x:c r="A56" t="str">
        <x:v>public_0052</x:v>
      </x:c>
      <x:c r="B56" t="str">
        <x:v>intent_override</x:v>
      </x:c>
      <x:c r="C56" t="str">
        <x:v>Tees &amp; Blouses Tunics</x:v>
      </x:c>
      <x:c r="D56" s="17" t="str">
        <x:v>polyester</x:v>
      </x:c>
      <x:c r="E56" s="17" t="str">
        <x:v>material</x:v>
      </x:c>
      <x:c r="F56" s="17" t="str">
        <x:v>60% polyester</x:v>
      </x:c>
      <x:c r="G56" s="17" t="str">
        <x:v>material</x:v>
      </x:c>
      <x:c r="H56" s="17" t="str">
        <x:v>Button closure</x:v>
      </x:c>
      <x:c r="I56" s="17" t="str">
        <x:v>feature</x:v>
      </x:c>
      <x:c r="J56" s="17" t="str">
        <x:v>Hand Wash Only</x:v>
      </x:c>
      <x:c r="K56" s="17" t="str">
        <x:v>feature</x:v>
      </x:c>
      <x:c r="L56" s="17" t="n">
        <x:v>3</x:v>
      </x:c>
      <x:c r="M56" s="17" t="str">
        <x:v>Hand Wash Only</x:v>
      </x:c>
      <x:c r="N56" s="17" t="str">
        <x:v>polyester</x:v>
      </x:c>
    </x:row>
    <x:row r="57">
      <x:c r="A57" t="str">
        <x:v>public_0053</x:v>
      </x:c>
      <x:c r="B57" t="str">
        <x:v>buying</x:v>
      </x:c>
      <x:c r="C57" t="str">
        <x:v>Travel Accessories Passport Covers</x:v>
      </x:c>
      <x:c r="D57" s="17" t="str">
        <x:v>leather</x:v>
      </x:c>
      <x:c r="E57" s="17" t="str">
        <x:v>material</x:v>
      </x:c>
      <x:c r="F57" s="17" t="str">
        <x:v>color: black</x:v>
      </x:c>
      <x:c r="G57" s="17" t="str">
        <x:v>color</x:v>
      </x:c>
      <x:c r="H57" s="17" t="str">
        <x:v>Leather lining</x:v>
      </x:c>
      <x:c r="I57" s="17" t="str">
        <x:v>material</x:v>
      </x:c>
      <x:c r="J57" s="17" t="str">
        <x:v>Dry Cloth Clean</x:v>
      </x:c>
      <x:c r="K57" s="17" t="str">
        <x:v>feature</x:v>
      </x:c>
      <x:c r="L57" s="17" t="str"/>
      <x:c r="M57" s="17" t="str"/>
      <x:c r="N57" s="17" t="str"/>
    </x:row>
    <x:row r="58">
      <x:c r="A58" t="str">
        <x:v>public_0054</x:v>
      </x:c>
      <x:c r="B58" t="str">
        <x:v>buying</x:v>
      </x:c>
      <x:c r="C58" t="str">
        <x:v>Women Fashion Hoodies &amp; Sweatshirts</x:v>
      </x:c>
      <x:c r="D58" s="17" t="str">
        <x:v>fabric</x:v>
      </x:c>
      <x:c r="E58" s="17" t="str">
        <x:v>material</x:v>
      </x:c>
      <x:c r="F58" s="17" t="str">
        <x:v>Soft Fabric</x:v>
      </x:c>
      <x:c r="G58" s="17" t="str">
        <x:v>material</x:v>
      </x:c>
      <x:c r="H58" s="17" t="str">
        <x:v>Pull On closure</x:v>
      </x:c>
      <x:c r="I58" s="17" t="str">
        <x:v>feature</x:v>
      </x:c>
      <x:c r="J58" s="17" t="str">
        <x:v>Machine Wash</x:v>
      </x:c>
      <x:c r="K58" s="17" t="str">
        <x:v>feature</x:v>
      </x:c>
      <x:c r="L58" s="17" t="str"/>
      <x:c r="M58" s="17" t="str"/>
      <x:c r="N58" s="17" t="str"/>
    </x:row>
    <x:row r="59">
      <x:c r="A59" t="str">
        <x:v>public_0055</x:v>
      </x:c>
      <x:c r="B59" t="str">
        <x:v>browsing</x:v>
      </x:c>
      <x:c r="C59" t="str">
        <x:v>Shoes Mules &amp; Clogs</x:v>
      </x:c>
      <x:c r="D59" s="17" t="str">
        <x:v>100% Croslite Foam</x:v>
      </x:c>
      <x:c r="E59" s="17" t="str">
        <x:v>feature</x:v>
      </x:c>
      <x:c r="F59" s="17" t="str">
        <x:v>Imported</x:v>
      </x:c>
      <x:c r="G59" s="17" t="str">
        <x:v>feature</x:v>
      </x:c>
      <x:c r="H59" s="17" t="str">
        <x:v>Ethylene Vinyl Acetate sole</x:v>
      </x:c>
      <x:c r="I59" s="17" t="str">
        <x:v>feature</x:v>
      </x:c>
      <x:c r="J59" s="17" t="str">
        <x:v>Shaft measures approximately 1" from arch</x:v>
      </x:c>
      <x:c r="K59" s="17" t="str">
        <x:v>feature</x:v>
      </x:c>
      <x:c r="L59" s="17" t="str"/>
      <x:c r="M59" s="17" t="str"/>
      <x:c r="N59" s="17" t="str"/>
    </x:row>
    <x:row r="60">
      <x:c r="A60" t="str">
        <x:v>public_0056</x:v>
      </x:c>
      <x:c r="B60" t="str">
        <x:v>browsing</x:v>
      </x:c>
      <x:c r="C60" t="str">
        <x:v>Shirts T-Shirts</x:v>
      </x:c>
      <x:c r="D60" s="17" t="str">
        <x:v>cotton</x:v>
      </x:c>
      <x:c r="E60" s="17" t="str">
        <x:v>material</x:v>
      </x:c>
      <x:c r="F60" s="17" t="str">
        <x:v>Solids: 100% Cotton; Heathers: 60% Cotton, 40% Polyester</x:v>
      </x:c>
      <x:c r="G60" s="17" t="str">
        <x:v>material</x:v>
      </x:c>
      <x:c r="H60" s="17" t="str">
        <x:v>Imported</x:v>
      </x:c>
      <x:c r="I60" s="17" t="str">
        <x:v>feature</x:v>
      </x:c>
      <x:c r="J60" s="17" t="str">
        <x:v>No Closure closure</x:v>
      </x:c>
      <x:c r="K60" s="17" t="str">
        <x:v>feature</x:v>
      </x:c>
      <x:c r="L60" s="17" t="str"/>
      <x:c r="M60" s="17" t="str"/>
      <x:c r="N60" s="17" t="str"/>
    </x:row>
    <x:row r="61">
      <x:c r="A61" t="str">
        <x:v>public_0057</x:v>
      </x:c>
      <x:c r="B61" t="str">
        <x:v>browsing</x:v>
      </x:c>
      <x:c r="C61" t="str">
        <x:v>Shoes Mules &amp; Clogs</x:v>
      </x:c>
      <x:c r="D61" s="17" t="str">
        <x:v>100% Croslite</x:v>
      </x:c>
      <x:c r="E61" s="17" t="str">
        <x:v>feature</x:v>
      </x:c>
      <x:c r="F61" s="17" t="str">
        <x:v>Imported</x:v>
      </x:c>
      <x:c r="G61" s="17" t="str">
        <x:v>feature</x:v>
      </x:c>
      <x:c r="H61" s="17" t="str">
        <x:v>Ethylene Vinyl Acetate sole</x:v>
      </x:c>
      <x:c r="I61" s="17" t="str">
        <x:v>feature</x:v>
      </x:c>
      <x:c r="J61" s="17" t="str">
        <x:v>Shaft measures approximately 0#inches from arch</x:v>
      </x:c>
      <x:c r="K61" s="17" t="str">
        <x:v>feature</x:v>
      </x:c>
      <x:c r="L61" s="17" t="str"/>
      <x:c r="M61" s="17" t="str"/>
      <x:c r="N61" s="17" t="str"/>
    </x:row>
    <x:row r="62">
      <x:c r="A62" t="str">
        <x:v>public_0058</x:v>
      </x:c>
      <x:c r="B62" t="str">
        <x:v>buying</x:v>
      </x:c>
      <x:c r="C62" t="str">
        <x:v>Rain &amp; Anoraks Raincoats</x:v>
      </x:c>
      <x:c r="D62" s="17" t="str">
        <x:v>polyester</x:v>
      </x:c>
      <x:c r="E62" s="17" t="str">
        <x:v>material</x:v>
      </x:c>
      <x:c r="F62" s="17" t="str">
        <x:v>100% Polyester</x:v>
      </x:c>
      <x:c r="G62" s="17" t="str">
        <x:v>material</x:v>
      </x:c>
      <x:c r="H62" s="17" t="str">
        <x:v>Imported</x:v>
      </x:c>
      <x:c r="I62" s="17" t="str">
        <x:v>feature</x:v>
      </x:c>
      <x:c r="J62" s="17" t="str">
        <x:v>Zipper closure</x:v>
      </x:c>
      <x:c r="K62" s="17" t="str">
        <x:v>feature</x:v>
      </x:c>
      <x:c r="L62" s="17" t="str"/>
      <x:c r="M62" s="17" t="str"/>
      <x:c r="N62" s="17" t="str"/>
    </x:row>
    <x:row r="63">
      <x:c r="A63" t="str">
        <x:v>public_0059</x:v>
      </x:c>
      <x:c r="B63" t="str">
        <x:v>browsing</x:v>
      </x:c>
      <x:c r="C63" t="str">
        <x:v>Shapewear Bodysuits</x:v>
      </x:c>
      <x:c r="D63" s="17" t="str">
        <x:v>nylon</x:v>
      </x:c>
      <x:c r="E63" s="17" t="str">
        <x:v>material</x:v>
      </x:c>
      <x:c r="F63" s="17" t="str">
        <x:v>62.4% Nylon 37.6% Spandex</x:v>
      </x:c>
      <x:c r="G63" s="17" t="str">
        <x:v>material</x:v>
      </x:c>
      <x:c r="H63" s="17" t="str">
        <x:v>Imported</x:v>
      </x:c>
      <x:c r="I63" s="17" t="str">
        <x:v>feature</x:v>
      </x:c>
      <x:c r="J63" s="17" t="str">
        <x:v>Pull On closure</x:v>
      </x:c>
      <x:c r="K63" s="17" t="str">
        <x:v>feature</x:v>
      </x:c>
      <x:c r="L63" s="17" t="str"/>
      <x:c r="M63" s="17" t="str"/>
      <x:c r="N63" s="17" t="str"/>
    </x:row>
    <x:row r="64">
      <x:c r="A64" t="str">
        <x:v>public_0060</x:v>
      </x:c>
      <x:c r="B64" t="str">
        <x:v>browsing</x:v>
      </x:c>
      <x:c r="C64" t="str">
        <x:v>Sleep &amp; Lounge Sleep Bottoms</x:v>
      </x:c>
      <x:c r="D64" s="17" t="str">
        <x:v>cotton</x:v>
      </x:c>
      <x:c r="E64" s="17" t="str">
        <x:v>material</x:v>
      </x:c>
      <x:c r="F64" s="17" t="str">
        <x:v>55% Cotton, 45% Polyester</x:v>
      </x:c>
      <x:c r="G64" s="17" t="str">
        <x:v>material</x:v>
      </x:c>
      <x:c r="H64" s="17" t="str">
        <x:v>Imported</x:v>
      </x:c>
      <x:c r="I64" s="17" t="str">
        <x:v>feature</x:v>
      </x:c>
      <x:c r="J64" s="17" t="str">
        <x:v>Drawstring Waist closure</x:v>
      </x:c>
      <x:c r="K64" s="17" t="str">
        <x:v>feature</x:v>
      </x:c>
      <x:c r="L64" s="17" t="str"/>
      <x:c r="M64" s="17" t="str"/>
      <x:c r="N64" s="17" t="str"/>
    </x:row>
    <x:row r="65">
      <x:c r="A65" t="str">
        <x:v>public_0061</x:v>
      </x:c>
      <x:c r="B65" t="str">
        <x:v>buying</x:v>
      </x:c>
      <x:c r="C65" t="str">
        <x:v>Piercing Jewelry Rings</x:v>
      </x:c>
      <x:c r="D65" s="17" t="str">
        <x:v>Snap closure</x:v>
      </x:c>
      <x:c r="E65" s="17" t="str">
        <x:v>feature</x:v>
      </x:c>
      <x:c r="F65" s="17" t="str">
        <x:v>color: black</x:v>
      </x:c>
      <x:c r="G65" s="17" t="str">
        <x:v>color</x:v>
      </x:c>
      <x:c r="H65" s="17" t="str">
        <x:v>Sold by piece! 14g nose hoop ring size: 14 gauge (ring thickness: 1.6mm), inner diameter 6mm (15/64" ).Gauge means the thickness of the hoop.Please decide the gauge firstly (measur</x:v>
      </x:c>
      <x:c r="I65" s="17" t="str">
        <x:v>size</x:v>
      </x:c>
      <x:c r="J65" s="17" t="str">
        <x:v>This hinged nose ring hoop is very easy to put in and close and you can't see the seams, comfortable to wear without sharp edge. It spins completely, makes for easy cleaning. You c</x:v>
      </x:c>
      <x:c r="K65" s="17" t="str">
        <x:v>feature</x:v>
      </x:c>
      <x:c r="L65" s="17" t="str"/>
      <x:c r="M65" s="17" t="str"/>
      <x:c r="N65" s="17" t="str"/>
    </x:row>
    <x:row r="66">
      <x:c r="A66" t="str">
        <x:v>public_0062</x:v>
      </x:c>
      <x:c r="B66" t="str">
        <x:v>browsing</x:v>
      </x:c>
      <x:c r="C66" t="str">
        <x:v>Skirts Casual</x:v>
      </x:c>
      <x:c r="D66" s="17" t="str">
        <x:v>fabric</x:v>
      </x:c>
      <x:c r="E66" s="17" t="str">
        <x:v>material</x:v>
      </x:c>
      <x:c r="F66" s="17" t="str">
        <x:v>color: black</x:v>
      </x:c>
      <x:c r="G66" s="17" t="str">
        <x:v>color</x:v>
      </x:c>
      <x:c r="H66" s="17" t="str">
        <x:v>Fabric: 70%Cotton, 28.5%Polyester, 1.5%Spandex</x:v>
      </x:c>
      <x:c r="I66" s="17" t="str">
        <x:v>material</x:v>
      </x:c>
      <x:c r="J66" s="17" t="str">
        <x:v>Imported</x:v>
      </x:c>
      <x:c r="K66" s="17" t="str">
        <x:v>feature</x:v>
      </x:c>
      <x:c r="L66" s="17" t="str"/>
      <x:c r="M66" s="17" t="str"/>
      <x:c r="N66" s="17" t="str"/>
    </x:row>
    <x:row r="67">
      <x:c r="A67" t="str">
        <x:v>public_0063</x:v>
      </x:c>
      <x:c r="B67" t="str">
        <x:v>browsing</x:v>
      </x:c>
      <x:c r="C67" t="str">
        <x:v>Women Shorts</x:v>
      </x:c>
      <x:c r="D67" s="17" t="str">
        <x:v>polyester</x:v>
      </x:c>
      <x:c r="E67" s="17" t="str">
        <x:v>material</x:v>
      </x:c>
      <x:c r="F67" s="17" t="str">
        <x:v>Body: 95% Polyester, 5% Spandex; Waist: 90% Polyester, 10% Spandex; Liner: 90% Polyester, 10% Spandex</x:v>
      </x:c>
      <x:c r="G67" s="17" t="str">
        <x:v>material</x:v>
      </x:c>
      <x:c r="H67" s="17" t="str">
        <x:v>elastic closure</x:v>
      </x:c>
      <x:c r="I67" s="17" t="str">
        <x:v>feature</x:v>
      </x:c>
      <x:c r="J67" s="17" t="str">
        <x:v>3" Width Waistband: The elastic flat waist provides tummy control and features 4-way stretch performance</x:v>
      </x:c>
      <x:c r="K67" s="17" t="str">
        <x:v>size</x:v>
      </x:c>
      <x:c r="L67" s="17" t="str"/>
      <x:c r="M67" s="17" t="str"/>
      <x:c r="N67" s="17" t="str"/>
    </x:row>
    <x:row r="68">
      <x:c r="A68" t="str">
        <x:v>public_0064</x:v>
      </x:c>
      <x:c r="B68" t="str">
        <x:v>intent_override</x:v>
      </x:c>
      <x:c r="C68" t="str">
        <x:v>Dresses Club &amp; Night Out</x:v>
      </x:c>
      <x:c r="D68" s="17" t="str">
        <x:v>cotton</x:v>
      </x:c>
      <x:c r="E68" s="17" t="str">
        <x:v>material</x:v>
      </x:c>
      <x:c r="F68" s="17" t="str">
        <x:v>cotton blend</x:v>
      </x:c>
      <x:c r="G68" s="17" t="str">
        <x:v>material</x:v>
      </x:c>
      <x:c r="H68" s="17" t="str">
        <x:v>Pull On closure</x:v>
      </x:c>
      <x:c r="I68" s="17" t="str">
        <x:v>feature</x:v>
      </x:c>
      <x:c r="J68" s="17" t="str">
        <x:v>Hand Wash Only</x:v>
      </x:c>
      <x:c r="K68" s="17" t="str">
        <x:v>feature</x:v>
      </x:c>
      <x:c r="L68" s="17" t="n">
        <x:v>4</x:v>
      </x:c>
      <x:c r="M68" s="17" t="str">
        <x:v>Hand Wash Only</x:v>
      </x:c>
      <x:c r="N68" s="17" t="str">
        <x:v>cotton</x:v>
      </x:c>
    </x:row>
    <x:row r="69">
      <x:c r="A69" t="str">
        <x:v>public_0065</x:v>
      </x:c>
      <x:c r="B69" t="str">
        <x:v>buying</x:v>
      </x:c>
      <x:c r="C69" t="str">
        <x:v>Bibs &amp; Pants Bibs</x:v>
      </x:c>
      <x:c r="D69" s="17" t="str">
        <x:v>polyester</x:v>
      </x:c>
      <x:c r="E69" s="17" t="str">
        <x:v>material</x:v>
      </x:c>
      <x:c r="F69" s="17" t="str">
        <x:v>100% Polyester</x:v>
      </x:c>
      <x:c r="G69" s="17" t="str">
        <x:v>material</x:v>
      </x:c>
      <x:c r="H69" s="17" t="str">
        <x:v>Imported</x:v>
      </x:c>
      <x:c r="I69" s="17" t="str">
        <x:v>feature</x:v>
      </x:c>
      <x:c r="J69" s="17" t="str">
        <x:v>Zipper closure</x:v>
      </x:c>
      <x:c r="K69" s="17" t="str">
        <x:v>feature</x:v>
      </x:c>
      <x:c r="L69" s="17" t="str"/>
      <x:c r="M69" s="17" t="str"/>
      <x:c r="N69" s="17" t="str"/>
    </x:row>
    <x:row r="70">
      <x:c r="A70" t="str">
        <x:v>public_0066</x:v>
      </x:c>
      <x:c r="B70" t="str">
        <x:v>buying</x:v>
      </x:c>
      <x:c r="C70" t="str">
        <x:v>Dresses Formal</x:v>
      </x:c>
      <x:c r="D70" s="17" t="str">
        <x:v>polyester</x:v>
      </x:c>
      <x:c r="E70" s="17" t="str">
        <x:v>material</x:v>
      </x:c>
      <x:c r="F70" s="17" t="str">
        <x:v>96% Polyester, 4% Spandex</x:v>
      </x:c>
      <x:c r="G70" s="17" t="str">
        <x:v>material</x:v>
      </x:c>
      <x:c r="H70" s="17" t="str">
        <x:v>Imported</x:v>
      </x:c>
      <x:c r="I70" s="17" t="str">
        <x:v>feature</x:v>
      </x:c>
      <x:c r="J70" s="17" t="str">
        <x:v>Zipper closure</x:v>
      </x:c>
      <x:c r="K70" s="17" t="str">
        <x:v>feature</x:v>
      </x:c>
      <x:c r="L70" s="17" t="str"/>
      <x:c r="M70" s="17" t="str"/>
      <x:c r="N70" s="17" t="str"/>
    </x:row>
    <x:row r="71">
      <x:c r="A71" t="str">
        <x:v>public_0067</x:v>
      </x:c>
      <x:c r="B71" t="str">
        <x:v>buying</x:v>
      </x:c>
      <x:c r="C71" t="str">
        <x:v>Lightweight Jackets Windbreakers</x:v>
      </x:c>
      <x:c r="D71" s="17" t="str">
        <x:v>polyester</x:v>
      </x:c>
      <x:c r="E71" s="17" t="str">
        <x:v>material</x:v>
      </x:c>
      <x:c r="F71" s="17" t="str">
        <x:v>Polyester</x:v>
      </x:c>
      <x:c r="G71" s="17" t="str">
        <x:v>material</x:v>
      </x:c>
      <x:c r="H71" s="17" t="str">
        <x:v>Imported</x:v>
      </x:c>
      <x:c r="I71" s="17" t="str">
        <x:v>feature</x:v>
      </x:c>
      <x:c r="J71" s="17" t="str">
        <x:v>Zipper closure</x:v>
      </x:c>
      <x:c r="K71" s="17" t="str">
        <x:v>feature</x:v>
      </x:c>
      <x:c r="L71" s="17" t="str"/>
      <x:c r="M71" s="17" t="str"/>
      <x:c r="N71" s="17" t="str"/>
    </x:row>
    <x:row r="72">
      <x:c r="A72" t="str">
        <x:v>public_0068</x:v>
      </x:c>
      <x:c r="B72" t="str">
        <x:v>intent_override</x:v>
      </x:c>
      <x:c r="C72" t="str">
        <x:v>Athletic Walking</x:v>
      </x:c>
      <x:c r="D72" s="17" t="str">
        <x:v>Imported</x:v>
      </x:c>
      <x:c r="E72" s="17" t="str">
        <x:v>feature</x:v>
      </x:c>
      <x:c r="F72" s="17" t="str">
        <x:v>Rubber sole</x:v>
      </x:c>
      <x:c r="G72" s="17" t="str">
        <x:v>feature</x:v>
      </x:c>
      <x:c r="H72" s="17" t="str">
        <x:v>Dual-density outsole with Hyper Pillar comfort technology</x:v>
      </x:c>
      <x:c r="I72" s="17" t="str">
        <x:v>feature</x:v>
      </x:c>
      <x:c r="J72" s="17" t="str">
        <x:v>Lightweight and responsive Ultra Go midsole cushioning</x:v>
      </x:c>
      <x:c r="K72" s="17" t="str">
        <x:v>feature</x:v>
      </x:c>
      <x:c r="L72" s="17" t="n">
        <x:v>3</x:v>
      </x:c>
      <x:c r="M72" s="17" t="str">
        <x:v>Lightweight and responsive Ultra Go midsole cushioning</x:v>
      </x:c>
      <x:c r="N72" s="17" t="str">
        <x:v>Imported</x:v>
      </x:c>
    </x:row>
    <x:row r="73">
      <x:c r="A73" t="str">
        <x:v>public_0069</x:v>
      </x:c>
      <x:c r="B73" t="str">
        <x:v>browsing</x:v>
      </x:c>
      <x:c r="C73" t="str">
        <x:v>Earrings Drop &amp; Dangle</x:v>
      </x:c>
      <x:c r="D73" s="17" t="str">
        <x:v>【FASHION DESIGN 】—Acrylic mottled hoop earrings. Square and oval silhouette. Marbled Floral and Leopard design. Post back. Light-weight earrings. these acrylic earrings are the per</x:v>
      </x:c>
      <x:c r="E73" s="17" t="str">
        <x:v>feature</x:v>
      </x:c>
      <x:c r="F73" s="17" t="str">
        <x:v>【COMFORTABLE TO WEAR】—Acrylic Leopard dangle earring give a summer-ready feel to any look. Post back closures for pieced ears. Size: 2.5''in length weight 0.2oz a pair,Lightweight,</x:v>
      </x:c>
      <x:c r="G73" s="17" t="str">
        <x:v>size</x:v>
      </x:c>
      <x:c r="H73" s="17" t="str">
        <x:v>【PERFECT GIFT】—Geometric drop dangle earring with Excellent Luster and Unimpeachable Rust very popular with women and girls packaged in a velvet bag, a wonderful gift giving mom, w</x:v>
      </x:c>
      <x:c r="I73" s="17" t="str">
        <x:v>feature</x:v>
      </x:c>
      <x:c r="J73" s="17" t="str">
        <x:v>【MATCH TO MOST OCCASIONS】—Minimalist Acrylic Hoop Earrings works well with your daily outfit,Can wear it with many things go to many occasions.Such as Valentine’s Day, Christmas’ D</x:v>
      </x:c>
      <x:c r="K73" s="17" t="str">
        <x:v>style</x:v>
      </x:c>
      <x:c r="L73" s="17" t="str"/>
      <x:c r="M73" s="17" t="str"/>
      <x:c r="N73" s="17" t="str"/>
    </x:row>
    <x:row r="74">
      <x:c r="A74" t="str">
        <x:v>public_0070</x:v>
      </x:c>
      <x:c r="B74" t="str">
        <x:v>browsing</x:v>
      </x:c>
      <x:c r="C74" t="str">
        <x:v>Travel Accessories Travel Wallets</x:v>
      </x:c>
      <x:c r="D74" s="17" t="str">
        <x:v>nylon</x:v>
      </x:c>
      <x:c r="E74" s="17" t="str">
        <x:v>material</x:v>
      </x:c>
      <x:c r="F74" s="17" t="str">
        <x:v>✅ PERFECT FOR TRAVEL - COMFORTABLE, LIGHTWEIGHT, AND WATER RESISTANT PASSPORT AND VACCINE CARD HOLDER designed to offer you a safe and secure location to store valuables , passport</x:v>
      </x:c>
      <x:c r="G74" s="17" t="str">
        <x:v>feature</x:v>
      </x:c>
      <x:c r="H74" s="17" t="str">
        <x:v>✅ RFID BLOCKING – RFID WALLET LINED WITH RADIO FREQUENCY SHIELDING MATERIAL WHICH BLOCKS UNWANTED SCANS , ensuring that your cards and personal information remain private and confi</x:v>
      </x:c>
      <x:c r="I74" s="17" t="str">
        <x:v>feature</x:v>
      </x:c>
      <x:c r="J74" s="17" t="str">
        <x:v>Nylon lining</x:v>
      </x:c>
      <x:c r="K74" s="17" t="str">
        <x:v>material</x:v>
      </x:c>
      <x:c r="L74" s="17" t="str"/>
      <x:c r="M74" s="17" t="str"/>
      <x:c r="N74" s="17" t="str"/>
    </x:row>
    <x:row r="75">
      <x:c r="A75" t="str">
        <x:v>public_0071</x:v>
      </x:c>
      <x:c r="B75" t="str">
        <x:v>intent_override</x:v>
      </x:c>
      <x:c r="C75" t="str">
        <x:v>Women Fashion Hoodies &amp; Sweatshirts</x:v>
      </x:c>
      <x:c r="D75" s="17" t="str">
        <x:v>cotton</x:v>
      </x:c>
      <x:c r="E75" s="17" t="str">
        <x:v>material</x:v>
      </x:c>
      <x:c r="F75" s="17" t="str">
        <x:v>90% Cotton, 10% Others</x:v>
      </x:c>
      <x:c r="G75" s="17" t="str">
        <x:v>material</x:v>
      </x:c>
      <x:c r="H75" s="17" t="str">
        <x:v>Imported</x:v>
      </x:c>
      <x:c r="I75" s="17" t="str">
        <x:v>feature</x:v>
      </x:c>
      <x:c r="J75" s="17" t="str">
        <x:v>Pull On closure</x:v>
      </x:c>
      <x:c r="K75" s="17" t="str">
        <x:v>feature</x:v>
      </x:c>
      <x:c r="L75" s="17" t="n">
        <x:v>4</x:v>
      </x:c>
      <x:c r="M75" s="17" t="str">
        <x:v>Pull On closure</x:v>
      </x:c>
      <x:c r="N75" s="17" t="str">
        <x:v>cotton</x:v>
      </x:c>
    </x:row>
    <x:row r="76">
      <x:c r="A76" t="str">
        <x:v>public_0072</x:v>
      </x:c>
      <x:c r="B76" t="str">
        <x:v>intent_override</x:v>
      </x:c>
      <x:c r="C76" t="str">
        <x:v>Rain &amp; Anoraks Anoraks</x:v>
      </x:c>
      <x:c r="D76" s="17" t="str">
        <x:v>Faux Fur</x:v>
      </x:c>
      <x:c r="E76" s="17" t="str">
        <x:v>feature</x:v>
      </x:c>
      <x:c r="F76" s="17" t="str">
        <x:v>Drawstring closure</x:v>
      </x:c>
      <x:c r="G76" s="17" t="str">
        <x:v>feature</x:v>
      </x:c>
      <x:c r="H76" s="17" t="str">
        <x:v>Hand Wash Only</x:v>
      </x:c>
      <x:c r="I76" s="17" t="str">
        <x:v>feature</x:v>
      </x:c>
      <x:c r="J76" s="17" t="str">
        <x:v>Department: womens</x:v>
      </x:c>
      <x:c r="K76" s="17" t="str">
        <x:v>style</x:v>
      </x:c>
      <x:c r="L76" s="17" t="n">
        <x:v>3</x:v>
      </x:c>
      <x:c r="M76" s="17" t="str">
        <x:v>Department: womens</x:v>
      </x:c>
      <x:c r="N76" s="17" t="str">
        <x:v>Faux Fur</x:v>
      </x:c>
    </x:row>
    <x:row r="77">
      <x:c r="A77" t="str">
        <x:v>public_0073</x:v>
      </x:c>
      <x:c r="B77" t="str">
        <x:v>browsing</x:v>
      </x:c>
      <x:c r="C77" t="str">
        <x:v>Dresses Casual</x:v>
      </x:c>
      <x:c r="D77" s="17" t="str">
        <x:v>polyester</x:v>
      </x:c>
      <x:c r="E77" s="17" t="str">
        <x:v>material</x:v>
      </x:c>
      <x:c r="F77" s="17" t="str">
        <x:v>♥【Try RISK FREE】: Wear COMFORTABLE or Your MONEY BACK! 30-day wear test! FREE shipping and returns.If for any reason you’re unhappy with your purchase,feel free to contact us</x:v>
      </x:c>
      <x:c r="G77" s="17" t="str">
        <x:v>feature</x:v>
      </x:c>
      <x:c r="H77" s="17" t="str">
        <x:v>Imported</x:v>
      </x:c>
      <x:c r="I77" s="17" t="str">
        <x:v>feature</x:v>
      </x:c>
      <x:c r="J77" s="17" t="str">
        <x:v>Elastic closure</x:v>
      </x:c>
      <x:c r="K77" s="17" t="str">
        <x:v>feature</x:v>
      </x:c>
      <x:c r="L77" s="17" t="str"/>
      <x:c r="M77" s="17" t="str"/>
      <x:c r="N77" s="17" t="str"/>
    </x:row>
    <x:row r="78">
      <x:c r="A78" t="str">
        <x:v>public_0074</x:v>
      </x:c>
      <x:c r="B78" t="str">
        <x:v>browsing</x:v>
      </x:c>
      <x:c r="C78" t="str">
        <x:v>Athletic Walking</x:v>
      </x:c>
      <x:c r="D78" s="17" t="str">
        <x:v>mesh</x:v>
      </x:c>
      <x:c r="E78" s="17" t="str">
        <x:v>feature</x:v>
      </x:c>
      <x:c r="F78" s="17" t="str">
        <x:v>Imported</x:v>
      </x:c>
      <x:c r="G78" s="17" t="str">
        <x:v>feature</x:v>
      </x:c>
      <x:c r="H78" s="17" t="str">
        <x:v>Synthetic sole</x:v>
      </x:c>
      <x:c r="I78" s="17" t="str">
        <x:v>feature</x:v>
      </x:c>
      <x:c r="J78" s="17" t="str">
        <x:v>Shaft measures approximately not_applicable from arch</x:v>
      </x:c>
      <x:c r="K78" s="17" t="str">
        <x:v>feature</x:v>
      </x:c>
      <x:c r="L78" s="17" t="str"/>
      <x:c r="M78" s="17" t="str"/>
      <x:c r="N78" s="17" t="str"/>
    </x:row>
    <x:row r="79">
      <x:c r="A79" t="str">
        <x:v>public_0075</x:v>
      </x:c>
      <x:c r="B79" t="str">
        <x:v>browsing</x:v>
      </x:c>
      <x:c r="C79" t="str">
        <x:v>Accessories Belts</x:v>
      </x:c>
      <x:c r="D79" s="17" t="str">
        <x:v>leather</x:v>
      </x:c>
      <x:c r="E79" s="17" t="str">
        <x:v>material</x:v>
      </x:c>
      <x:c r="F79" s="17" t="str">
        <x:v>100% Leather</x:v>
      </x:c>
      <x:c r="G79" s="17" t="str">
        <x:v>material</x:v>
      </x:c>
      <x:c r="H79" s="17" t="str">
        <x:v>Genuine Leather,New Design for Exact Fit,Width 1 3/8"</x:v>
      </x:c>
      <x:c r="I79" s="17" t="str">
        <x:v>material</x:v>
      </x:c>
      <x:c r="J79" s="17" t="str">
        <x:v>Ratchet closure</x:v>
      </x:c>
      <x:c r="K79" s="17" t="str">
        <x:v>feature</x:v>
      </x:c>
      <x:c r="L79" s="17" t="str"/>
      <x:c r="M79" s="17" t="str"/>
      <x:c r="N79" s="17" t="str"/>
    </x:row>
    <x:row r="80">
      <x:c r="A80" t="str">
        <x:v>public_0076</x:v>
      </x:c>
      <x:c r="B80" t="str">
        <x:v>browsing</x:v>
      </x:c>
      <x:c r="C80" t="str">
        <x:v>Women Hoodies</x:v>
      </x:c>
      <x:c r="D80" s="17" t="str">
        <x:v>cotton</x:v>
      </x:c>
      <x:c r="E80" s="17" t="str">
        <x:v>material</x:v>
      </x:c>
      <x:c r="F80" s="17" t="str">
        <x:v>color: grey</x:v>
      </x:c>
      <x:c r="G80" s="17" t="str">
        <x:v>color</x:v>
      </x:c>
      <x:c r="H80" s="17" t="str">
        <x:v>Solid colors: 80% Cotton, 20% Polyester; Heather Grey: 78% Cotton, 22% Poly; Dark Heather: 50% Cotton, 50% Polyester</x:v>
      </x:c>
      <x:c r="I80" s="17" t="str">
        <x:v>material</x:v>
      </x:c>
      <x:c r="J80" s="17" t="str">
        <x:v>Imported</x:v>
      </x:c>
      <x:c r="K80" s="17" t="str">
        <x:v>feature</x:v>
      </x:c>
      <x:c r="L80" s="17" t="str"/>
      <x:c r="M80" s="17" t="str"/>
      <x:c r="N80" s="17" t="str"/>
    </x:row>
    <x:row r="81">
      <x:c r="A81" t="str">
        <x:v>public_0077</x:v>
      </x:c>
      <x:c r="B81" t="str">
        <x:v>browsing</x:v>
      </x:c>
      <x:c r="C81" t="str">
        <x:v>Sleep &amp; Lounge Sleep Tops</x:v>
      </x:c>
      <x:c r="D81" s="17" t="str">
        <x:v>cotton</x:v>
      </x:c>
      <x:c r="E81" s="17" t="str">
        <x:v>material</x:v>
      </x:c>
      <x:c r="F81" s="17" t="str">
        <x:v>55% Cotton /45% Polyester Flannel</x:v>
      </x:c>
      <x:c r="G81" s="17" t="str">
        <x:v>material</x:v>
      </x:c>
      <x:c r="H81" s="17" t="str">
        <x:v>Button closure</x:v>
      </x:c>
      <x:c r="I81" s="17" t="str">
        <x:v>feature</x:v>
      </x:c>
      <x:c r="J81" s="17" t="str">
        <x:v>Machine Wash</x:v>
      </x:c>
      <x:c r="K81" s="17" t="str">
        <x:v>feature</x:v>
      </x:c>
      <x:c r="L81" s="17" t="str"/>
      <x:c r="M81" s="17" t="str"/>
      <x:c r="N81" s="17" t="str"/>
    </x:row>
    <x:row r="82">
      <x:c r="A82" t="str">
        <x:v>public_0078</x:v>
      </x:c>
      <x:c r="B82" t="str">
        <x:v>intent_override</x:v>
      </x:c>
      <x:c r="C82" t="str">
        <x:v>Socks No Show &amp; Liner Socks</x:v>
      </x:c>
      <x:c r="D82" s="17" t="str">
        <x:v>cotton</x:v>
      </x:c>
      <x:c r="E82" s="17" t="str">
        <x:v>material</x:v>
      </x:c>
      <x:c r="F82" s="17" t="str">
        <x:v>78% Cotton, 21% Polyester, 1% Spandex</x:v>
      </x:c>
      <x:c r="G82" s="17" t="str">
        <x:v>material</x:v>
      </x:c>
      <x:c r="H82" s="17" t="str">
        <x:v>Made in the USA or Imported</x:v>
      </x:c>
      <x:c r="I82" s="17" t="str">
        <x:v>feature</x:v>
      </x:c>
      <x:c r="J82" s="17" t="str">
        <x:v>Pull On closure</x:v>
      </x:c>
      <x:c r="K82" s="17" t="str">
        <x:v>feature</x:v>
      </x:c>
      <x:c r="L82" s="17" t="n">
        <x:v>3</x:v>
      </x:c>
      <x:c r="M82" s="17" t="str">
        <x:v>Pull On closure</x:v>
      </x:c>
      <x:c r="N82" s="17" t="str">
        <x:v>cotton</x:v>
      </x:c>
    </x:row>
    <x:row r="83">
      <x:c r="A83" t="str">
        <x:v>public_0079</x:v>
      </x:c>
      <x:c r="B83" t="str">
        <x:v>browsing</x:v>
      </x:c>
      <x:c r="C83" t="str">
        <x:v>Socks &amp; Hosiery Slipper Socks</x:v>
      </x:c>
      <x:c r="D83" s="17" t="str">
        <x:v>polyester</x:v>
      </x:c>
      <x:c r="E83" s="17" t="str">
        <x:v>material</x:v>
      </x:c>
      <x:c r="F83" s="17" t="str">
        <x:v>Rubber sole</x:v>
      </x:c>
      <x:c r="G83" s="17" t="str">
        <x:v>feature</x:v>
      </x:c>
      <x:c r="H83" s="17" t="str">
        <x:v>Best Gifts Ideas: These cute fluffy slipper socks are featuring lovely animals pattern-owl, dog, cat, fox, penguin and reindeer. They are very good gifts for women. Gifts for mom.</x:v>
      </x:c>
      <x:c r="I83" s="17" t="str">
        <x:v>feature</x:v>
      </x:c>
      <x:c r="J83" s="17" t="str">
        <x:v>Super Soft and Cozy: These fuzzy slipper socks are made of Polyester 95%, Spandex 5%. The material is extraordinary soft and comfy</x:v>
      </x:c>
      <x:c r="K83" s="17" t="str">
        <x:v>material</x:v>
      </x:c>
      <x:c r="L83" s="17" t="str"/>
      <x:c r="M83" s="17" t="str"/>
      <x:c r="N83" s="17" t="str"/>
    </x:row>
    <x:row r="84">
      <x:c r="A84" t="str">
        <x:v>public_0080</x:v>
      </x:c>
      <x:c r="B84" t="str">
        <x:v>intent_override</x:v>
      </x:c>
      <x:c r="C84" t="str">
        <x:v>Shirts Polos</x:v>
      </x:c>
      <x:c r="D84" s="17" t="str">
        <x:v>cotton</x:v>
      </x:c>
      <x:c r="E84" s="17" t="str">
        <x:v>material</x:v>
      </x:c>
      <x:c r="F84" s="17" t="str">
        <x:v>60% Cotton, 40% Polyester</x:v>
      </x:c>
      <x:c r="G84" s="17" t="str">
        <x:v>material</x:v>
      </x:c>
      <x:c r="H84" s="17" t="str">
        <x:v>Imported</x:v>
      </x:c>
      <x:c r="I84" s="17" t="str">
        <x:v>feature</x:v>
      </x:c>
      <x:c r="J84" s="17" t="str">
        <x:v>Button closure</x:v>
      </x:c>
      <x:c r="K84" s="17" t="str">
        <x:v>feature</x:v>
      </x:c>
      <x:c r="L84" s="17" t="n">
        <x:v>4</x:v>
      </x:c>
      <x:c r="M84" s="17" t="str">
        <x:v>Button closure</x:v>
      </x:c>
      <x:c r="N84" s="17" t="str">
        <x:v>cotton</x:v>
      </x:c>
    </x:row>
    <x:row r="85">
      <x:c r="A85" t="str">
        <x:v>public_0081</x:v>
      </x:c>
      <x:c r="B85" t="str">
        <x:v>browsing</x:v>
      </x:c>
      <x:c r="C85" t="str">
        <x:v>Underwear Undershirts</x:v>
      </x:c>
      <x:c r="D85" s="17" t="str">
        <x:v>cotton</x:v>
      </x:c>
      <x:c r="E85" s="17" t="str">
        <x:v>material</x:v>
      </x:c>
      <x:c r="F85" s="17" t="str">
        <x:v>100% Cotton</x:v>
      </x:c>
      <x:c r="G85" s="17" t="str">
        <x:v>material</x:v>
      </x:c>
      <x:c r="H85" s="17" t="str">
        <x:v>Pull On closure</x:v>
      </x:c>
      <x:c r="I85" s="17" t="str">
        <x:v>feature</x:v>
      </x:c>
      <x:c r="J85" s="17" t="str">
        <x:v>Machine Wash</x:v>
      </x:c>
      <x:c r="K85" s="17" t="str">
        <x:v>feature</x:v>
      </x:c>
      <x:c r="L85" s="17" t="str"/>
      <x:c r="M85" s="17" t="str"/>
      <x:c r="N85" s="17" t="str"/>
    </x:row>
    <x:row r="86">
      <x:c r="A86" t="str">
        <x:v>public_0082</x:v>
      </x:c>
      <x:c r="B86" t="str">
        <x:v>buying</x:v>
      </x:c>
      <x:c r="C86" t="str">
        <x:v>Bracelets Strand</x:v>
      </x:c>
      <x:c r="D86" s="17" t="str">
        <x:v>21 Styles: the package contains 21 pieces beach bracelet anklets in different styles as shown in the picture, coming with various elements, enough quantity to use and share with fa</x:v>
      </x:c>
      <x:c r="E86" s="17" t="str">
        <x:v>style</x:v>
      </x:c>
      <x:c r="F86" s="17" t="str">
        <x:v>color: blue</x:v>
      </x:c>
      <x:c r="G86" s="17" t="str">
        <x:v>color</x:v>
      </x:c>
      <x:c r="H86" s="17" t="str">
        <x:v>Waterproof and fadeless: these boho style pull cord anklets are made of a combination of wax and cords, featuring good resistance of water, not easy to fade even if you go surfing</x:v>
      </x:c>
      <x:c r="I86" s="17" t="str">
        <x:v>style</x:v>
      </x:c>
      <x:c r="J86" s="17" t="str">
        <x:v>Summer vibe accessories: blue and orange colors of the wave strand bracelet set can easily make you look vibrant, going well with different clothes; Nice accessories to wear in sum</x:v>
      </x:c>
      <x:c r="K86" s="17" t="str">
        <x:v>color</x:v>
      </x:c>
      <x:c r="L86" s="17" t="str"/>
      <x:c r="M86" s="17" t="str"/>
      <x:c r="N86" s="17" t="str"/>
    </x:row>
    <x:row r="87">
      <x:c r="A87" t="str">
        <x:v>public_0083</x:v>
      </x:c>
      <x:c r="B87" t="str">
        <x:v>buying</x:v>
      </x:c>
      <x:c r="C87" t="str">
        <x:v>Tees &amp; Blouses Blouses &amp; Button-Down Shirts</x:v>
      </x:c>
      <x:c r="D87" s="17" t="str">
        <x:v>polyester</x:v>
      </x:c>
      <x:c r="E87" s="17" t="str">
        <x:v>material</x:v>
      </x:c>
      <x:c r="F87" s="17" t="str">
        <x:v>100% Polyester</x:v>
      </x:c>
      <x:c r="G87" s="17" t="str">
        <x:v>material</x:v>
      </x:c>
      <x:c r="H87" s="17" t="str">
        <x:v>Imported</x:v>
      </x:c>
      <x:c r="I87" s="17" t="str">
        <x:v>feature</x:v>
      </x:c>
      <x:c r="J87" s="17" t="str">
        <x:v>Button closure</x:v>
      </x:c>
      <x:c r="K87" s="17" t="str">
        <x:v>feature</x:v>
      </x:c>
      <x:c r="L87" s="17" t="str"/>
      <x:c r="M87" s="17" t="str"/>
      <x:c r="N87" s="17" t="str"/>
    </x:row>
    <x:row r="88">
      <x:c r="A88" t="str">
        <x:v>public_0084</x:v>
      </x:c>
      <x:c r="B88" t="str">
        <x:v>intent_override</x:v>
      </x:c>
      <x:c r="C88" t="str">
        <x:v>Accessories Belts</x:v>
      </x:c>
      <x:c r="D88" s="17" t="str">
        <x:v>nylon</x:v>
      </x:c>
      <x:c r="E88" s="17" t="str">
        <x:v>material</x:v>
      </x:c>
      <x:c r="F88" s="17" t="str">
        <x:v>33% Elastic, 34% Nylon, 33% Polyester</x:v>
      </x:c>
      <x:c r="G88" s="17" t="str">
        <x:v>material</x:v>
      </x:c>
      <x:c r="H88" s="17" t="str">
        <x:v>Hook and Loop closure</x:v>
      </x:c>
      <x:c r="I88" s="17" t="str">
        <x:v>feature</x:v>
      </x:c>
      <x:c r="J88" s="17" t="str">
        <x:v>Hand Wash Only</x:v>
      </x:c>
      <x:c r="K88" s="17" t="str">
        <x:v>feature</x:v>
      </x:c>
      <x:c r="L88" s="17" t="n">
        <x:v>4</x:v>
      </x:c>
      <x:c r="M88" s="17" t="str">
        <x:v>Hand Wash Only</x:v>
      </x:c>
      <x:c r="N88" s="17" t="str">
        <x:v>nylon</x:v>
      </x:c>
    </x:row>
    <x:row r="89">
      <x:c r="A89" t="str">
        <x:v>public_0085</x:v>
      </x:c>
      <x:c r="B89" t="str">
        <x:v>browsing</x:v>
      </x:c>
      <x:c r="C89" t="str">
        <x:v>Sandals Slides</x:v>
      </x:c>
      <x:c r="D89" s="17" t="str">
        <x:v>Ethylene Vinyl Acetate sole</x:v>
      </x:c>
      <x:c r="E89" s="17" t="str">
        <x:v>feature</x:v>
      </x:c>
      <x:c r="F89" s="17" t="str">
        <x:v>Heel measures approximately 1.57"</x:v>
      </x:c>
      <x:c r="G89" s="17" t="str">
        <x:v>feature</x:v>
      </x:c>
      <x:c r="H89" s="17" t="str">
        <x:v>【High-Quality】:Slides for women and men are made of high-quality EVA, environmentally friendly, no special smell, no noise, no water absorption, and easy to clean</x:v>
      </x:c>
      <x:c r="I89" s="17" t="str">
        <x:v>feature</x:v>
      </x:c>
      <x:c r="J89" s="17" t="str">
        <x:v>【Ergonomic Design】:About 30° forward tilt head protection design,so that the sole of the foot does not rush out. The sunken footbed fits the curve of the foot pelvic floor and make</x:v>
      </x:c>
      <x:c r="K89" s="17" t="str">
        <x:v>style</x:v>
      </x:c>
      <x:c r="L89" s="17" t="str"/>
      <x:c r="M89" s="17" t="str"/>
      <x:c r="N89" s="17" t="str"/>
    </x:row>
    <x:row r="90">
      <x:c r="A90" t="str">
        <x:v>public_0086</x:v>
      </x:c>
      <x:c r="B90" t="str">
        <x:v>browsing</x:v>
      </x:c>
      <x:c r="C90" t="str">
        <x:v>Shoes Slippers</x:v>
      </x:c>
      <x:c r="D90" s="17" t="str">
        <x:v>Rubber sole</x:v>
      </x:c>
      <x:c r="E90" s="17" t="str">
        <x:v>feature</x:v>
      </x:c>
      <x:c r="F90" s="17" t="str">
        <x:v>PRETTY ANKLE BOOTS - Cozy up the cold season with these attractive warm house slippers while luxe chenille knit styling adds a chic and cute touch to your comfort. Subtle scrunchin</x:v>
      </x:c>
      <x:c r="G90" s="17" t="str">
        <x:v>feature</x:v>
      </x:c>
      <x:c r="H90" s="17" t="str">
        <x:v>COMFY &amp; SOFT - Nice chenille velvet upper and fuzzy plush fleece lining hug your feet and provide toasty warmth plus ultra softness, which make you feel like walking on a cloud. Wh</x:v>
      </x:c>
      <x:c r="I90" s="17" t="str">
        <x:v>feature</x:v>
      </x:c>
      <x:c r="J90" s="17" t="str">
        <x:v>CUSHION &amp; SUPPORT - Long lasting 80D memory foam insole provides superior cushioning and padding, feels like ergonomic pillows under your feet. Supportive insole relaxes your arch</x:v>
      </x:c>
      <x:c r="K90" s="17" t="str">
        <x:v>feature</x:v>
      </x:c>
      <x:c r="L90" s="17" t="str"/>
      <x:c r="M90" s="17" t="str"/>
      <x:c r="N90" s="17" t="str"/>
    </x:row>
    <x:row r="91">
      <x:c r="A91" t="str">
        <x:v>public_0087</x:v>
      </x:c>
      <x:c r="B91" t="str">
        <x:v>browsing</x:v>
      </x:c>
      <x:c r="C91" t="str">
        <x:v>Shirts Casual Button-Down Shirts</x:v>
      </x:c>
      <x:c r="D91" s="17" t="str">
        <x:v>cotton</x:v>
      </x:c>
      <x:c r="E91" s="17" t="str">
        <x:v>material</x:v>
      </x:c>
      <x:c r="F91" s="17" t="str">
        <x:v>100% Cotton</x:v>
      </x:c>
      <x:c r="G91" s="17" t="str">
        <x:v>material</x:v>
      </x:c>
      <x:c r="H91" s="17" t="str">
        <x:v>Imported</x:v>
      </x:c>
      <x:c r="I91" s="17" t="str">
        <x:v>feature</x:v>
      </x:c>
      <x:c r="J91" s="17" t="str">
        <x:v>Button closure</x:v>
      </x:c>
      <x:c r="K91" s="17" t="str">
        <x:v>feature</x:v>
      </x:c>
      <x:c r="L91" s="17" t="str"/>
      <x:c r="M91" s="17" t="str"/>
      <x:c r="N91" s="17" t="str"/>
    </x:row>
    <x:row r="92">
      <x:c r="A92" t="str">
        <x:v>public_0088</x:v>
      </x:c>
      <x:c r="B92" t="str">
        <x:v>buying</x:v>
      </x:c>
      <x:c r="C92" t="str">
        <x:v>Panties Bikinis</x:v>
      </x:c>
      <x:c r="D92" s="17" t="str">
        <x:v>cotton</x:v>
      </x:c>
      <x:c r="E92" s="17" t="str">
        <x:v>material</x:v>
      </x:c>
      <x:c r="F92" s="17" t="str">
        <x:v>95% Cotton, 5% Spandex</x:v>
      </x:c>
      <x:c r="G92" s="17" t="str">
        <x:v>material</x:v>
      </x:c>
      <x:c r="H92" s="17" t="str">
        <x:v>Imported</x:v>
      </x:c>
      <x:c r="I92" s="17" t="str">
        <x:v>feature</x:v>
      </x:c>
      <x:c r="J92" s="17" t="str">
        <x:v>Machine Wash</x:v>
      </x:c>
      <x:c r="K92" s="17" t="str">
        <x:v>feature</x:v>
      </x:c>
      <x:c r="L92" s="17" t="str"/>
      <x:c r="M92" s="17" t="str"/>
      <x:c r="N92" s="17" t="str"/>
    </x:row>
    <x:row r="93">
      <x:c r="A93" t="str">
        <x:v>public_0089</x:v>
      </x:c>
      <x:c r="B93" t="str">
        <x:v>intent_override</x:v>
      </x:c>
      <x:c r="C93" t="str">
        <x:v>Panties Briefs</x:v>
      </x:c>
      <x:c r="D93" s="17" t="str">
        <x:v>nylon</x:v>
      </x:c>
      <x:c r="E93" s="17" t="str">
        <x:v>material</x:v>
      </x:c>
      <x:c r="F93" s="17" t="str">
        <x:v>100% Nylon</x:v>
      </x:c>
      <x:c r="G93" s="17" t="str">
        <x:v>material</x:v>
      </x:c>
      <x:c r="H93" s="17" t="str">
        <x:v>Imported</x:v>
      </x:c>
      <x:c r="I93" s="17" t="str">
        <x:v>feature</x:v>
      </x:c>
      <x:c r="J93" s="17" t="str">
        <x:v>Elastic closure</x:v>
      </x:c>
      <x:c r="K93" s="17" t="str">
        <x:v>feature</x:v>
      </x:c>
      <x:c r="L93" s="17" t="n">
        <x:v>3</x:v>
      </x:c>
      <x:c r="M93" s="17" t="str">
        <x:v>Elastic closure</x:v>
      </x:c>
      <x:c r="N93" s="17" t="str">
        <x:v>nylon</x:v>
      </x:c>
    </x:row>
    <x:row r="94">
      <x:c r="A94" t="str">
        <x:v>public_0090</x:v>
      </x:c>
      <x:c r="B94" t="str">
        <x:v>buying</x:v>
      </x:c>
      <x:c r="C94" t="str">
        <x:v>Women Accessories</x:v>
      </x:c>
      <x:c r="D94" s="17" t="str">
        <x:v>Decorative lightweight scarf: 2 wearing ways of this mardi gras scarf, wrap the scarf around your neck, or wearing it as a shawl, just change the orientation of the scarf, you can</x:v>
      </x:c>
      <x:c r="E94" s="17" t="str">
        <x:v>style</x:v>
      </x:c>
      <x:c r="F94" s="17" t="str">
        <x:v>color: purple</x:v>
      </x:c>
      <x:c r="G94" s="17" t="str">
        <x:v>color</x:v>
      </x:c>
      <x:c r="H94" s="17" t="str">
        <x:v>Classic mardi gras scarf: designed with gold, purple, green color, the scarf measure: 55 x 134 cm, tassel: 15 cm/ 5.9 inch</x:v>
      </x:c>
      <x:c r="I94" s="17" t="str">
        <x:v>color</x:v>
      </x:c>
      <x:c r="J94" s="17" t="str">
        <x:v>Pattern: the end of the mardi gras shawl is tassel, stripe pattern is shimmering, gold speckled with green and purple</x:v>
      </x:c>
      <x:c r="K94" s="17" t="str">
        <x:v>color</x:v>
      </x:c>
      <x:c r="L94" s="17" t="str"/>
      <x:c r="M94" s="17" t="str"/>
      <x:c r="N94" s="17" t="str"/>
    </x:row>
    <x:row r="95">
      <x:c r="A95" t="str">
        <x:v>public_0091</x:v>
      </x:c>
      <x:c r="B95" t="str">
        <x:v>browsing</x:v>
      </x:c>
      <x:c r="C95" t="str">
        <x:v>Jewelry Earrings</x:v>
      </x:c>
      <x:c r="D95" s="17" t="str">
        <x:v>【HIGH QUALITY】This Sterling Silver Huggie Hoop Earring is made of 925 Sterling Silver post,Hypoallergenic.Best Choice for Sensitive Ears. Earrings Surface Mounted with Sparkling AA</x:v>
      </x:c>
      <x:c r="E95" s="17" t="str">
        <x:v>feature</x:v>
      </x:c>
      <x:c r="F95" s="17" t="str">
        <x:v>color: white</x:v>
      </x:c>
      <x:c r="G95" s="17" t="str">
        <x:v>color</x:v>
      </x:c>
      <x:c r="H95" s="17" t="str">
        <x:v>【CLASSICAL&amp;TIMELESS】Simple and Classical Hoop design,Classical and Timeless.You will be more Beautiful and Elegant when You Wearing this CZ Hoop Earrings.This Small Rose Gold Hoop</x:v>
      </x:c>
      <x:c r="I95" s="17" t="str">
        <x:v>feature</x:v>
      </x:c>
      <x:c r="J95" s="17" t="str">
        <x:v>【PACKAGE INCLUDES】Order includes 3 Pairs 8/10/12mm(0.31/0.4/0.48in) Small Cubic Zirconia Hoop Earrings.The Small Hoop Earring is Cuff Design,Easy to Open and Close.Note:The 925 Ste</x:v>
      </x:c>
      <x:c r="K95" s="17" t="str">
        <x:v>feature</x:v>
      </x:c>
      <x:c r="L95" s="17" t="str"/>
      <x:c r="M95" s="17" t="str"/>
      <x:c r="N95" s="17" t="str"/>
    </x:row>
    <x:row r="96">
      <x:c r="A96" t="str">
        <x:v>public_0092</x:v>
      </x:c>
      <x:c r="B96" t="str">
        <x:v>browsing</x:v>
      </x:c>
      <x:c r="C96" t="str">
        <x:v>Sleep &amp; Lounge Sets</x:v>
      </x:c>
      <x:c r="D96" s="17" t="str">
        <x:v>polyester</x:v>
      </x:c>
      <x:c r="E96" s="17" t="str">
        <x:v>material</x:v>
      </x:c>
      <x:c r="F96" s="17" t="str">
        <x:v>95% Polyester, 5% Spandex</x:v>
      </x:c>
      <x:c r="G96" s="17" t="str">
        <x:v>material</x:v>
      </x:c>
      <x:c r="H96" s="17" t="str">
        <x:v>Imported</x:v>
      </x:c>
      <x:c r="I96" s="17" t="str">
        <x:v>feature</x:v>
      </x:c>
      <x:c r="J96" s="17" t="str">
        <x:v>Button closure</x:v>
      </x:c>
      <x:c r="K96" s="17" t="str">
        <x:v>feature</x:v>
      </x:c>
      <x:c r="L96" s="17" t="str"/>
      <x:c r="M96" s="17" t="str"/>
      <x:c r="N96" s="17" t="str"/>
    </x:row>
    <x:row r="97">
      <x:c r="A97" t="str">
        <x:v>public_0093</x:v>
      </x:c>
      <x:c r="B97" t="str">
        <x:v>buying</x:v>
      </x:c>
      <x:c r="C97" t="str">
        <x:v>Panties Briefs</x:v>
      </x:c>
      <x:c r="D97" s="17" t="str">
        <x:v>cotton</x:v>
      </x:c>
      <x:c r="E97" s="17" t="str">
        <x:v>material</x:v>
      </x:c>
      <x:c r="F97" s="17" t="str">
        <x:v>Solid: 100% Cotton; Heathers: 75% Cotton, 25% Polyester</x:v>
      </x:c>
      <x:c r="G97" s="17" t="str">
        <x:v>material</x:v>
      </x:c>
      <x:c r="H97" s="17" t="str">
        <x:v>Imported</x:v>
      </x:c>
      <x:c r="I97" s="17" t="str">
        <x:v>feature</x:v>
      </x:c>
      <x:c r="J97" s="17" t="str">
        <x:v>Pull On closure</x:v>
      </x:c>
      <x:c r="K97" s="17" t="str">
        <x:v>feature</x:v>
      </x:c>
      <x:c r="L97" s="17" t="str"/>
      <x:c r="M97" s="17" t="str"/>
      <x:c r="N97" s="17" t="str"/>
    </x:row>
    <x:row r="98">
      <x:c r="A98" t="str">
        <x:v>public_0094</x:v>
      </x:c>
      <x:c r="B98" t="str">
        <x:v>buying</x:v>
      </x:c>
      <x:c r="C98" t="str">
        <x:v>Boots Mid-Calf</x:v>
      </x:c>
      <x:c r="D98" s="17" t="str">
        <x:v>leather</x:v>
      </x:c>
      <x:c r="E98" s="17" t="str">
        <x:v>material</x:v>
      </x:c>
      <x:c r="F98" s="17" t="str">
        <x:v>Synthetic sole</x:v>
      </x:c>
      <x:c r="G98" s="17" t="str">
        <x:v>feature</x:v>
      </x:c>
      <x:c r="H98" s="17" t="str">
        <x:v>Shaft measures approximately 8" from arch</x:v>
      </x:c>
      <x:c r="I98" s="17" t="str">
        <x:v>feature</x:v>
      </x:c>
      <x:c r="J98" s="17" t="str">
        <x:v>SUPPORTIVE AND CUSHIONED: Featuring the 4LR technology for support and cushioning, these western boots make sure you have the most comfortable boot possible, whether you’re in the</x:v>
      </x:c>
      <x:c r="K98" s="17" t="str">
        <x:v>feature</x:v>
      </x:c>
      <x:c r="L98" s="17" t="str"/>
      <x:c r="M98" s="17" t="str"/>
      <x:c r="N98" s="17" t="str"/>
    </x:row>
    <x:row r="99">
      <x:c r="A99" t="str">
        <x:v>public_0095</x:v>
      </x:c>
      <x:c r="B99" t="str">
        <x:v>buying</x:v>
      </x:c>
      <x:c r="C99" t="str">
        <x:v>Women Leggings</x:v>
      </x:c>
      <x:c r="D99" s="17" t="str">
        <x:v>polyester</x:v>
      </x:c>
      <x:c r="E99" s="17" t="str">
        <x:v>material</x:v>
      </x:c>
      <x:c r="F99" s="17" t="str">
        <x:v>75% Polyester, 25% Spandex</x:v>
      </x:c>
      <x:c r="G99" s="17" t="str">
        <x:v>material</x:v>
      </x:c>
      <x:c r="H99" s="17" t="str">
        <x:v>Imported</x:v>
      </x:c>
      <x:c r="I99" s="17" t="str">
        <x:v>feature</x:v>
      </x:c>
      <x:c r="J99" s="17" t="str">
        <x:v>Pull On closure</x:v>
      </x:c>
      <x:c r="K99" s="17" t="str">
        <x:v>feature</x:v>
      </x:c>
      <x:c r="L99" s="17" t="str"/>
      <x:c r="M99" s="17" t="str"/>
      <x:c r="N99" s="17" t="str"/>
    </x:row>
    <x:row r="100">
      <x:c r="A100" t="str">
        <x:v>public_0096</x:v>
      </x:c>
      <x:c r="B100" t="str">
        <x:v>intent_override</x:v>
      </x:c>
      <x:c r="C100" t="str">
        <x:v>Tees &amp; Blouses T-Shirts</x:v>
      </x:c>
      <x:c r="D100" s="17" t="str">
        <x:v>polyester</x:v>
      </x:c>
      <x:c r="E100" s="17" t="str">
        <x:v>material</x:v>
      </x:c>
      <x:c r="F100" s="17" t="str">
        <x:v>95% Polyester, 5% Spandex</x:v>
      </x:c>
      <x:c r="G100" s="17" t="str">
        <x:v>material</x:v>
      </x:c>
      <x:c r="H100" s="17" t="str">
        <x:v>Imported</x:v>
      </x:c>
      <x:c r="I100" s="17" t="str">
        <x:v>feature</x:v>
      </x:c>
      <x:c r="J100" s="17" t="str">
        <x:v>Pull On closure</x:v>
      </x:c>
      <x:c r="K100" s="17" t="str">
        <x:v>feature</x:v>
      </x:c>
      <x:c r="L100" s="17" t="n">
        <x:v>3</x:v>
      </x:c>
      <x:c r="M100" s="17" t="str">
        <x:v>Pull On closure</x:v>
      </x:c>
      <x:c r="N100" s="17" t="str">
        <x:v>polyester</x:v>
      </x:c>
    </x:row>
    <x:row r="101">
      <x:c r="A101" t="str">
        <x:v>public_0097</x:v>
      </x:c>
      <x:c r="B101" t="str">
        <x:v>buying</x:v>
      </x:c>
      <x:c r="C101" t="str">
        <x:v>Women Leggings</x:v>
      </x:c>
      <x:c r="D101" s="17" t="str">
        <x:v>polyester</x:v>
      </x:c>
      <x:c r="E101" s="17" t="str">
        <x:v>material</x:v>
      </x:c>
      <x:c r="F101" s="17" t="str">
        <x:v>92% Polyester</x:v>
      </x:c>
      <x:c r="G101" s="17" t="str">
        <x:v>material</x:v>
      </x:c>
      <x:c r="H101" s="17" t="str">
        <x:v>Elastic closure</x:v>
      </x:c>
      <x:c r="I101" s="17" t="str">
        <x:v>feature</x:v>
      </x:c>
      <x:c r="J101" s="17" t="str">
        <x:v>Machine Wash</x:v>
      </x:c>
      <x:c r="K101" s="17" t="str">
        <x:v>feature</x:v>
      </x:c>
      <x:c r="L101" s="17" t="str"/>
      <x:c r="M101" s="17" t="str"/>
      <x:c r="N101" s="17" t="str"/>
    </x:row>
    <x:row r="102">
      <x:c r="A102" t="str">
        <x:v>public_0098</x:v>
      </x:c>
      <x:c r="B102" t="str">
        <x:v>browsing</x:v>
      </x:c>
      <x:c r="C102" t="str">
        <x:v>Running Road Running</x:v>
      </x:c>
      <x:c r="D102" s="17" t="str">
        <x:v>polyester</x:v>
      </x:c>
      <x:c r="E102" s="17" t="str">
        <x:v>material</x:v>
      </x:c>
      <x:c r="F102" s="17" t="str">
        <x:v>100% Rubber</x:v>
      </x:c>
      <x:c r="G102" s="17" t="str">
        <x:v>feature</x:v>
      </x:c>
      <x:c r="H102" s="17" t="str">
        <x:v>Imported</x:v>
      </x:c>
      <x:c r="I102" s="17" t="str">
        <x:v>feature</x:v>
      </x:c>
      <x:c r="J102" s="17" t="str">
        <x:v>Rubber sole</x:v>
      </x:c>
      <x:c r="K102" s="17" t="str">
        <x:v>feature</x:v>
      </x:c>
      <x:c r="L102" s="17" t="str"/>
      <x:c r="M102" s="17" t="str"/>
      <x:c r="N102" s="17" t="str"/>
    </x:row>
    <x:row r="103">
      <x:c r="A103" t="str">
        <x:v>public_0099</x:v>
      </x:c>
      <x:c r="B103" t="str">
        <x:v>browsing</x:v>
      </x:c>
      <x:c r="C103" t="str">
        <x:v>Active Pants Sweatpants</x:v>
      </x:c>
      <x:c r="D103" s="17" t="str">
        <x:v>cotton</x:v>
      </x:c>
      <x:c r="E103" s="17" t="str">
        <x:v>material</x:v>
      </x:c>
      <x:c r="F103" s="17" t="str">
        <x:v>60% Cotton, 40% Polyester</x:v>
      </x:c>
      <x:c r="G103" s="17" t="str">
        <x:v>material</x:v>
      </x:c>
      <x:c r="H103" s="17" t="str">
        <x:v>Imported</x:v>
      </x:c>
      <x:c r="I103" s="17" t="str">
        <x:v>feature</x:v>
      </x:c>
      <x:c r="J103" s="17" t="str">
        <x:v>Drawstring closure</x:v>
      </x:c>
      <x:c r="K103" s="17" t="str">
        <x:v>feature</x:v>
      </x:c>
      <x:c r="L103" s="17" t="str"/>
      <x:c r="M103" s="17" t="str"/>
      <x:c r="N103" s="17" t="str"/>
    </x:row>
    <x:row r="104">
      <x:c r="A104" t="str">
        <x:v>public_0100</x:v>
      </x:c>
      <x:c r="B104" t="str">
        <x:v>browsing</x:v>
      </x:c>
      <x:c r="C104" t="str">
        <x:v>Shoes Loafers &amp; Slip-Ons</x:v>
      </x:c>
      <x:c r="D104" s="17" t="str">
        <x:v>leather</x:v>
      </x:c>
      <x:c r="E104" s="17" t="str">
        <x:v>material</x:v>
      </x:c>
      <x:c r="F104" s="17" t="str">
        <x:v>100% Leather</x:v>
      </x:c>
      <x:c r="G104" s="17" t="str">
        <x:v>material</x:v>
      </x:c>
      <x:c r="H104" s="17" t="str">
        <x:v>Manmade sole</x:v>
      </x:c>
      <x:c r="I104" s="17" t="str">
        <x:v>feature</x:v>
      </x:c>
      <x:c r="J104" s="17" t="str">
        <x:v>Platform measures approximately 0.5"</x:v>
      </x:c>
      <x:c r="K104" s="17" t="str">
        <x:v>feature</x:v>
      </x:c>
      <x:c r="L104" s="17" t="str"/>
      <x:c r="M104" s="17" t="str"/>
      <x:c r="N104" s="17" t="str"/>
    </x:row>
    <x:row r="105">
      <x:c r="A105" t="str">
        <x:v>public_0101</x:v>
      </x:c>
      <x:c r="B105" t="str">
        <x:v>buying</x:v>
      </x:c>
      <x:c r="C105" t="str">
        <x:v>Medical Scrub Bottoms</x:v>
      </x:c>
      <x:c r="D105" s="17" t="str">
        <x:v>polyester</x:v>
      </x:c>
      <x:c r="E105" s="17" t="str">
        <x:v>material</x:v>
      </x:c>
      <x:c r="F105" s="17" t="str">
        <x:v>color: white</x:v>
      </x:c>
      <x:c r="G105" s="17" t="str">
        <x:v>color</x:v>
      </x:c>
      <x:c r="H105" s="17" t="str">
        <x:v>65% Polyester, 35% Cotton</x:v>
      </x:c>
      <x:c r="I105" s="17" t="str">
        <x:v>material</x:v>
      </x:c>
      <x:c r="J105" s="17" t="str">
        <x:v>Imported</x:v>
      </x:c>
      <x:c r="K105" s="17" t="str">
        <x:v>feature</x:v>
      </x:c>
      <x:c r="L105" s="17" t="str"/>
      <x:c r="M105" s="17" t="str"/>
      <x:c r="N105" s="17" t="str"/>
    </x:row>
    <x:row r="106">
      <x:c r="A106" t="str">
        <x:v>public_0102</x:v>
      </x:c>
      <x:c r="B106" t="str">
        <x:v>browsing</x:v>
      </x:c>
      <x:c r="C106" t="str">
        <x:v>Bras Everyday Bras</x:v>
      </x:c>
      <x:c r="D106" s="17" t="str">
        <x:v>Hand Wash Only</x:v>
      </x:c>
      <x:c r="E106" s="17" t="str">
        <x:v>feature</x:v>
      </x:c>
      <x:c r="F106" s="17" t="str">
        <x:v>Push Up Bra, A/B/C cup 3 centimeters Thickness Pad inside. But noted that D cup is thin cup,lightly padded</x:v>
      </x:c>
      <x:c r="G106" s="17" t="str">
        <x:v>feature</x:v>
      </x:c>
      <x:c r="H106" s="17" t="str">
        <x:v>Underwire</x:v>
      </x:c>
      <x:c r="I106" s="17" t="str">
        <x:v>feature</x:v>
      </x:c>
      <x:c r="J106" s="17" t="str">
        <x:v>Lace Design</x:v>
      </x:c>
      <x:c r="K106" s="17" t="str">
        <x:v>feature</x:v>
      </x:c>
      <x:c r="L106" s="17" t="str"/>
      <x:c r="M106" s="17" t="str"/>
      <x:c r="N106" s="17" t="str"/>
    </x:row>
    <x:row r="107">
      <x:c r="A107" t="str">
        <x:v>public_0103</x:v>
      </x:c>
      <x:c r="B107" t="str">
        <x:v>intent_override</x:v>
      </x:c>
      <x:c r="C107" t="str">
        <x:v>Underwear Undershirts</x:v>
      </x:c>
      <x:c r="D107" s="17" t="str">
        <x:v>cotton</x:v>
      </x:c>
      <x:c r="E107" s="17" t="str">
        <x:v>material</x:v>
      </x:c>
      <x:c r="F107" s="17" t="str">
        <x:v>color: white</x:v>
      </x:c>
      <x:c r="G107" s="17" t="str">
        <x:v>color</x:v>
      </x:c>
      <x:c r="H107" s="17" t="str">
        <x:v>100% Cotton</x:v>
      </x:c>
      <x:c r="I107" s="17" t="str">
        <x:v>material</x:v>
      </x:c>
      <x:c r="J107" s="17" t="str">
        <x:v>Imported</x:v>
      </x:c>
      <x:c r="K107" s="17" t="str">
        <x:v>feature</x:v>
      </x:c>
      <x:c r="L107" s="17" t="n">
        <x:v>4</x:v>
      </x:c>
      <x:c r="M107" s="17" t="str">
        <x:v>Imported</x:v>
      </x:c>
      <x:c r="N107" s="17" t="str">
        <x:v>cotton</x:v>
      </x:c>
    </x:row>
    <x:row r="108">
      <x:c r="A108" t="str">
        <x:v>public_0104</x:v>
      </x:c>
      <x:c r="B108" t="str">
        <x:v>boundary</x:v>
      </x:c>
      <x:c r="C108" t="str">
        <x:v>Hats &amp; Caps Headbands</x:v>
      </x:c>
      <x:c r="D108" s="17" t="str">
        <x:v>leather</x:v>
      </x:c>
      <x:c r="E108" s="17" t="str">
        <x:v>material</x:v>
      </x:c>
      <x:c r="F108" s="17" t="str">
        <x:v>color: black</x:v>
      </x:c>
      <x:c r="G108" s="17" t="str">
        <x:v>color</x:v>
      </x:c>
      <x:c r="H108" s="17" t="str">
        <x:v>Classy Leather-like Fabric</x:v>
      </x:c>
      <x:c r="I108" s="17" t="str">
        <x:v>material</x:v>
      </x:c>
      <x:c r="J108" s="17" t="str">
        <x:v>Durable Headband</x:v>
      </x:c>
      <x:c r="K108" s="17" t="str">
        <x:v>feature</x:v>
      </x:c>
      <x:c r="L108" s="17" t="str"/>
      <x:c r="M108" s="17" t="str"/>
      <x:c r="N108" s="17" t="str"/>
    </x:row>
    <x:row r="109">
      <x:c r="A109" t="str">
        <x:v>public_0105</x:v>
      </x:c>
      <x:c r="B109" t="str">
        <x:v>browsing</x:v>
      </x:c>
      <x:c r="C109" t="str">
        <x:v>Women Leggings</x:v>
      </x:c>
      <x:c r="D109" s="17" t="str">
        <x:v>polyester</x:v>
      </x:c>
      <x:c r="E109" s="17" t="str">
        <x:v>material</x:v>
      </x:c>
      <x:c r="F109" s="17" t="str">
        <x:v>77% Polyester, 23% Spandex</x:v>
      </x:c>
      <x:c r="G109" s="17" t="str">
        <x:v>material</x:v>
      </x:c>
      <x:c r="H109" s="17" t="str">
        <x:v>Imported</x:v>
      </x:c>
      <x:c r="I109" s="17" t="str">
        <x:v>feature</x:v>
      </x:c>
      <x:c r="J109" s="17" t="str">
        <x:v>IUGA is a lifestyle brand that combines Style, Comfort and Performance. The High Quality Activewear is perfect for Fitness Enthusiasts and Everyday Athleisure as it is Affordable a</x:v>
      </x:c>
      <x:c r="K109" s="17" t="str">
        <x:v>style</x:v>
      </x:c>
      <x:c r="L109" s="17" t="str"/>
      <x:c r="M109" s="17" t="str"/>
      <x:c r="N109" s="17" t="str"/>
    </x:row>
    <x:row r="110">
      <x:c r="A110" t="str">
        <x:v>public_0106</x:v>
      </x:c>
      <x:c r="B110" t="str">
        <x:v>buying</x:v>
      </x:c>
      <x:c r="C110" t="str">
        <x:v>Socks Calf Socks</x:v>
      </x:c>
      <x:c r="D110" s="17" t="str">
        <x:v>cotton</x:v>
      </x:c>
      <x:c r="E110" s="17" t="str">
        <x:v>material</x:v>
      </x:c>
      <x:c r="F110" s="17" t="str">
        <x:v>Polyester,Cotton,Spandex</x:v>
      </x:c>
      <x:c r="G110" s="17" t="str">
        <x:v>material</x:v>
      </x:c>
      <x:c r="H110" s="17" t="str">
        <x:v>Machine Wash</x:v>
      </x:c>
      <x:c r="I110" s="17" t="str">
        <x:v>feature</x:v>
      </x:c>
      <x:c r="J110" s="17" t="str">
        <x:v>❤ 【Material】：Our mens dress socks are are expertly fabricated with the perfect formulation, made with 76% cotton,2% spandex and 22% polyester to keep your feet a elasticity and sof</x:v>
      </x:c>
      <x:c r="K110" s="17" t="str">
        <x:v>material</x:v>
      </x:c>
      <x:c r="L110" s="17" t="str"/>
      <x:c r="M110" s="17" t="str"/>
      <x:c r="N110" s="17" t="str"/>
    </x:row>
    <x:row r="111">
      <x:c r="A111" t="str">
        <x:v>public_0107</x:v>
      </x:c>
      <x:c r="B111" t="str">
        <x:v>buying</x:v>
      </x:c>
      <x:c r="C111" t="str">
        <x:v>Rain &amp; Anoraks Anoraks</x:v>
      </x:c>
      <x:c r="D111" s="17" t="str">
        <x:v>cotton</x:v>
      </x:c>
      <x:c r="E111" s="17" t="str">
        <x:v>material</x:v>
      </x:c>
      <x:c r="F111" s="17" t="str">
        <x:v>Shell 100% Cotton Lining 100% Polyester</x:v>
      </x:c>
      <x:c r="G111" s="17" t="str">
        <x:v>material</x:v>
      </x:c>
      <x:c r="H111" s="17" t="str">
        <x:v>Zipper closure</x:v>
      </x:c>
      <x:c r="I111" s="17" t="str">
        <x:v>feature</x:v>
      </x:c>
      <x:c r="J111" s="17" t="str">
        <x:v>Machine Wash</x:v>
      </x:c>
      <x:c r="K111" s="17" t="str">
        <x:v>feature</x:v>
      </x:c>
      <x:c r="L111" s="17" t="str"/>
      <x:c r="M111" s="17" t="str"/>
      <x:c r="N111" s="17" t="str"/>
    </x:row>
    <x:row r="112">
      <x:c r="A112" t="str">
        <x:v>public_0108</x:v>
      </x:c>
      <x:c r="B112" t="str">
        <x:v>buying</x:v>
      </x:c>
      <x:c r="C112" t="str">
        <x:v>Pants &amp; Shorts Shorts</x:v>
      </x:c>
      <x:c r="D112" s="17" t="str">
        <x:v>cotton</x:v>
      </x:c>
      <x:c r="E112" s="17" t="str">
        <x:v>material</x:v>
      </x:c>
      <x:c r="F112" s="17" t="str">
        <x:v>54% Cotton, 36% Polyester, 10% Spandex</x:v>
      </x:c>
      <x:c r="G112" s="17" t="str">
        <x:v>material</x:v>
      </x:c>
      <x:c r="H112" s="17" t="str">
        <x:v>Imported</x:v>
      </x:c>
      <x:c r="I112" s="17" t="str">
        <x:v>feature</x:v>
      </x:c>
      <x:c r="J112" s="17" t="str">
        <x:v>Elastic closure</x:v>
      </x:c>
      <x:c r="K112" s="17" t="str">
        <x:v>feature</x:v>
      </x:c>
      <x:c r="L112" s="17" t="str"/>
      <x:c r="M112" s="17" t="str"/>
      <x:c r="N112" s="17" t="str"/>
    </x:row>
    <x:row r="113">
      <x:c r="A113" t="str">
        <x:v>public_0109</x:v>
      </x:c>
      <x:c r="B113" t="str">
        <x:v>buying</x:v>
      </x:c>
      <x:c r="C113" t="str">
        <x:v>Shirts T-Shirts</x:v>
      </x:c>
      <x:c r="D113" s="17" t="str">
        <x:v>fabric</x:v>
      </x:c>
      <x:c r="E113" s="17" t="str">
        <x:v>material</x:v>
      </x:c>
      <x:c r="F113" s="17" t="str">
        <x:v>100% Other Fibers</x:v>
      </x:c>
      <x:c r="G113" s="17" t="str">
        <x:v>feature</x:v>
      </x:c>
      <x:c r="H113" s="17" t="str">
        <x:v>Imported</x:v>
      </x:c>
      <x:c r="I113" s="17" t="str">
        <x:v>feature</x:v>
      </x:c>
      <x:c r="J113" s="17" t="str">
        <x:v>No Closure closure</x:v>
      </x:c>
      <x:c r="K113" s="17" t="str">
        <x:v>feature</x:v>
      </x:c>
      <x:c r="L113" s="17" t="str"/>
      <x:c r="M113" s="17" t="str"/>
      <x:c r="N113" s="17" t="str"/>
    </x:row>
    <x:row r="114">
      <x:c r="A114" t="str">
        <x:v>public_0110</x:v>
      </x:c>
      <x:c r="B114" t="str">
        <x:v>browsing</x:v>
      </x:c>
      <x:c r="C114" t="str">
        <x:v>Active Athletic Socks</x:v>
      </x:c>
      <x:c r="D114" s="17" t="str">
        <x:v>wool</x:v>
      </x:c>
      <x:c r="E114" s="17" t="str">
        <x:v>material</x:v>
      </x:c>
      <x:c r="F114" s="17" t="str">
        <x:v>35% wool, 29% cotton, 36% polyester</x:v>
      </x:c>
      <x:c r="G114" s="17" t="str">
        <x:v>material</x:v>
      </x:c>
      <x:c r="H114" s="17" t="str">
        <x:v>Machine Wash,Hand Wash</x:v>
      </x:c>
      <x:c r="I114" s="17" t="str">
        <x:v>feature</x:v>
      </x:c>
      <x:c r="J114" s="17" t="str">
        <x:v>Material: Womens winter warm socks made of 35% wool, 29% cotton, 36% polyester. These cabin socks are super soft, breathable and wearable. Elegant, classic wool socks hosiery, colo</x:v>
      </x:c>
      <x:c r="K114" s="17" t="str">
        <x:v>material</x:v>
      </x:c>
      <x:c r="L114" s="17" t="str"/>
      <x:c r="M114" s="17" t="str"/>
      <x:c r="N114" s="17" t="str"/>
    </x:row>
    <x:row r="115">
      <x:c r="A115" t="str">
        <x:v>public_0111</x:v>
      </x:c>
      <x:c r="B115" t="str">
        <x:v>buying</x:v>
      </x:c>
      <x:c r="C115" t="str">
        <x:v>Sweaters Pullovers</x:v>
      </x:c>
      <x:c r="D115" s="17" t="str">
        <x:v>polyester</x:v>
      </x:c>
      <x:c r="E115" s="17" t="str">
        <x:v>material</x:v>
      </x:c>
      <x:c r="F115" s="17" t="str">
        <x:v>60% Polyester, 35% Cotton, 5% Spandex</x:v>
      </x:c>
      <x:c r="G115" s="17" t="str">
        <x:v>material</x:v>
      </x:c>
      <x:c r="H115" s="17" t="str">
        <x:v>Imported</x:v>
      </x:c>
      <x:c r="I115" s="17" t="str">
        <x:v>feature</x:v>
      </x:c>
      <x:c r="J115" s="17" t="str">
        <x:v>Pull On closure</x:v>
      </x:c>
      <x:c r="K115" s="17" t="str">
        <x:v>feature</x:v>
      </x:c>
      <x:c r="L115" s="17" t="str"/>
      <x:c r="M115" s="17" t="str"/>
      <x:c r="N115" s="17" t="str"/>
    </x:row>
    <x:row r="116">
      <x:c r="A116" t="str">
        <x:v>public_0112</x:v>
      </x:c>
      <x:c r="B116" t="str">
        <x:v>boundary</x:v>
      </x:c>
      <x:c r="C116" t="str">
        <x:v>Athletic Walking</x:v>
      </x:c>
      <x:c r="D116" s="17" t="str">
        <x:v>leather</x:v>
      </x:c>
      <x:c r="E116" s="17" t="str">
        <x:v>material</x:v>
      </x:c>
      <x:c r="F116" s="17" t="str">
        <x:v>Leather sole</x:v>
      </x:c>
      <x:c r="G116" s="17" t="str">
        <x:v>material</x:v>
      </x:c>
      <x:c r="H116" s="17" t="str">
        <x:v>A Lightweight Sneaker, Which Is Suitable For Running, Sports, Hiking, Walking, Tourism And Climbing</x:v>
      </x:c>
      <x:c r="I116" s="17" t="str">
        <x:v>use_case</x:v>
      </x:c>
      <x:c r="J116" s="17" t="str">
        <x:v>Slip-on For Easy On And Off</x:v>
      </x:c>
      <x:c r="K116" s="17" t="str">
        <x:v>feature</x:v>
      </x:c>
      <x:c r="L116" s="17" t="str"/>
      <x:c r="M116" s="17" t="str"/>
      <x:c r="N116" s="17" t="str"/>
    </x:row>
    <x:row r="117">
      <x:c r="A117" t="str">
        <x:v>public_0113</x:v>
      </x:c>
      <x:c r="B117" t="str">
        <x:v>browsing</x:v>
      </x:c>
      <x:c r="C117" t="str">
        <x:v>Shoes Slippers</x:v>
      </x:c>
      <x:c r="D117" s="17" t="str">
        <x:v>Sherpa Fleece</x:v>
      </x:c>
      <x:c r="E117" s="17" t="str">
        <x:v>feature</x:v>
      </x:c>
      <x:c r="F117" s="17" t="str">
        <x:v>Rubber sole</x:v>
      </x:c>
      <x:c r="G117" s="17" t="str">
        <x:v>feature</x:v>
      </x:c>
      <x:c r="H117" s="17" t="str">
        <x:v>CLOSED HEEL - These slippers hug your feet entirely so they won't fly off when walking, especially on stairs. Made of soft uppers, you can also step over the back and wear them as</x:v>
      </x:c>
      <x:c r="I117" s="17" t="str">
        <x:v>feature</x:v>
      </x:c>
      <x:c r="J117" s="17" t="str">
        <x:v>TOASTY WARM - Covered in plush sherpa fleece from inside to outside, this slipper will wrap your feet in a cocoon of warmth so they'll never feel cold</x:v>
      </x:c>
      <x:c r="K117" s="17" t="str">
        <x:v>color</x:v>
      </x:c>
      <x:c r="L117" s="17" t="str"/>
      <x:c r="M117" s="17" t="str"/>
      <x:c r="N117" s="17" t="str"/>
    </x:row>
    <x:row r="118">
      <x:c r="A118" t="str">
        <x:v>public_0114</x:v>
      </x:c>
      <x:c r="B118" t="str">
        <x:v>buying</x:v>
      </x:c>
      <x:c r="C118" t="str">
        <x:v>Shoes Fashion Sneakers</x:v>
      </x:c>
      <x:c r="D118" s="17" t="str">
        <x:v>Rubber sole</x:v>
      </x:c>
      <x:c r="E118" s="17" t="str">
        <x:v>feature</x:v>
      </x:c>
      <x:c r="F118" s="17" t="str">
        <x:v>Great go-to shoes with multicolor choice and steady design suitable for all age</x:v>
      </x:c>
      <x:c r="G118" s="17" t="str">
        <x:v>color</x:v>
      </x:c>
      <x:c r="H118" s="17" t="str">
        <x:v>Take a natural step forward with a clean look, for sure go with your daily t-shirt and jeans, jackets,casual midi dress,any outfit you have</x:v>
      </x:c>
      <x:c r="I118" s="17" t="str">
        <x:v>style</x:v>
      </x:c>
      <x:c r="J118" s="17" t="str">
        <x:v>Anti slip and durable rubber sole and cushioned insole keeps your balance at all time so you can enjoy any type of activity,walking,playing</x:v>
      </x:c>
      <x:c r="K118" s="17" t="str">
        <x:v>feature</x:v>
      </x:c>
      <x:c r="L118" s="17" t="str"/>
      <x:c r="M118" s="17" t="str"/>
      <x:c r="N118" s="17" t="str"/>
    </x:row>
    <x:row r="119">
      <x:c r="A119" t="str">
        <x:v>public_0115</x:v>
      </x:c>
      <x:c r="B119" t="str">
        <x:v>browsing</x:v>
      </x:c>
      <x:c r="C119" t="str">
        <x:v>Sleep &amp; Lounge Nightgowns &amp; Sleepshirts</x:v>
      </x:c>
      <x:c r="D119" s="17" t="str">
        <x:v>rayon</x:v>
      </x:c>
      <x:c r="E119" s="17" t="str">
        <x:v>material</x:v>
      </x:c>
      <x:c r="F119" s="17" t="str">
        <x:v>95% Rayon, 5% Spandex</x:v>
      </x:c>
      <x:c r="G119" s="17" t="str">
        <x:v>material</x:v>
      </x:c>
      <x:c r="H119" s="17" t="str">
        <x:v>Imported</x:v>
      </x:c>
      <x:c r="I119" s="17" t="str">
        <x:v>feature</x:v>
      </x:c>
      <x:c r="J119" s="17" t="str">
        <x:v>Machine Wash</x:v>
      </x:c>
      <x:c r="K119" s="17" t="str">
        <x:v>feature</x:v>
      </x:c>
      <x:c r="L119" s="17" t="str"/>
      <x:c r="M119" s="17" t="str"/>
      <x:c r="N119" s="17" t="str"/>
    </x:row>
    <x:row r="120">
      <x:c r="A120" t="str">
        <x:v>public_0116</x:v>
      </x:c>
      <x:c r="B120" t="str">
        <x:v>buying</x:v>
      </x:c>
      <x:c r="C120" t="str">
        <x:v>Shoes Fashion Sneakers</x:v>
      </x:c>
      <x:c r="D120" s="17" t="str">
        <x:v>100% Canvas</x:v>
      </x:c>
      <x:c r="E120" s="17" t="str">
        <x:v>feature</x:v>
      </x:c>
      <x:c r="F120" s="17" t="str">
        <x:v>Rubber sole</x:v>
      </x:c>
      <x:c r="G120" s="17" t="str">
        <x:v>feature</x:v>
      </x:c>
      <x:c r="H120" s="17" t="str">
        <x:v>Cushioned Insole for added comfort</x:v>
      </x:c>
      <x:c r="I120" s="17" t="str">
        <x:v>feature</x:v>
      </x:c>
      <x:c r="J120" s="17" t="str">
        <x:v>Canvas Upper</x:v>
      </x:c>
      <x:c r="K120" s="17" t="str">
        <x:v>feature</x:v>
      </x:c>
      <x:c r="L120" s="17" t="str"/>
      <x:c r="M120" s="17" t="str"/>
      <x:c r="N120" s="17" t="str"/>
    </x:row>
    <x:row r="121">
      <x:c r="A121" t="str">
        <x:v>public_0117</x:v>
      </x:c>
      <x:c r="B121" t="str">
        <x:v>buying</x:v>
      </x:c>
      <x:c r="C121" t="str">
        <x:v>Shoes Slippers</x:v>
      </x:c>
      <x:c r="D121" s="17" t="str">
        <x:v>Synthetic Rubber sole</x:v>
      </x:c>
      <x:c r="E121" s="17" t="str">
        <x:v>feature</x:v>
      </x:c>
      <x:c r="F121" s="17" t="str">
        <x:v>Mule-style slipper, adjustable strap with hook-and-loop closure, silvertone button detail</x:v>
      </x:c>
      <x:c r="G121" s="17" t="str">
        <x:v>style</x:v>
      </x:c>
      <x:c r="H121" s="17" t="str">
        <x:v>Terrycloth-covered EVA midsole absorbs shock, helping reduce stress on feet, ankles, and knees</x:v>
      </x:c>
      <x:c r="I121" s="17" t="str">
        <x:v>color</x:v>
      </x:c>
      <x:c r="J121" s="17" t="str">
        <x:v>Podiatrist-designed, biomechanical orthotic footbed with Orthaheel technology and a deep heel cup helps stabilize, support, and realign feet back to their natural position while we</x:v>
      </x:c>
      <x:c r="K121" s="17" t="str">
        <x:v>feature</x:v>
      </x:c>
      <x:c r="L121" s="17" t="str"/>
      <x:c r="M121" s="17" t="str"/>
      <x:c r="N121" s="17" t="str"/>
    </x:row>
    <x:row r="122">
      <x:c r="A122" t="str">
        <x:v>public_0118</x:v>
      </x:c>
      <x:c r="B122" t="str">
        <x:v>buying</x:v>
      </x:c>
      <x:c r="C122" t="str">
        <x:v>Bikinis Sets</x:v>
      </x:c>
      <x:c r="D122" s="17" t="str">
        <x:v>nylon</x:v>
      </x:c>
      <x:c r="E122" s="17" t="str">
        <x:v>material</x:v>
      </x:c>
      <x:c r="F122" s="17" t="str">
        <x:v>Nylon,Spandex</x:v>
      </x:c>
      <x:c r="G122" s="17" t="str">
        <x:v>material</x:v>
      </x:c>
      <x:c r="H122" s="17" t="str">
        <x:v>Imported</x:v>
      </x:c>
      <x:c r="I122" s="17" t="str">
        <x:v>feature</x:v>
      </x:c>
      <x:c r="J122" s="17" t="str">
        <x:v>Straps closure</x:v>
      </x:c>
      <x:c r="K122" s="17" t="str">
        <x:v>feature</x:v>
      </x:c>
      <x:c r="L122" s="17" t="str"/>
      <x:c r="M122" s="17" t="str"/>
      <x:c r="N122" s="17" t="str"/>
    </x:row>
    <x:row r="123">
      <x:c r="A123" t="str">
        <x:v>public_0119</x:v>
      </x:c>
      <x:c r="B123" t="str">
        <x:v>buying</x:v>
      </x:c>
      <x:c r="C123" t="str">
        <x:v>Handbags &amp; Wallets Top-Handle Bags</x:v>
      </x:c>
      <x:c r="D123" s="17" t="str">
        <x:v>Pvc,Resin</x:v>
      </x:c>
      <x:c r="E123" s="17" t="str">
        <x:v>feature</x:v>
      </x:c>
      <x:c r="F123" s="17" t="str">
        <x:v>Imported</x:v>
      </x:c>
      <x:c r="G123" s="17" t="str">
        <x:v>feature</x:v>
      </x:c>
      <x:c r="H123" s="17" t="str">
        <x:v>Material: High Quality PVC Material. Made from Natural resin, not plastic</x:v>
      </x:c>
      <x:c r="I123" s="17" t="str">
        <x:v>feature</x:v>
      </x:c>
      <x:c r="J123" s="17" t="str">
        <x:v>Size: &lt;1&gt;Big handbag:26*15*18cm/10.2"*7"*5.9"(Length*Width*Height), handle height:4.3" &lt;2&gt;Mini handbag :6.7’’(L) x 3.9’’(W) x4.7” (H), handle height :3.15”</x:v>
      </x:c>
      <x:c r="K123" s="17" t="str">
        <x:v>size</x:v>
      </x:c>
      <x:c r="L123" s="17" t="str"/>
      <x:c r="M123" s="17" t="str"/>
      <x:c r="N123" s="17" t="str"/>
    </x:row>
    <x:row r="124">
      <x:c r="A124" t="str">
        <x:v>public_0120</x:v>
      </x:c>
      <x:c r="B124" t="str">
        <x:v>browsing</x:v>
      </x:c>
      <x:c r="C124" t="str">
        <x:v>Card Cases &amp; Money Organizers Wallets</x:v>
      </x:c>
      <x:c r="D124" s="17" t="str">
        <x:v>leather</x:v>
      </x:c>
      <x:c r="E124" s="17" t="str">
        <x:v>material</x:v>
      </x:c>
      <x:c r="F124" s="17" t="str">
        <x:v>color: red</x:v>
      </x:c>
      <x:c r="G124" s="17" t="str">
        <x:v>color</x:v>
      </x:c>
      <x:c r="H124" s="17" t="str">
        <x:v>Leather lining</x:v>
      </x:c>
      <x:c r="I124" s="17" t="str">
        <x:v>material</x:v>
      </x:c>
      <x:c r="J124" s="17" t="str">
        <x:v>Snap closure</x:v>
      </x:c>
      <x:c r="K124" s="17" t="str">
        <x:v>feature</x:v>
      </x:c>
      <x:c r="L124" s="17" t="str"/>
      <x:c r="M124" s="17" t="str"/>
      <x:c r="N124" s="17" t="str"/>
    </x:row>
    <x:row r="125">
      <x:c r="A125" t="str">
        <x:v>public_0121</x:v>
      </x:c>
      <x:c r="B125" t="str">
        <x:v>browsing</x:v>
      </x:c>
      <x:c r="C125" t="str">
        <x:v>Bras Everyday Bras</x:v>
      </x:c>
      <x:c r="D125" s="17" t="str">
        <x:v>nylon</x:v>
      </x:c>
      <x:c r="E125" s="17" t="str">
        <x:v>material</x:v>
      </x:c>
      <x:c r="F125" s="17" t="str">
        <x:v>color: black</x:v>
      </x:c>
      <x:c r="G125" s="17" t="str">
        <x:v>color</x:v>
      </x:c>
      <x:c r="H125" s="17" t="str">
        <x:v>91.6%Nylon, 8.4%Spandex</x:v>
      </x:c>
      <x:c r="I125" s="17" t="str">
        <x:v>material</x:v>
      </x:c>
      <x:c r="J125" s="17" t="str">
        <x:v>Classic color: package include 5 pieces lace bralettes for women in 3 classic colors, black, beige and white bralettes are available, you can free to match with different color clo</x:v>
      </x:c>
      <x:c r="K125" s="17" t="str">
        <x:v>color</x:v>
      </x:c>
      <x:c r="L125" s="17" t="str"/>
      <x:c r="M125" s="17" t="str"/>
      <x:c r="N125" s="17" t="str"/>
    </x:row>
    <x:row r="126">
      <x:c r="A126" t="str">
        <x:v>public_0122</x:v>
      </x:c>
      <x:c r="B126" t="str">
        <x:v>browsing</x:v>
      </x:c>
      <x:c r="C126" t="str">
        <x:v>Women Leggings</x:v>
      </x:c>
      <x:c r="D126" s="17" t="str">
        <x:v>cotton</x:v>
      </x:c>
      <x:c r="E126" s="17" t="str">
        <x:v>material</x:v>
      </x:c>
      <x:c r="F126" s="17" t="str">
        <x:v>75% Cotton, 17% Polyester, 8% Spandex</x:v>
      </x:c>
      <x:c r="G126" s="17" t="str">
        <x:v>material</x:v>
      </x:c>
      <x:c r="H126" s="17" t="str">
        <x:v>Imported</x:v>
      </x:c>
      <x:c r="I126" s="17" t="str">
        <x:v>feature</x:v>
      </x:c>
      <x:c r="J126" s="17" t="str">
        <x:v>Pull On closure</x:v>
      </x:c>
      <x:c r="K126" s="17" t="str">
        <x:v>feature</x:v>
      </x:c>
      <x:c r="L126" s="17" t="str"/>
      <x:c r="M126" s="17" t="str"/>
      <x:c r="N126" s="17" t="str"/>
    </x:row>
    <x:row r="127">
      <x:c r="A127" t="str">
        <x:v>public_0123</x:v>
      </x:c>
      <x:c r="B127" t="str">
        <x:v>intent_override</x:v>
      </x:c>
      <x:c r="C127" t="str">
        <x:v>Hats &amp; Caps Fedoras</x:v>
      </x:c>
      <x:c r="D127" s="17" t="str">
        <x:v>wool</x:v>
      </x:c>
      <x:c r="E127" s="17" t="str">
        <x:v>material</x:v>
      </x:c>
      <x:c r="F127" s="17" t="str">
        <x:v>65% Polyester, 35% Wool</x:v>
      </x:c>
      <x:c r="G127" s="17" t="str">
        <x:v>material</x:v>
      </x:c>
      <x:c r="H127" s="17" t="str">
        <x:v>Imported</x:v>
      </x:c>
      <x:c r="I127" s="17" t="str">
        <x:v>feature</x:v>
      </x:c>
      <x:c r="J127" s="17" t="str">
        <x:v>Buckle closure</x:v>
      </x:c>
      <x:c r="K127" s="17" t="str">
        <x:v>feature</x:v>
      </x:c>
      <x:c r="L127" s="17" t="n">
        <x:v>3</x:v>
      </x:c>
      <x:c r="M127" s="17" t="str">
        <x:v>Buckle closure</x:v>
      </x:c>
      <x:c r="N127" s="17" t="str">
        <x:v>wool</x:v>
      </x:c>
    </x:row>
    <x:row r="128">
      <x:c r="A128" t="str">
        <x:v>public_0124</x:v>
      </x:c>
      <x:c r="B128" t="str">
        <x:v>buying</x:v>
      </x:c>
      <x:c r="C128" t="str">
        <x:v>Hats &amp; Caps Baseball Caps</x:v>
      </x:c>
      <x:c r="D128" s="17" t="str">
        <x:v>polyester</x:v>
      </x:c>
      <x:c r="E128" s="17" t="str">
        <x:v>material</x:v>
      </x:c>
      <x:c r="F128" s="17" t="str">
        <x:v>52% Polyester, 32% Nylon, 10% EVA, 2% POM, 2% Cotton, 2% Metal</x:v>
      </x:c>
      <x:c r="G128" s="17" t="str">
        <x:v>material</x:v>
      </x:c>
      <x:c r="H128" s="17" t="str">
        <x:v>Made in the USA</x:v>
      </x:c>
      <x:c r="I128" s="17" t="str">
        <x:v>feature</x:v>
      </x:c>
      <x:c r="J128" s="17" t="str">
        <x:v>Buckle closure</x:v>
      </x:c>
      <x:c r="K128" s="17" t="str">
        <x:v>feature</x:v>
      </x:c>
      <x:c r="L128" s="17" t="str"/>
      <x:c r="M128" s="17" t="str"/>
      <x:c r="N128" s="17" t="str"/>
    </x:row>
    <x:row r="129">
      <x:c r="A129" t="str">
        <x:v>public_0125</x:v>
      </x:c>
      <x:c r="B129" t="str">
        <x:v>intent_override</x:v>
      </x:c>
      <x:c r="C129" t="str">
        <x:v>Hats &amp; Caps Baseball Caps</x:v>
      </x:c>
      <x:c r="D129" s="17" t="str">
        <x:v>100% Acrylic</x:v>
      </x:c>
      <x:c r="E129" s="17" t="str">
        <x:v>feature</x:v>
      </x:c>
      <x:c r="F129" s="17" t="str">
        <x:v>Hook and Loop closure</x:v>
      </x:c>
      <x:c r="G129" s="17" t="str">
        <x:v>feature</x:v>
      </x:c>
      <x:c r="H129" s="17" t="str">
        <x:v>PREMIUM QUALITY: Take your outfit to the next level with our 100% acrylic 6 panels mid-profile structured baseball hat that provides maximum comfort. Fits men and women!</x:v>
      </x:c>
      <x:c r="I129" s="17" t="str">
        <x:v>color</x:v>
      </x:c>
      <x:c r="J129" s="17" t="str">
        <x:v>HOOK &amp; LOOP CLOSURE: Our hats for women and men feature a strap closure in the back letting you easily adjust the size for a perfect fit</x:v>
      </x:c>
      <x:c r="K129" s="17" t="str">
        <x:v>size</x:v>
      </x:c>
      <x:c r="L129" s="17" t="n">
        <x:v>4</x:v>
      </x:c>
      <x:c r="M129" s="17" t="str">
        <x:v>HOOK &amp; LOOP CLOSURE: Our hats for women and men feature a strap closure in the back letting you easily adjust the size for a perfect fit</x:v>
      </x:c>
      <x:c r="N129" s="17" t="str">
        <x:v>100% Acrylic</x:v>
      </x:c>
    </x:row>
    <x:row r="130">
      <x:c r="A130" t="str">
        <x:v>public_0126</x:v>
      </x:c>
      <x:c r="B130" t="str">
        <x:v>browsing</x:v>
      </x:c>
      <x:c r="C130" t="str">
        <x:v>Tees &amp; Blouses Blouses &amp; Button-Down Shirts</x:v>
      </x:c>
      <x:c r="D130" s="17" t="str">
        <x:v>polyester</x:v>
      </x:c>
      <x:c r="E130" s="17" t="str">
        <x:v>material</x:v>
      </x:c>
      <x:c r="F130" s="17" t="str">
        <x:v>95% Polyester, 5% Spandex</x:v>
      </x:c>
      <x:c r="G130" s="17" t="str">
        <x:v>material</x:v>
      </x:c>
      <x:c r="H130" s="17" t="str">
        <x:v>Imported</x:v>
      </x:c>
      <x:c r="I130" s="17" t="str">
        <x:v>feature</x:v>
      </x:c>
      <x:c r="J130" s="17" t="str">
        <x:v>Pull On closure</x:v>
      </x:c>
      <x:c r="K130" s="17" t="str">
        <x:v>feature</x:v>
      </x:c>
      <x:c r="L130" s="17" t="str"/>
      <x:c r="M130" s="17" t="str"/>
      <x:c r="N130" s="17" t="str"/>
    </x:row>
    <x:row r="131">
      <x:c r="A131" t="str">
        <x:v>public_0127</x:v>
      </x:c>
      <x:c r="B131" t="str">
        <x:v>browsing</x:v>
      </x:c>
      <x:c r="C131" t="str">
        <x:v>Gloves &amp; Mittens Cold Weather Gloves</x:v>
      </x:c>
      <x:c r="D131" s="17" t="str">
        <x:v>polyester</x:v>
      </x:c>
      <x:c r="E131" s="17" t="str">
        <x:v>material</x:v>
      </x:c>
      <x:c r="F131" s="17" t="str">
        <x:v>color: black</x:v>
      </x:c>
      <x:c r="G131" s="17" t="str">
        <x:v>color</x:v>
      </x:c>
      <x:c r="H131" s="17" t="str">
        <x:v>100% Polyester</x:v>
      </x:c>
      <x:c r="I131" s="17" t="str">
        <x:v>material</x:v>
      </x:c>
      <x:c r="J131" s="17" t="str">
        <x:v>Imported</x:v>
      </x:c>
      <x:c r="K131" s="17" t="str">
        <x:v>feature</x:v>
      </x:c>
      <x:c r="L131" s="17" t="str"/>
      <x:c r="M131" s="17" t="str"/>
      <x:c r="N131" s="17" t="str"/>
    </x:row>
    <x:row r="132">
      <x:c r="A132" t="str">
        <x:v>public_0128</x:v>
      </x:c>
      <x:c r="B132" t="str">
        <x:v>browsing</x:v>
      </x:c>
      <x:c r="C132" t="str">
        <x:v>Earrings Hoop</x:v>
      </x:c>
      <x:c r="D132" s="17" t="str">
        <x:v>✦18K GOLD VERMEIL✦ A premium offering of our best selling styles, our vermeil jewelry is made with a solid s925 sterling silver base and plated in 18K gold that is 10x thicker than</x:v>
      </x:c>
      <x:c r="E132" s="17" t="str">
        <x:v>style</x:v>
      </x:c>
      <x:c r="F132" s="17" t="str">
        <x:v>color: yellow</x:v>
      </x:c>
      <x:c r="G132" s="17" t="str">
        <x:v>color</x:v>
      </x:c>
      <x:c r="H132" s="17" t="str">
        <x:v>PAVOI 4.5mm Thick 40mm Diameter Yellow Gold Earrings for Women</x:v>
      </x:c>
      <x:c r="I132" s="17" t="str">
        <x:v>color</x:v>
      </x:c>
      <x:c r="J132" s="17" t="str">
        <x:v>✦ 60-DAY GUARANTEE ✦ Your happiness is our number one priority. To ensure your complete satisfaction, we offer a hassle-free 60-Day money-back guarantee. To get in touch, email or</x:v>
      </x:c>
      <x:c r="K132" s="17" t="str">
        <x:v>feature</x:v>
      </x:c>
      <x:c r="L132" s="17" t="str"/>
      <x:c r="M132" s="17" t="str"/>
      <x:c r="N132" s="17" t="str"/>
    </x:row>
    <x:row r="133">
      <x:c r="A133" t="str">
        <x:v>public_0129</x:v>
      </x:c>
      <x:c r="B133" t="str">
        <x:v>buying</x:v>
      </x:c>
      <x:c r="C133" t="str">
        <x:v>Women Bodysuits</x:v>
      </x:c>
      <x:c r="D133" s="17" t="str">
        <x:v>fabric</x:v>
      </x:c>
      <x:c r="E133" s="17" t="str">
        <x:v>material</x:v>
      </x:c>
      <x:c r="F133" s="17" t="str">
        <x:v>Stretchy fabric: 95% gossypium, 5% spandex</x:v>
      </x:c>
      <x:c r="G133" s="17" t="str">
        <x:v>material</x:v>
      </x:c>
      <x:c r="H133" s="17" t="str">
        <x:v>Imported</x:v>
      </x:c>
      <x:c r="I133" s="17" t="str">
        <x:v>feature</x:v>
      </x:c>
      <x:c r="J133" s="17" t="str">
        <x:v>Snap closure</x:v>
      </x:c>
      <x:c r="K133" s="17" t="str">
        <x:v>feature</x:v>
      </x:c>
      <x:c r="L133" s="17" t="str"/>
      <x:c r="M133" s="17" t="str"/>
      <x:c r="N133" s="17" t="str"/>
    </x:row>
    <x:row r="134">
      <x:c r="A134" t="str">
        <x:v>public_0130</x:v>
      </x:c>
      <x:c r="B134" t="str">
        <x:v>intent_override</x:v>
      </x:c>
      <x:c r="C134" t="str">
        <x:v>Panties Briefs</x:v>
      </x:c>
      <x:c r="D134" s="17" t="str">
        <x:v>cotton</x:v>
      </x:c>
      <x:c r="E134" s="17" t="str">
        <x:v>material</x:v>
      </x:c>
      <x:c r="F134" s="17" t="str">
        <x:v>95% Cotton, 5% Spandex</x:v>
      </x:c>
      <x:c r="G134" s="17" t="str">
        <x:v>material</x:v>
      </x:c>
      <x:c r="H134" s="17" t="str">
        <x:v>Imported</x:v>
      </x:c>
      <x:c r="I134" s="17" t="str">
        <x:v>feature</x:v>
      </x:c>
      <x:c r="J134" s="17" t="str">
        <x:v>Hand Wash or Machine Wash with laundry bag (30°C Max)</x:v>
      </x:c>
      <x:c r="K134" s="17" t="str">
        <x:v>feature</x:v>
      </x:c>
      <x:c r="L134" s="17" t="n">
        <x:v>3</x:v>
      </x:c>
      <x:c r="M134" s="17" t="str">
        <x:v>Hand Wash or Machine Wash with laundry bag (30°C Max)</x:v>
      </x:c>
      <x:c r="N134" s="17" t="str">
        <x:v>cotton</x:v>
      </x:c>
    </x:row>
    <x:row r="135">
      <x:c r="A135" t="str">
        <x:v>public_0131</x:v>
      </x:c>
      <x:c r="B135" t="str">
        <x:v>boundary</x:v>
      </x:c>
      <x:c r="C135" t="str">
        <x:v>Socks &amp; Hosiery Leg Warmers</x:v>
      </x:c>
      <x:c r="D135" s="17" t="str">
        <x:v>cotton</x:v>
      </x:c>
      <x:c r="E135" s="17" t="str">
        <x:v>material</x:v>
      </x:c>
      <x:c r="F135" s="17" t="str">
        <x:v>Thigh high socks: 20% Stretchy Yarn, 80% cotton</x:v>
      </x:c>
      <x:c r="G135" s="17" t="str">
        <x:v>material</x:v>
      </x:c>
      <x:c r="H135" s="17" t="str">
        <x:v>Hand Wash Only</x:v>
      </x:c>
      <x:c r="I135" s="17" t="str">
        <x:v>feature</x:v>
      </x:c>
      <x:c r="J135" s="17" t="str">
        <x:v>◆ Soft &amp; Breathable: Being knitted by cotton and stretchy yarn, the mid thigh high socks for women are comfortable, soft, lightweight and breathable. ( 80% Cotton, 20% Stretchy Yar</x:v>
      </x:c>
      <x:c r="K135" s="17" t="str">
        <x:v>material</x:v>
      </x:c>
      <x:c r="L135" s="17" t="str"/>
      <x:c r="M135" s="17" t="str"/>
      <x:c r="N135" s="17" t="str"/>
    </x:row>
    <x:row r="136">
      <x:c r="A136" t="str">
        <x:v>public_0132</x:v>
      </x:c>
      <x:c r="B136" t="str">
        <x:v>buying</x:v>
      </x:c>
      <x:c r="C136" t="str">
        <x:v>Shoes Slippers</x:v>
      </x:c>
      <x:c r="D136" s="17" t="str">
        <x:v>cotton</x:v>
      </x:c>
      <x:c r="E136" s="17" t="str">
        <x:v>material</x:v>
      </x:c>
      <x:c r="F136" s="17" t="str">
        <x:v>80% Cotton, 20% Polyester</x:v>
      </x:c>
      <x:c r="G136" s="17" t="str">
        <x:v>material</x:v>
      </x:c>
      <x:c r="H136" s="17" t="str">
        <x:v>Imported</x:v>
      </x:c>
      <x:c r="I136" s="17" t="str">
        <x:v>feature</x:v>
      </x:c>
      <x:c r="J136" s="17" t="str">
        <x:v>Rubber sole</x:v>
      </x:c>
      <x:c r="K136" s="17" t="str">
        <x:v>feature</x:v>
      </x:c>
      <x:c r="L136" s="17" t="str"/>
      <x:c r="M136" s="17" t="str"/>
      <x:c r="N136" s="17" t="str"/>
    </x:row>
    <x:row r="137">
      <x:c r="A137" t="str">
        <x:v>public_0133</x:v>
      </x:c>
      <x:c r="B137" t="str">
        <x:v>buying</x:v>
      </x:c>
      <x:c r="C137" t="str">
        <x:v>Sunglasses &amp; Eyewear Accessories Sunglasses</x:v>
      </x:c>
      <x:c r="D137" s="17" t="str">
        <x:v>Imported</x:v>
      </x:c>
      <x:c r="E137" s="17" t="str">
        <x:v>feature</x:v>
      </x:c>
      <x:c r="F137" s="17" t="str">
        <x:v>color: gray</x:v>
      </x:c>
      <x:c r="G137" s="17" t="str">
        <x:v>color</x:v>
      </x:c>
      <x:c r="H137" s="17" t="str">
        <x:v>Polycarbonate frame</x:v>
      </x:c>
      <x:c r="I137" s="17" t="str">
        <x:v>feature</x:v>
      </x:c>
      <x:c r="J137" s="17" t="str">
        <x:v>Polycarbonate lens</x:v>
      </x:c>
      <x:c r="K137" s="17" t="str">
        <x:v>feature</x:v>
      </x:c>
      <x:c r="L137" s="17" t="str"/>
      <x:c r="M137" s="17" t="str"/>
      <x:c r="N137" s="17" t="str"/>
    </x:row>
    <x:row r="138">
      <x:c r="A138" t="str">
        <x:v>public_0134</x:v>
      </x:c>
      <x:c r="B138" t="str">
        <x:v>browsing</x:v>
      </x:c>
      <x:c r="C138" t="str">
        <x:v>Piercing Jewelry Tunnels</x:v>
      </x:c>
      <x:c r="D138" s="17" t="str">
        <x:v>Gauge in Choice: 8g(3mm), 6g(4mm), 4g(5mm), 2g(6mm), 0g(8mm), 00g(10mm), 1/2"(12mm), 9/16"(14mm)</x:v>
      </x:c>
      <x:c r="E138" s="17" t="str">
        <x:v>feature</x:v>
      </x:c>
      <x:c r="F138" s="17" t="str">
        <x:v>You will get 3 pairs fashion gem double flare screw-fit tunnels in same size, in same color</x:v>
      </x:c>
      <x:c r="G138" s="17" t="str">
        <x:v>color</x:v>
      </x:c>
      <x:c r="H138" s="17" t="str">
        <x:v>Material: Stainless Steel With Rhinestones, Look Nice, Light Weight, Smooth Polish Surface and Long Lasting Color</x:v>
      </x:c>
      <x:c r="I138" s="17" t="str">
        <x:v>color</x:v>
      </x:c>
      <x:c r="J138" s="17" t="str">
        <x:v>The screw-on method tunnels are pretty, you can twist on from one head, very easy to wear and take off. Fashion party and wedding body piercing jewelry</x:v>
      </x:c>
      <x:c r="K138" s="17" t="str">
        <x:v>feature</x:v>
      </x:c>
      <x:c r="L138" s="17" t="str"/>
      <x:c r="M138" s="17" t="str"/>
      <x:c r="N138" s="17" t="str"/>
    </x:row>
    <x:row r="139">
      <x:c r="A139" t="str">
        <x:v>public_0135</x:v>
      </x:c>
      <x:c r="B139" t="str">
        <x:v>buying</x:v>
      </x:c>
      <x:c r="C139" t="str">
        <x:v>Shoes Slippers</x:v>
      </x:c>
      <x:c r="D139" s="17" t="str">
        <x:v>polyester</x:v>
      </x:c>
      <x:c r="E139" s="17" t="str">
        <x:v>material</x:v>
      </x:c>
      <x:c r="F139" s="17" t="str">
        <x:v>100% Polyester</x:v>
      </x:c>
      <x:c r="G139" s="17" t="str">
        <x:v>material</x:v>
      </x:c>
      <x:c r="H139" s="17" t="str">
        <x:v>Imported</x:v>
      </x:c>
      <x:c r="I139" s="17" t="str">
        <x:v>feature</x:v>
      </x:c>
      <x:c r="J139" s="17" t="str">
        <x:v>Thermoplastic Elastomers sole</x:v>
      </x:c>
      <x:c r="K139" s="17" t="str">
        <x:v>feature</x:v>
      </x:c>
      <x:c r="L139" s="17" t="str"/>
      <x:c r="M139" s="17" t="str"/>
      <x:c r="N139" s="17" t="str"/>
    </x:row>
    <x:row r="140">
      <x:c r="A140" t="str">
        <x:v>public_0136</x:v>
      </x:c>
      <x:c r="B140" t="str">
        <x:v>buying</x:v>
      </x:c>
      <x:c r="C140" t="str">
        <x:v>Active Active Shorts</x:v>
      </x:c>
      <x:c r="D140" s="17" t="str">
        <x:v>spandex</x:v>
      </x:c>
      <x:c r="E140" s="17" t="str">
        <x:v>material</x:v>
      </x:c>
      <x:c r="F140" s="17" t="str">
        <x:v>92% Polyester, 8% Spandex</x:v>
      </x:c>
      <x:c r="G140" s="17" t="str">
        <x:v>material</x:v>
      </x:c>
      <x:c r="H140" s="17" t="str">
        <x:v>Imported</x:v>
      </x:c>
      <x:c r="I140" s="17" t="str">
        <x:v>feature</x:v>
      </x:c>
      <x:c r="J140" s="17" t="str">
        <x:v>Elastic closure</x:v>
      </x:c>
      <x:c r="K140" s="17" t="str">
        <x:v>feature</x:v>
      </x:c>
      <x:c r="L140" s="17" t="str"/>
      <x:c r="M140" s="17" t="str"/>
      <x:c r="N140" s="17" t="str"/>
    </x:row>
    <x:row r="141">
      <x:c r="A141" t="str">
        <x:v>public_0137</x:v>
      </x:c>
      <x:c r="B141" t="str">
        <x:v>browsing</x:v>
      </x:c>
      <x:c r="C141" t="str">
        <x:v>Women Fashion Hoodies &amp; Sweatshirts</x:v>
      </x:c>
      <x:c r="D141" s="17" t="str">
        <x:v>cotton</x:v>
      </x:c>
      <x:c r="E141" s="17" t="str">
        <x:v>material</x:v>
      </x:c>
      <x:c r="F141" s="17" t="str">
        <x:v>60% Cotton, 40% Polyester</x:v>
      </x:c>
      <x:c r="G141" s="17" t="str">
        <x:v>material</x:v>
      </x:c>
      <x:c r="H141" s="17" t="str">
        <x:v>Zipper closure</x:v>
      </x:c>
      <x:c r="I141" s="17" t="str">
        <x:v>feature</x:v>
      </x:c>
      <x:c r="J141" s="17" t="str">
        <x:v>Machine Wash</x:v>
      </x:c>
      <x:c r="K141" s="17" t="str">
        <x:v>feature</x:v>
      </x:c>
      <x:c r="L141" s="17" t="str"/>
      <x:c r="M141" s="17" t="str"/>
      <x:c r="N141" s="17" t="str"/>
    </x:row>
    <x:row r="142">
      <x:c r="A142" t="str">
        <x:v>public_0138</x:v>
      </x:c>
      <x:c r="B142" t="str">
        <x:v>browsing</x:v>
      </x:c>
      <x:c r="C142" t="str">
        <x:v>Tees &amp; Blouses Tunics</x:v>
      </x:c>
      <x:c r="D142" s="17" t="str">
        <x:v>rayon</x:v>
      </x:c>
      <x:c r="E142" s="17" t="str">
        <x:v>material</x:v>
      </x:c>
      <x:c r="F142" s="17" t="str">
        <x:v>95% Rayon, 5% Spandex</x:v>
      </x:c>
      <x:c r="G142" s="17" t="str">
        <x:v>material</x:v>
      </x:c>
      <x:c r="H142" s="17" t="str">
        <x:v>Machine Wash</x:v>
      </x:c>
      <x:c r="I142" s="17" t="str">
        <x:v>feature</x:v>
      </x:c>
      <x:c r="J142" s="17" t="str">
        <x:v>Standard US Size: S(US 4-6), M(US 8-10), L(US 12-14), XL(US 16-18), XXL(US 20-22), 3XL(US 24-26). This women's casual loose dress is available in a variety of solid colors and prin</x:v>
      </x:c>
      <x:c r="K142" s="17" t="str">
        <x:v>color</x:v>
      </x:c>
      <x:c r="L142" s="17" t="str"/>
      <x:c r="M142" s="17" t="str"/>
      <x:c r="N142" s="17" t="str"/>
    </x:row>
    <x:row r="143">
      <x:c r="A143" t="str">
        <x:v>public_0139</x:v>
      </x:c>
      <x:c r="B143" t="str">
        <x:v>browsing</x:v>
      </x:c>
      <x:c r="C143" t="str">
        <x:v>Tees &amp; Blouses T-Shirts</x:v>
      </x:c>
      <x:c r="D143" s="17" t="str">
        <x:v>fabric</x:v>
      </x:c>
      <x:c r="E143" s="17" t="str">
        <x:v>material</x:v>
      </x:c>
      <x:c r="F143" s="17" t="str">
        <x:v>Fabric: 35%Rayon,60% Polyester and 5% Spandex,very soft and comfortable for spring and summer</x:v>
      </x:c>
      <x:c r="G143" s="17" t="str">
        <x:v>material</x:v>
      </x:c>
      <x:c r="H143" s="17" t="str">
        <x:v>Cute ruffle sleeve tops for spring summer and fall, pull on and down closure</x:v>
      </x:c>
      <x:c r="I143" s="17" t="str">
        <x:v>style</x:v>
      </x:c>
      <x:c r="J143" s="17" t="str">
        <x:v>Care: Machine or hand wash in cold water, no bleach, no dry clean, hang or line dry, low iron if need</x:v>
      </x:c>
      <x:c r="K143" s="17" t="str">
        <x:v>feature</x:v>
      </x:c>
      <x:c r="L143" s="17" t="str"/>
      <x:c r="M143" s="17" t="str"/>
      <x:c r="N143" s="17" t="str"/>
    </x:row>
    <x:row r="144">
      <x:c r="A144" t="str">
        <x:v>public_0140</x:v>
      </x:c>
      <x:c r="B144" t="str">
        <x:v>browsing</x:v>
      </x:c>
      <x:c r="C144" t="str">
        <x:v>Suiting &amp; Blazers Blazers</x:v>
      </x:c>
      <x:c r="D144" s="17" t="str">
        <x:v>polyester</x:v>
      </x:c>
      <x:c r="E144" s="17" t="str">
        <x:v>material</x:v>
      </x:c>
      <x:c r="F144" s="17" t="str">
        <x:v>Polyester,Spandex</x:v>
      </x:c>
      <x:c r="G144" s="17" t="str">
        <x:v>material</x:v>
      </x:c>
      <x:c r="H144" s="17" t="str">
        <x:v>Polyester lining</x:v>
      </x:c>
      <x:c r="I144" s="17" t="str">
        <x:v>material</x:v>
      </x:c>
      <x:c r="J144" s="17" t="str">
        <x:v>Button closure</x:v>
      </x:c>
      <x:c r="K144" s="17" t="str">
        <x:v>feature</x:v>
      </x:c>
      <x:c r="L144" s="17" t="str"/>
      <x:c r="M144" s="17" t="str"/>
      <x:c r="N144" s="17" t="str"/>
    </x:row>
    <x:row r="145">
      <x:c r="A145" t="str">
        <x:v>public_0141</x:v>
      </x:c>
      <x:c r="B145" t="str">
        <x:v>browsing</x:v>
      </x:c>
      <x:c r="C145" t="str">
        <x:v>Piercing Jewelry Screws</x:v>
      </x:c>
      <x:c r="D145" s="17" t="str">
        <x:v>You will receive 6 Pcs silver nose studs, coming with one free gift velvet bag. Can be used as nose rings, nose piercings, nose rings studs, nose piercing jewelry, nostril piercing</x:v>
      </x:c>
      <x:c r="E145" s="17" t="str">
        <x:v>feature</x:v>
      </x:c>
      <x:c r="F145" s="17" t="str">
        <x:v>color: red</x:v>
      </x:c>
      <x:c r="G145" s="17" t="str">
        <x:v>color</x:v>
      </x:c>
      <x:c r="H145" s="17" t="str">
        <x:v>Nose Rings Studs Size: 20 gauge (0.8mm), Pin Length: 7mm (9/32"), Round Cubic Zirconia Size: 2mm. Easy to Put In and Take Off, absolutely make you feel beautiful, comfortable, happ</x:v>
      </x:c>
      <x:c r="I145" s="17" t="str">
        <x:v>size</x:v>
      </x:c>
      <x:c r="J145" s="17" t="str">
        <x:v>High quality 316L surgical stainless steel, hypoallergenic, nickel and lead free, never rust and tarnish resistance, lightweight. High-polished finishing and electroplating, super</x:v>
      </x:c>
      <x:c r="K145" s="17" t="str">
        <x:v>feature</x:v>
      </x:c>
      <x:c r="L145" s="17" t="str"/>
      <x:c r="M145" s="17" t="str"/>
      <x:c r="N145" s="17" t="str"/>
    </x:row>
    <x:row r="146">
      <x:c r="A146" t="str">
        <x:v>public_0142</x:v>
      </x:c>
      <x:c r="B146" t="str">
        <x:v>intent_override</x:v>
      </x:c>
      <x:c r="C146" t="str">
        <x:v>Bracelets Link</x:v>
      </x:c>
      <x:c r="D146" s="17" t="str">
        <x:v>Stainless Steel Bike Bracelet: Handcrafted with high quality material, 100% HYPOALLERGENIC, Lead &amp; Nickel Free, Stronger and very LOW MAINTENANCE Metal, long lasting IP vacuum Plat</x:v>
      </x:c>
      <x:c r="E146" s="17" t="str">
        <x:v>feature</x:v>
      </x:c>
      <x:c r="F146" s="17" t="str">
        <x:v>color: black</x:v>
      </x:c>
      <x:c r="G146" s="17" t="str">
        <x:v>color</x:v>
      </x:c>
      <x:c r="H146" s="17" t="str">
        <x:v>Unique Design: Inspire from Royal Knight, high polished bright chain links, with strong fold-over clasp, personalized colors match can highlights the low-key but noble quality and</x:v>
      </x:c>
      <x:c r="I146" s="17" t="str">
        <x:v>color</x:v>
      </x:c>
      <x:c r="J146" s="17" t="str">
        <x:v>Bracelet Size: Length-8.34 inch, width-0.4 inch, weight: 54g. smooth chain, lightweight and comfortable to wear, perfect for bike enthusiasts etc</x:v>
      </x:c>
      <x:c r="K146" s="17" t="str">
        <x:v>size</x:v>
      </x:c>
      <x:c r="L146" s="17" t="n">
        <x:v>4</x:v>
      </x:c>
      <x:c r="M146" s="17" t="str">
        <x:v>Bracelet Size: Length-8.34 inch, width-0.4 inch, weight: 54g. smooth chain, lightweight and comfortable to wear, perfect for bike enthusiasts etc</x:v>
      </x:c>
      <x:c r="N146" s="17" t="str">
        <x:v>Stainless Steel Bike Bracelet: Handcrafted with high quality material, 100% HYPOALLERGENIC, Lead &amp; Nickel Free, Stronger and very LOW MAINTENANCE Metal, long lasting IP vacuum Plat</x:v>
      </x:c>
    </x:row>
    <x:row r="147">
      <x:c r="A147" t="str">
        <x:v>public_0143</x:v>
      </x:c>
      <x:c r="B147" t="str">
        <x:v>buying</x:v>
      </x:c>
      <x:c r="C147" t="str">
        <x:v>Dresses Work</x:v>
      </x:c>
      <x:c r="D147" s="17" t="str">
        <x:v>rayon</x:v>
      </x:c>
      <x:c r="E147" s="17" t="str">
        <x:v>material</x:v>
      </x:c>
      <x:c r="F147" s="17" t="str">
        <x:v>65% Rayon, 30% Cotton, 5% Spandex</x:v>
      </x:c>
      <x:c r="G147" s="17" t="str">
        <x:v>material</x:v>
      </x:c>
      <x:c r="H147" s="17" t="str">
        <x:v>Imported</x:v>
      </x:c>
      <x:c r="I147" s="17" t="str">
        <x:v>feature</x:v>
      </x:c>
      <x:c r="J147" s="17" t="str">
        <x:v>Zipper closure</x:v>
      </x:c>
      <x:c r="K147" s="17" t="str">
        <x:v>feature</x:v>
      </x:c>
      <x:c r="L147" s="17" t="str"/>
      <x:c r="M147" s="17" t="str"/>
      <x:c r="N147" s="17" t="str"/>
    </x:row>
    <x:row r="148">
      <x:c r="A148" t="str">
        <x:v>public_0144</x:v>
      </x:c>
      <x:c r="B148" t="str">
        <x:v>intent_override</x:v>
      </x:c>
      <x:c r="C148" t="str">
        <x:v>Jackets &amp; Vests Down Jackets &amp; Parkas</x:v>
      </x:c>
      <x:c r="D148" s="17" t="str">
        <x:v>polyester</x:v>
      </x:c>
      <x:c r="E148" s="17" t="str">
        <x:v>material</x:v>
      </x:c>
      <x:c r="F148" s="17" t="str">
        <x:v>100% Polyester</x:v>
      </x:c>
      <x:c r="G148" s="17" t="str">
        <x:v>material</x:v>
      </x:c>
      <x:c r="H148" s="17" t="str">
        <x:v>Imported</x:v>
      </x:c>
      <x:c r="I148" s="17" t="str">
        <x:v>feature</x:v>
      </x:c>
      <x:c r="J148" s="17" t="str">
        <x:v>Zipper closure</x:v>
      </x:c>
      <x:c r="K148" s="17" t="str">
        <x:v>feature</x:v>
      </x:c>
      <x:c r="L148" s="17" t="n">
        <x:v>4</x:v>
      </x:c>
      <x:c r="M148" s="17" t="str">
        <x:v>Zipper closure</x:v>
      </x:c>
      <x:c r="N148" s="17" t="str">
        <x:v>polyester</x:v>
      </x:c>
    </x:row>
    <x:row r="149">
      <x:c r="A149" t="str">
        <x:v>public_0145</x:v>
      </x:c>
      <x:c r="B149" t="str">
        <x:v>buying</x:v>
      </x:c>
      <x:c r="C149" t="str">
        <x:v>Active Athletic Socks</x:v>
      </x:c>
      <x:c r="D149" s="17" t="str">
        <x:v>cotton</x:v>
      </x:c>
      <x:c r="E149" s="17" t="str">
        <x:v>material</x:v>
      </x:c>
      <x:c r="F149" s="17" t="str">
        <x:v>color: black</x:v>
      </x:c>
      <x:c r="G149" s="17" t="str">
        <x:v>color</x:v>
      </x:c>
      <x:c r="H149" s="17" t="str">
        <x:v>Cotton</x:v>
      </x:c>
      <x:c r="I149" s="17" t="str">
        <x:v>material</x:v>
      </x:c>
      <x:c r="J149" s="17" t="str">
        <x:v>Imported</x:v>
      </x:c>
      <x:c r="K149" s="17" t="str">
        <x:v>feature</x:v>
      </x:c>
      <x:c r="L149" s="17" t="str"/>
      <x:c r="M149" s="17" t="str"/>
      <x:c r="N149" s="17" t="str"/>
    </x:row>
    <x:row r="150">
      <x:c r="A150" t="str">
        <x:v>public_0146</x:v>
      </x:c>
      <x:c r="B150" t="str">
        <x:v>buying</x:v>
      </x:c>
      <x:c r="C150" t="str">
        <x:v>Women Dresses</x:v>
      </x:c>
      <x:c r="D150" s="17" t="str">
        <x:v>rayon</x:v>
      </x:c>
      <x:c r="E150" s="17" t="str">
        <x:v>material</x:v>
      </x:c>
      <x:c r="F150" s="17" t="str">
        <x:v>50%Rayon+45%Polyester+5%Spandex</x:v>
      </x:c>
      <x:c r="G150" s="17" t="str">
        <x:v>material</x:v>
      </x:c>
      <x:c r="H150" s="17" t="str">
        <x:v>Imported</x:v>
      </x:c>
      <x:c r="I150" s="17" t="str">
        <x:v>feature</x:v>
      </x:c>
      <x:c r="J150" s="17" t="str">
        <x:v>Zipper closure</x:v>
      </x:c>
      <x:c r="K150" s="17" t="str">
        <x:v>feature</x:v>
      </x:c>
      <x:c r="L150" s="17" t="str"/>
      <x:c r="M150" s="17" t="str"/>
      <x:c r="N150" s="17" t="str"/>
    </x:row>
    <x:row r="151">
      <x:c r="A151" t="str">
        <x:v>public_0147</x:v>
      </x:c>
      <x:c r="B151" t="str">
        <x:v>browsing</x:v>
      </x:c>
      <x:c r="C151" t="str">
        <x:v>Sleep &amp; Lounge Lingerie</x:v>
      </x:c>
      <x:c r="D151" s="17" t="str">
        <x:v>cotton</x:v>
      </x:c>
      <x:c r="E151" s="17" t="str">
        <x:v>material</x:v>
      </x:c>
      <x:c r="F151" s="17" t="str">
        <x:v>95% Combed Cotton, 5% Spandex of Women's 4-PACK High Waisted Underwear. Machine Wash with laundry bag (30°C)</x:v>
      </x:c>
      <x:c r="G151" s="17" t="str">
        <x:v>material</x:v>
      </x:c>
      <x:c r="H151" s="17" t="str">
        <x:v>Hand Wash Only</x:v>
      </x:c>
      <x:c r="I151" s="17" t="str">
        <x:v>feature</x:v>
      </x:c>
      <x:c r="J151" s="17" t="str">
        <x:v>STRETCHY COVERED WAISTBAND: Soft stretchy DOUBLE-LAYER fabric covered waistband sits right at the waist. No rolling or bunching, with no compression but perfectly snuggish. The hig</x:v>
      </x:c>
      <x:c r="K151" s="17" t="str">
        <x:v>material</x:v>
      </x:c>
      <x:c r="L151" s="17" t="str"/>
      <x:c r="M151" s="17" t="str"/>
      <x:c r="N151" s="17" t="str"/>
    </x:row>
    <x:row r="152">
      <x:c r="A152" t="str">
        <x:v>public_0148</x:v>
      </x:c>
      <x:c r="B152" t="str">
        <x:v>buying</x:v>
      </x:c>
      <x:c r="C152" t="str">
        <x:v>Panties Bikinis</x:v>
      </x:c>
      <x:c r="D152" s="17" t="str">
        <x:v>cotton</x:v>
      </x:c>
      <x:c r="E152" s="17" t="str">
        <x:v>material</x:v>
      </x:c>
      <x:c r="F152" s="17" t="str">
        <x:v>50% Cotton, 50% Polyester</x:v>
      </x:c>
      <x:c r="G152" s="17" t="str">
        <x:v>material</x:v>
      </x:c>
      <x:c r="H152" s="17" t="str">
        <x:v>Imported</x:v>
      </x:c>
      <x:c r="I152" s="17" t="str">
        <x:v>feature</x:v>
      </x:c>
      <x:c r="J152" s="17" t="str">
        <x:v>Pull On closure</x:v>
      </x:c>
      <x:c r="K152" s="17" t="str">
        <x:v>feature</x:v>
      </x:c>
      <x:c r="L152" s="17" t="str"/>
      <x:c r="M152" s="17" t="str"/>
      <x:c r="N152" s="17" t="str"/>
    </x:row>
    <x:row r="153">
      <x:c r="A153" t="str">
        <x:v>public_0149</x:v>
      </x:c>
      <x:c r="B153" t="str">
        <x:v>buying</x:v>
      </x:c>
      <x:c r="C153" t="str">
        <x:v>Backpacks Casual Daypacks</x:v>
      </x:c>
      <x:c r="D153" s="17" t="str">
        <x:v>leather</x:v>
      </x:c>
      <x:c r="E153" s="17" t="str">
        <x:v>material</x:v>
      </x:c>
      <x:c r="F153" s="17" t="str">
        <x:v>color: black</x:v>
      </x:c>
      <x:c r="G153" s="17" t="str">
        <x:v>color</x:v>
      </x:c>
      <x:c r="H153" s="17" t="str">
        <x:v>PU</x:v>
      </x:c>
      <x:c r="I153" s="17" t="str">
        <x:v>feature</x:v>
      </x:c>
      <x:c r="J153" s="17" t="str">
        <x:v>进口</x:v>
      </x:c>
      <x:c r="K153" s="17" t="str">
        <x:v>feature</x:v>
      </x:c>
      <x:c r="L153" s="17" t="str"/>
      <x:c r="M153" s="17" t="str"/>
      <x:c r="N153" s="17" t="str"/>
    </x:row>
    <x:row r="154">
      <x:c r="A154" t="str">
        <x:v>public_0150</x:v>
      </x:c>
      <x:c r="B154" t="str">
        <x:v>browsing</x:v>
      </x:c>
      <x:c r="C154" t="str">
        <x:v>Medical Scrub Jackets</x:v>
      </x:c>
      <x:c r="D154" s="17" t="str">
        <x:v>polyester</x:v>
      </x:c>
      <x:c r="E154" s="17" t="str">
        <x:v>material</x:v>
      </x:c>
      <x:c r="F154" s="17" t="str">
        <x:v>65% Polyester, 35% Cotton</x:v>
      </x:c>
      <x:c r="G154" s="17" t="str">
        <x:v>material</x:v>
      </x:c>
      <x:c r="H154" s="17" t="str">
        <x:v>CLOSURE: Zip Front closure</x:v>
      </x:c>
      <x:c r="I154" s="17" t="str">
        <x:v>feature</x:v>
      </x:c>
      <x:c r="J154" s="17" t="str">
        <x:v>Hand Wash Only</x:v>
      </x:c>
      <x:c r="K154" s="17" t="str">
        <x:v>feature</x:v>
      </x:c>
      <x:c r="L154" s="17" t="str"/>
      <x:c r="M154" s="17" t="str"/>
      <x:c r="N154" s="17" t="str"/>
    </x:row>
    <x:row r="155">
      <x:c r="A155" t="str">
        <x:v>public_0151</x:v>
      </x:c>
      <x:c r="B155" t="str">
        <x:v>browsing</x:v>
      </x:c>
      <x:c r="C155" t="str">
        <x:v>Outdoor &amp; Work Work &amp; Safety</x:v>
      </x:c>
      <x:c r="D155" s="17" t="str">
        <x:v>leather</x:v>
      </x:c>
      <x:c r="E155" s="17" t="str">
        <x:v>material</x:v>
      </x:c>
      <x:c r="F155" s="17" t="str">
        <x:v>Imported</x:v>
      </x:c>
      <x:c r="G155" s="17" t="str">
        <x:v>feature</x:v>
      </x:c>
      <x:c r="H155" s="17" t="str">
        <x:v>Rubber sole</x:v>
      </x:c>
      <x:c r="I155" s="17" t="str">
        <x:v>feature</x:v>
      </x:c>
      <x:c r="J155" s="17" t="str">
        <x:v>Shaft measures approximately Ankle from arch</x:v>
      </x:c>
      <x:c r="K155" s="17" t="str">
        <x:v>feature</x:v>
      </x:c>
      <x:c r="L155" s="17" t="str"/>
      <x:c r="M155" s="17" t="str"/>
      <x:c r="N155" s="17" t="str"/>
    </x:row>
    <x:row r="156">
      <x:c r="A156" t="str">
        <x:v>public_0152</x:v>
      </x:c>
      <x:c r="B156" t="str">
        <x:v>buying</x:v>
      </x:c>
      <x:c r="C156" t="str">
        <x:v>Watches Wrist Watches</x:v>
      </x:c>
      <x:c r="D156" s="17" t="str">
        <x:v>leather</x:v>
      </x:c>
      <x:c r="E156" s="17" t="str">
        <x:v>material</x:v>
      </x:c>
      <x:c r="F156" s="17" t="str">
        <x:v>color: brown</x:v>
      </x:c>
      <x:c r="G156" s="17" t="str">
        <x:v>color</x:v>
      </x:c>
      <x:c r="H156" s="17" t="str">
        <x:v>Gold-tone watch in stainless steel featuring black two-step dial with date window at 3 o'clock and croco-embossed leather band. Case diameter : 36 mm</x:v>
      </x:c>
      <x:c r="I156" s="17" t="str">
        <x:v>material</x:v>
      </x:c>
      <x:c r="J156" s="17" t="str">
        <x:v>Japanese quartz movement with analog display</x:v>
      </x:c>
      <x:c r="K156" s="17" t="str">
        <x:v>feature</x:v>
      </x:c>
      <x:c r="L156" s="17" t="str"/>
      <x:c r="M156" s="17" t="str"/>
      <x:c r="N156" s="17" t="str"/>
    </x:row>
    <x:row r="157">
      <x:c r="A157" t="str">
        <x:v>public_0153</x:v>
      </x:c>
      <x:c r="B157" t="str">
        <x:v>browsing</x:v>
      </x:c>
      <x:c r="C157" t="str">
        <x:v>Boots Ankle &amp; Bootie</x:v>
      </x:c>
      <x:c r="D157" s="17" t="str">
        <x:v>leather</x:v>
      </x:c>
      <x:c r="E157" s="17" t="str">
        <x:v>material</x:v>
      </x:c>
      <x:c r="F157" s="17" t="str">
        <x:v>PU Leather</x:v>
      </x:c>
      <x:c r="G157" s="17" t="str">
        <x:v>material</x:v>
      </x:c>
      <x:c r="H157" s="17" t="str">
        <x:v>Rubber sole</x:v>
      </x:c>
      <x:c r="I157" s="17" t="str">
        <x:v>feature</x:v>
      </x:c>
      <x:c r="J157" s="17" t="str">
        <x:v>Shaft measures approximately Ankle from arch</x:v>
      </x:c>
      <x:c r="K157" s="17" t="str">
        <x:v>feature</x:v>
      </x:c>
      <x:c r="L157" s="17" t="str"/>
      <x:c r="M157" s="17" t="str"/>
      <x:c r="N157" s="17" t="str"/>
    </x:row>
    <x:row r="158">
      <x:c r="A158" t="str">
        <x:v>public_0154</x:v>
      </x:c>
      <x:c r="B158" t="str">
        <x:v>buying</x:v>
      </x:c>
      <x:c r="C158" t="str">
        <x:v>Bras Everyday Bras</x:v>
      </x:c>
      <x:c r="D158" s="17" t="str">
        <x:v>cotton</x:v>
      </x:c>
      <x:c r="E158" s="17" t="str">
        <x:v>material</x:v>
      </x:c>
      <x:c r="F158" s="17" t="str">
        <x:v>color: white</x:v>
      </x:c>
      <x:c r="G158" s="17" t="str">
        <x:v>color</x:v>
      </x:c>
      <x:c r="H158" s="17" t="str">
        <x:v>Hand Wash Only</x:v>
      </x:c>
      <x:c r="I158" s="17" t="str">
        <x:v>feature</x:v>
      </x:c>
      <x:c r="J158" s="17" t="str">
        <x:v>Item model number: 5006715</x:v>
      </x:c>
      <x:c r="K158" s="17" t="str">
        <x:v>feature</x:v>
      </x:c>
      <x:c r="L158" s="17" t="str"/>
      <x:c r="M158" s="17" t="str"/>
      <x:c r="N158" s="17" t="str"/>
    </x:row>
    <x:row r="159">
      <x:c r="A159" t="str">
        <x:v>public_0155</x:v>
      </x:c>
      <x:c r="B159" t="str">
        <x:v>buying</x:v>
      </x:c>
      <x:c r="C159" t="str">
        <x:v>Hats &amp; Caps Sun Hats</x:v>
      </x:c>
      <x:c r="D159" s="17" t="str">
        <x:v>polyester</x:v>
      </x:c>
      <x:c r="E159" s="17" t="str">
        <x:v>material</x:v>
      </x:c>
      <x:c r="F159" s="17" t="str">
        <x:v>100% Polyester</x:v>
      </x:c>
      <x:c r="G159" s="17" t="str">
        <x:v>material</x:v>
      </x:c>
      <x:c r="H159" s="17" t="str">
        <x:v>Imported</x:v>
      </x:c>
      <x:c r="I159" s="17" t="str">
        <x:v>feature</x:v>
      </x:c>
      <x:c r="J159" s="17" t="str">
        <x:v>Drawstring closure</x:v>
      </x:c>
      <x:c r="K159" s="17" t="str">
        <x:v>feature</x:v>
      </x:c>
      <x:c r="L159" s="17" t="str"/>
      <x:c r="M159" s="17" t="str"/>
      <x:c r="N159" s="17" t="str"/>
    </x:row>
    <x:row r="160">
      <x:c r="A160" t="str">
        <x:v>public_0156</x:v>
      </x:c>
      <x:c r="B160" t="str">
        <x:v>buying</x:v>
      </x:c>
      <x:c r="C160" t="str">
        <x:v>Gym Bags Drawstring Bags</x:v>
      </x:c>
      <x:c r="D160" s="17" t="str">
        <x:v>Easy cinch opening with durable cording</x:v>
      </x:c>
      <x:c r="E160" s="17" t="str">
        <x:v>feature</x:v>
      </x:c>
      <x:c r="F160" s="17" t="str">
        <x:v>color: grey</x:v>
      </x:c>
      <x:c r="G160" s="17" t="str">
        <x:v>color</x:v>
      </x:c>
      <x:c r="H160" s="17" t="str">
        <x:v>Zippered valuables pocket to hold your phone and small stuff</x:v>
      </x:c>
      <x:c r="I160" s="17" t="str">
        <x:v>color</x:v>
      </x:c>
      <x:c r="J160" s="17" t="str">
        <x:v>Bold 3-stripe brand read</x:v>
      </x:c>
      <x:c r="K160" s="17" t="str">
        <x:v>feature</x:v>
      </x:c>
      <x:c r="L160" s="17" t="str"/>
      <x:c r="M160" s="17" t="str"/>
      <x:c r="N160" s="17" t="str"/>
    </x:row>
    <x:row r="161">
      <x:c r="A161" t="str">
        <x:v>public_0157</x:v>
      </x:c>
      <x:c r="B161" t="str">
        <x:v>buying</x:v>
      </x:c>
      <x:c r="C161" t="str">
        <x:v>Outdoor &amp; Work Snow &amp; Cold Weather</x:v>
      </x:c>
      <x:c r="D161" s="17" t="str">
        <x:v>nylon</x:v>
      </x:c>
      <x:c r="E161" s="17" t="str">
        <x:v>material</x:v>
      </x:c>
      <x:c r="F161" s="17" t="str">
        <x:v>Nylon</x:v>
      </x:c>
      <x:c r="G161" s="17" t="str">
        <x:v>material</x:v>
      </x:c>
      <x:c r="H161" s="17" t="str">
        <x:v>Rubber sole</x:v>
      </x:c>
      <x:c r="I161" s="17" t="str">
        <x:v>feature</x:v>
      </x:c>
      <x:c r="J161" s="17" t="str">
        <x:v>Seam-sealed waterproof snow boot featuring plush faux-fur collar, quick bungee lacing, and grippy PEAK snow and ice traction sole</x:v>
      </x:c>
      <x:c r="K161" s="17" t="str">
        <x:v>feature</x:v>
      </x:c>
      <x:c r="L161" s="17" t="str"/>
      <x:c r="M161" s="17" t="str"/>
      <x:c r="N161" s="17" t="str"/>
    </x:row>
    <x:row r="162">
      <x:c r="A162" t="str">
        <x:v>public_0158</x:v>
      </x:c>
      <x:c r="B162" t="str">
        <x:v>browsing</x:v>
      </x:c>
      <x:c r="C162" t="str">
        <x:v>Men Masks</x:v>
      </x:c>
      <x:c r="D162" s="17" t="str">
        <x:v>Roomy enough to fit any adult.You can see through the nostrils or the mouth</x:v>
      </x:c>
      <x:c r="E162" s="17" t="str">
        <x:v>style</x:v>
      </x:c>
      <x:c r="F162" s="17" t="str">
        <x:v>Made from 100% natural latex, environmental friendly and non-toxic. We offer a range of quality choices with the best price</x:v>
      </x:c>
      <x:c r="G162" s="17" t="str">
        <x:v>feature</x:v>
      </x:c>
      <x:c r="H162" s="17" t="str">
        <x:v>Perfect for a fun meme, Halloween, Christmas, Easter, Carnival, Costume parties, tag party or simply for going to a night club. It is perfect for so many occasions</x:v>
      </x:c>
      <x:c r="I162" s="17" t="str">
        <x:v>feature</x:v>
      </x:c>
      <x:c r="J162" s="17" t="str">
        <x:v>CreepyParty is an amazon registered brand, more creepy and funny masks, please visit our store</x:v>
      </x:c>
      <x:c r="K162" s="17" t="str">
        <x:v>color</x:v>
      </x:c>
      <x:c r="L162" s="17" t="str"/>
      <x:c r="M162" s="17" t="str"/>
      <x:c r="N162" s="17" t="str"/>
    </x:row>
    <x:row r="163">
      <x:c r="A163" t="str">
        <x:v>public_0159</x:v>
      </x:c>
      <x:c r="B163" t="str">
        <x:v>buying</x:v>
      </x:c>
      <x:c r="C163" t="str">
        <x:v>Sleep &amp; Lounge Sleep Bottoms</x:v>
      </x:c>
      <x:c r="D163" s="17" t="str">
        <x:v>cotton</x:v>
      </x:c>
      <x:c r="E163" s="17" t="str">
        <x:v>material</x:v>
      </x:c>
      <x:c r="F163" s="17" t="str">
        <x:v>60% Cotton, 40% Polyester</x:v>
      </x:c>
      <x:c r="G163" s="17" t="str">
        <x:v>material</x:v>
      </x:c>
      <x:c r="H163" s="17" t="str">
        <x:v>Imported</x:v>
      </x:c>
      <x:c r="I163" s="17" t="str">
        <x:v>feature</x:v>
      </x:c>
      <x:c r="J163" s="17" t="str">
        <x:v>Drawstring closure</x:v>
      </x:c>
      <x:c r="K163" s="17" t="str">
        <x:v>feature</x:v>
      </x:c>
      <x:c r="L163" s="17" t="str"/>
      <x:c r="M163" s="17" t="str"/>
      <x:c r="N163" s="17" t="str"/>
    </x:row>
    <x:row r="164">
      <x:c r="A164" t="str">
        <x:v>public_0160</x:v>
      </x:c>
      <x:c r="B164" t="str">
        <x:v>buying</x:v>
      </x:c>
      <x:c r="C164" t="str">
        <x:v>Travel Accessories Packing Organizers</x:v>
      </x:c>
      <x:c r="D164" s="17" t="str">
        <x:v>fabric</x:v>
      </x:c>
      <x:c r="E164" s="17" t="str">
        <x:v>material</x:v>
      </x:c>
      <x:c r="F164" s="17" t="str">
        <x:v>color: black</x:v>
      </x:c>
      <x:c r="G164" s="17" t="str">
        <x:v>color</x:v>
      </x:c>
      <x:c r="H164" s="17" t="str">
        <x:v>Double zipper pulls make opening/closing simple and fast</x:v>
      </x:c>
      <x:c r="I164" s="17" t="str">
        <x:v>feature</x:v>
      </x:c>
      <x:c r="J164" s="17" t="str">
        <x:v>Mesh top panel for easy identification of contents, and ventilation</x:v>
      </x:c>
      <x:c r="K164" s="17" t="str">
        <x:v>feature</x:v>
      </x:c>
      <x:c r="L164" s="17" t="str"/>
      <x:c r="M164" s="17" t="str"/>
      <x:c r="N164" s="17" t="str"/>
    </x:row>
    <x:row r="165">
      <x:c r="A165" t="str">
        <x:v>public_0161</x:v>
      </x:c>
      <x:c r="B165" t="str">
        <x:v>buying</x:v>
      </x:c>
      <x:c r="C165" t="str">
        <x:v>Tees &amp; Blouses T-Shirts</x:v>
      </x:c>
      <x:c r="D165" s="17" t="str">
        <x:v>cotton</x:v>
      </x:c>
      <x:c r="E165" s="17" t="str">
        <x:v>material</x:v>
      </x:c>
      <x:c r="F165" s="17" t="str">
        <x:v>cotton blend</x:v>
      </x:c>
      <x:c r="G165" s="17" t="str">
        <x:v>material</x:v>
      </x:c>
      <x:c r="H165" s="17" t="str">
        <x:v>Imported</x:v>
      </x:c>
      <x:c r="I165" s="17" t="str">
        <x:v>feature</x:v>
      </x:c>
      <x:c r="J165" s="17" t="str">
        <x:v>Pull On closure</x:v>
      </x:c>
      <x:c r="K165" s="17" t="str">
        <x:v>feature</x:v>
      </x:c>
      <x:c r="L165" s="17" t="str"/>
      <x:c r="M165" s="17" t="str"/>
      <x:c r="N165" s="17" t="str"/>
    </x:row>
    <x:row r="166">
      <x:c r="A166" t="str">
        <x:v>public_0162</x:v>
      </x:c>
      <x:c r="B166" t="str">
        <x:v>browsing</x:v>
      </x:c>
      <x:c r="C166" t="str">
        <x:v>Women Dresses</x:v>
      </x:c>
      <x:c r="D166" s="17" t="str">
        <x:v>silk</x:v>
      </x:c>
      <x:c r="E166" s="17" t="str">
        <x:v>material</x:v>
      </x:c>
      <x:c r="F166" s="17" t="str">
        <x:v>Satin</x:v>
      </x:c>
      <x:c r="G166" s="17" t="str">
        <x:v>feature</x:v>
      </x:c>
      <x:c r="H166" s="17" t="str">
        <x:v>Imported</x:v>
      </x:c>
      <x:c r="I166" s="17" t="str">
        <x:v>feature</x:v>
      </x:c>
      <x:c r="J166" s="17" t="str">
        <x:v>Zipper closure</x:v>
      </x:c>
      <x:c r="K166" s="17" t="str">
        <x:v>feature</x:v>
      </x:c>
      <x:c r="L166" s="17" t="str"/>
      <x:c r="M166" s="17" t="str"/>
      <x:c r="N166" s="17" t="str"/>
    </x:row>
    <x:row r="167">
      <x:c r="A167" t="str">
        <x:v>public_0163</x:v>
      </x:c>
      <x:c r="B167" t="str">
        <x:v>buying</x:v>
      </x:c>
      <x:c r="C167" t="str">
        <x:v>Athletic Walking</x:v>
      </x:c>
      <x:c r="D167" s="17" t="str">
        <x:v>fabric</x:v>
      </x:c>
      <x:c r="E167" s="17" t="str">
        <x:v>material</x:v>
      </x:c>
      <x:c r="F167" s="17" t="str">
        <x:v>Rubber sole</x:v>
      </x:c>
      <x:c r="G167" s="17" t="str">
        <x:v>feature</x:v>
      </x:c>
      <x:c r="H167" s="17" t="str">
        <x:v>1.Mesh Fabric + Air Cushion sole</x:v>
      </x:c>
      <x:c r="I167" s="17" t="str">
        <x:v>material</x:v>
      </x:c>
      <x:c r="J167" s="17" t="str">
        <x:v>2.Slip-on Design: Slip on design with Elastic Cuff is convenient for user to put on and take off</x:v>
      </x:c>
      <x:c r="K167" s="17" t="str">
        <x:v>feature</x:v>
      </x:c>
      <x:c r="L167" s="17" t="str"/>
      <x:c r="M167" s="17" t="str"/>
      <x:c r="N167" s="17" t="str"/>
    </x:row>
    <x:row r="168">
      <x:c r="A168" t="str">
        <x:v>public_0164</x:v>
      </x:c>
      <x:c r="B168" t="str">
        <x:v>browsing</x:v>
      </x:c>
      <x:c r="C168" t="str">
        <x:v>Watches Watch Bands</x:v>
      </x:c>
      <x:c r="D168" s="17" t="str">
        <x:v>leather</x:v>
      </x:c>
      <x:c r="E168" s="17" t="str">
        <x:v>material</x:v>
      </x:c>
      <x:c r="F168" s="17" t="str">
        <x:v>color: black</x:v>
      </x:c>
      <x:c r="G168" s="17" t="str">
        <x:v>color</x:v>
      </x:c>
      <x:c r="H168" s="17" t="str">
        <x:v>Buckle closure</x:v>
      </x:c>
      <x:c r="I168" s="17" t="str">
        <x:v>feature</x:v>
      </x:c>
      <x:c r="J168" s="17" t="str">
        <x:v>SWAP IN SECONDS: Quick release spring bars allow you to swap bands in seconds to compliment your wardrobe or mix and match with BARTON's other Leather, Canvas and Silicone quick re</x:v>
      </x:c>
      <x:c r="K168" s="17" t="str">
        <x:v>material</x:v>
      </x:c>
      <x:c r="L168" s="17" t="str"/>
      <x:c r="M168" s="17" t="str"/>
      <x:c r="N168" s="17" t="str"/>
    </x:row>
    <x:row r="169">
      <x:c r="A169" t="str">
        <x:v>public_0165</x:v>
      </x:c>
      <x:c r="B169" t="str">
        <x:v>buying</x:v>
      </x:c>
      <x:c r="C169" t="str">
        <x:v>Watches Watch Bands</x:v>
      </x:c>
      <x:c r="D169" s="17" t="str">
        <x:v>leather</x:v>
      </x:c>
      <x:c r="E169" s="17" t="str">
        <x:v>material</x:v>
      </x:c>
      <x:c r="F169" s="17" t="str">
        <x:v>Watch Band Material: Made of good quality crazy-horse leather, they are durable that they may take some breaking in when you first start get them. But once you start wearing them,</x:v>
      </x:c>
      <x:c r="G169" s="17" t="str">
        <x:v>material</x:v>
      </x:c>
      <x:c r="H169" s="17" t="str">
        <x:v>Vintage Design: Equipped with classic buckle, neat stitching and proper padding, creating a simple yet charming look, adding a retro vibe to any occasion. Please avoid soaking the</x:v>
      </x:c>
      <x:c r="I169" s="17" t="str">
        <x:v>feature</x:v>
      </x:c>
      <x:c r="J169" s="17" t="str">
        <x:v>Available Size (Band Width): 14mm, 16mm, 18mm, 19mm, 20mm, 21mm, 22mm, 23mm, 24mm. Designed to fit most traditional watches and smart watches. In order to get a suitable strap, ple</x:v>
      </x:c>
      <x:c r="K169" s="17" t="str">
        <x:v>size</x:v>
      </x:c>
      <x:c r="L169" s="17" t="str"/>
      <x:c r="M169" s="17" t="str"/>
      <x:c r="N169" s="17" t="str"/>
    </x:row>
    <x:row r="170">
      <x:c r="A170" t="str">
        <x:v>public_0166</x:v>
      </x:c>
      <x:c r="B170" t="str">
        <x:v>intent_override</x:v>
      </x:c>
      <x:c r="C170" t="str">
        <x:v>Boots Rain</x:v>
      </x:c>
      <x:c r="D170" s="17" t="str">
        <x:v>100% waterproof women's boots are suitable for any season and any outdoor activity</x:v>
      </x:c>
      <x:c r="E170" s="17" t="str">
        <x:v>use_case</x:v>
      </x:c>
      <x:c r="F170" s="17" t="str">
        <x:v>color: black</x:v>
      </x:c>
      <x:c r="G170" s="17" t="str">
        <x:v>color</x:v>
      </x:c>
      <x:c r="H170" s="17" t="str">
        <x:v>Lightweight and breathable mesh lining keeps feet well ventilated for long-wearing dryness; comfort rated from subfreezing to 65 °F/18 °C</x:v>
      </x:c>
      <x:c r="I170" s="17" t="str">
        <x:v>feature</x:v>
      </x:c>
      <x:c r="J170" s="17" t="str">
        <x:v>Women's-specific last is designed to match the contours of women's feet</x:v>
      </x:c>
      <x:c r="K170" s="17" t="str">
        <x:v>feature</x:v>
      </x:c>
      <x:c r="L170" s="17" t="n">
        <x:v>4</x:v>
      </x:c>
      <x:c r="M170" s="17" t="str">
        <x:v>Women's-specific last is designed to match the contours of women's feet</x:v>
      </x:c>
      <x:c r="N170" s="17" t="str">
        <x:v>100% waterproof women's boots are suitable for any season and any outdoor activity</x:v>
      </x:c>
    </x:row>
    <x:row r="171">
      <x:c r="A171" t="str">
        <x:v>public_0167</x:v>
      </x:c>
      <x:c r="B171" t="str">
        <x:v>browsing</x:v>
      </x:c>
      <x:c r="C171" t="str">
        <x:v>Bras Sports Bras</x:v>
      </x:c>
      <x:c r="D171" s="17" t="str">
        <x:v>Imported</x:v>
      </x:c>
      <x:c r="E171" s="17" t="str">
        <x:v>feature</x:v>
      </x:c>
      <x:c r="F171" s="17" t="str">
        <x:v>Pull-On closure</x:v>
      </x:c>
      <x:c r="G171" s="17" t="str">
        <x:v>feature</x:v>
      </x:c>
      <x:c r="H171" s="17" t="str">
        <x:v>Machine Wash</x:v>
      </x:c>
      <x:c r="I171" s="17" t="str">
        <x:v>feature</x:v>
      </x:c>
      <x:c r="J171" s="17" t="str">
        <x:v>Wicking for moisture management</x:v>
      </x:c>
      <x:c r="K171" s="17" t="str">
        <x:v>feature</x:v>
      </x:c>
      <x:c r="L171" s="17" t="str"/>
      <x:c r="M171" s="17" t="str"/>
      <x:c r="N171" s="17" t="str"/>
    </x:row>
    <x:row r="172">
      <x:c r="A172" t="str">
        <x:v>public_0168</x:v>
      </x:c>
      <x:c r="B172" t="str">
        <x:v>buying</x:v>
      </x:c>
      <x:c r="C172" t="str">
        <x:v>Necklaces &amp; Pendants Pendants</x:v>
      </x:c>
      <x:c r="D172" s="17" t="str">
        <x:v>Mother Daughter Bracelets - Heart bracelet on card meaning “Never Truly Part,Maybe in Distance,But Never in Heart”. All daughters love their mom, but sometimes we just forget to sa</x:v>
      </x:c>
      <x:c r="E172" s="17" t="str">
        <x:v>feature</x:v>
      </x:c>
      <x:c r="F172" s="17" t="str">
        <x:v>Size &amp; High Quality -The heart Bracelets are adjustable, don’t worried about size.The Bracelet is made of stainless steel, strong, corrosion-resistant, and will not change color af</x:v>
      </x:c>
      <x:c r="G172" s="17" t="str">
        <x:v>color</x:v>
      </x:c>
      <x:c r="H172" s="17" t="str">
        <x:v>Daughter Gifts from Mom - This mother bracelet suitable Christmas Day, Mothers Day, Birthday, Thanksgiving, as a gift for mom, daughter, stepdaughter,daughter in law or for yoursel</x:v>
      </x:c>
      <x:c r="I172" s="17" t="str">
        <x:v>feature</x:v>
      </x:c>
      <x:c r="J172" s="17" t="str">
        <x:v>Classical Design - Our product comes with a beautiful box, it is packed with 4 message cards and 4 bracelets, the bracelet uses a heart-to-heart design, it is meaningful &amp; practica</x:v>
      </x:c>
      <x:c r="K172" s="17" t="str">
        <x:v>feature</x:v>
      </x:c>
      <x:c r="L172" s="17" t="str"/>
      <x:c r="M172" s="17" t="str"/>
      <x:c r="N172" s="17" t="str"/>
    </x:row>
    <x:row r="173">
      <x:c r="A173" t="str">
        <x:v>public_0169</x:v>
      </x:c>
      <x:c r="B173" t="str">
        <x:v>boundary</x:v>
      </x:c>
      <x:c r="C173" t="str">
        <x:v>Women Jeans</x:v>
      </x:c>
      <x:c r="D173" s="17" t="str">
        <x:v>cotton</x:v>
      </x:c>
      <x:c r="E173" s="17" t="str">
        <x:v>material</x:v>
      </x:c>
      <x:c r="F173" s="17" t="str">
        <x:v>57% Cotton, 26% Polyester, 10% Other Fibers, 7% Elastane</x:v>
      </x:c>
      <x:c r="G173" s="17" t="str">
        <x:v>material</x:v>
      </x:c>
      <x:c r="H173" s="17" t="str">
        <x:v>Imported</x:v>
      </x:c>
      <x:c r="I173" s="17" t="str">
        <x:v>feature</x:v>
      </x:c>
      <x:c r="J173" s="17" t="str">
        <x:v>Pull On closure</x:v>
      </x:c>
      <x:c r="K173" s="17" t="str">
        <x:v>feature</x:v>
      </x:c>
      <x:c r="L173" s="17" t="str"/>
      <x:c r="M173" s="17" t="str"/>
      <x:c r="N173" s="17" t="str"/>
    </x:row>
    <x:row r="174">
      <x:c r="A174" t="str">
        <x:v>public_0170</x:v>
      </x:c>
      <x:c r="B174" t="str">
        <x:v>browsing</x:v>
      </x:c>
      <x:c r="C174" t="str">
        <x:v>Fashion Combat</x:v>
      </x:c>
      <x:c r="D174" s="17" t="str">
        <x:v>leather</x:v>
      </x:c>
      <x:c r="E174" s="17" t="str">
        <x:v>material</x:v>
      </x:c>
      <x:c r="F174" s="17" t="str">
        <x:v>100% Leather</x:v>
      </x:c>
      <x:c r="G174" s="17" t="str">
        <x:v>material</x:v>
      </x:c>
      <x:c r="H174" s="17" t="str">
        <x:v>Made in the USA or Imported</x:v>
      </x:c>
      <x:c r="I174" s="17" t="str">
        <x:v>feature</x:v>
      </x:c>
      <x:c r="J174" s="17" t="str">
        <x:v>Rubber sole</x:v>
      </x:c>
      <x:c r="K174" s="17" t="str">
        <x:v>feature</x:v>
      </x:c>
      <x:c r="L174" s="17" t="str"/>
      <x:c r="M174" s="17" t="str"/>
      <x:c r="N174" s="17" t="str"/>
    </x:row>
    <x:row r="175">
      <x:c r="A175" t="str">
        <x:v>public_0171</x:v>
      </x:c>
      <x:c r="B175" t="str">
        <x:v>buying</x:v>
      </x:c>
      <x:c r="C175" t="str">
        <x:v>Bikinis Sets</x:v>
      </x:c>
      <x:c r="D175" s="17" t="str">
        <x:v>nylon</x:v>
      </x:c>
      <x:c r="E175" s="17" t="str">
        <x:v>material</x:v>
      </x:c>
      <x:c r="F175" s="17" t="str">
        <x:v>Elastic</x:v>
      </x:c>
      <x:c r="G175" s="17" t="str">
        <x:v>feature</x:v>
      </x:c>
      <x:c r="H175" s="17" t="str">
        <x:v>Imported</x:v>
      </x:c>
      <x:c r="I175" s="17" t="str">
        <x:v>feature</x:v>
      </x:c>
      <x:c r="J175" s="17" t="str">
        <x:v>Nylon lining</x:v>
      </x:c>
      <x:c r="K175" s="17" t="str">
        <x:v>material</x:v>
      </x:c>
      <x:c r="L175" s="17" t="str"/>
      <x:c r="M175" s="17" t="str"/>
      <x:c r="N175" s="17" t="str"/>
    </x:row>
    <x:row r="176">
      <x:c r="A176" t="str">
        <x:v>public_0172</x:v>
      </x:c>
      <x:c r="B176" t="str">
        <x:v>browsing</x:v>
      </x:c>
      <x:c r="C176" t="str">
        <x:v>Shoes Fashion Sneakers</x:v>
      </x:c>
      <x:c r="D176" s="17" t="str">
        <x:v>cotton</x:v>
      </x:c>
      <x:c r="E176" s="17" t="str">
        <x:v>material</x:v>
      </x:c>
      <x:c r="F176" s="17" t="str">
        <x:v>100% Cotton</x:v>
      </x:c>
      <x:c r="G176" s="17" t="str">
        <x:v>material</x:v>
      </x:c>
      <x:c r="H176" s="17" t="str">
        <x:v>Imported</x:v>
      </x:c>
      <x:c r="I176" s="17" t="str">
        <x:v>feature</x:v>
      </x:c>
      <x:c r="J176" s="17" t="str">
        <x:v>Synthetic sole</x:v>
      </x:c>
      <x:c r="K176" s="17" t="str">
        <x:v>feature</x:v>
      </x:c>
      <x:c r="L176" s="17" t="str"/>
      <x:c r="M176" s="17" t="str"/>
      <x:c r="N176" s="17" t="str"/>
    </x:row>
    <x:row r="177">
      <x:c r="A177" t="str">
        <x:v>public_0173</x:v>
      </x:c>
      <x:c r="B177" t="str">
        <x:v>browsing</x:v>
      </x:c>
      <x:c r="C177" t="str">
        <x:v>Athletic Water Shoes</x:v>
      </x:c>
      <x:c r="D177" s="17" t="str">
        <x:v>fabric</x:v>
      </x:c>
      <x:c r="E177" s="17" t="str">
        <x:v>material</x:v>
      </x:c>
      <x:c r="F177" s="17" t="str">
        <x:v>Rubber sole</x:v>
      </x:c>
      <x:c r="G177" s="17" t="str">
        <x:v>feature</x:v>
      </x:c>
      <x:c r="H177" s="17" t="str">
        <x:v>Comfortable feeling: Super lightweight and flexible just like socks,breathable and smooth fabric provide great freedom and comfortable feeling. Let you enjoy your your beach trip o</x:v>
      </x:c>
      <x:c r="I177" s="17" t="str">
        <x:v>material</x:v>
      </x:c>
      <x:c r="J177" s="17" t="str">
        <x:v>Convenience: Quick-dry water shoes, ultra light weight smooth stretchy fabrics and easy slip-on design make it convenient to wear and take off. Lightweight and compressible, easy t</x:v>
      </x:c>
      <x:c r="K177" s="17" t="str">
        <x:v>material</x:v>
      </x:c>
      <x:c r="L177" s="17" t="str"/>
      <x:c r="M177" s="17" t="str"/>
      <x:c r="N177" s="17" t="str"/>
    </x:row>
    <x:row r="178">
      <x:c r="A178" t="str">
        <x:v>public_0174</x:v>
      </x:c>
      <x:c r="B178" t="str">
        <x:v>buying</x:v>
      </x:c>
      <x:c r="C178" t="str">
        <x:v>Sleep &amp; Lounge Robes</x:v>
      </x:c>
      <x:c r="D178" s="17" t="str">
        <x:v>polyester</x:v>
      </x:c>
      <x:c r="E178" s="17" t="str">
        <x:v>material</x:v>
      </x:c>
      <x:c r="F178" s="17" t="str">
        <x:v>100% Polyester</x:v>
      </x:c>
      <x:c r="G178" s="17" t="str">
        <x:v>material</x:v>
      </x:c>
      <x:c r="H178" s="17" t="str">
        <x:v>Imported</x:v>
      </x:c>
      <x:c r="I178" s="17" t="str">
        <x:v>feature</x:v>
      </x:c>
      <x:c r="J178" s="17" t="str">
        <x:v>Tie closure</x:v>
      </x:c>
      <x:c r="K178" s="17" t="str">
        <x:v>feature</x:v>
      </x:c>
      <x:c r="L178" s="17" t="str"/>
      <x:c r="M178" s="17" t="str"/>
      <x:c r="N178" s="17" t="str"/>
    </x:row>
    <x:row r="179">
      <x:c r="A179" t="str">
        <x:v>public_0175</x:v>
      </x:c>
      <x:c r="B179" t="str">
        <x:v>browsing</x:v>
      </x:c>
      <x:c r="C179" t="str">
        <x:v>Men Jeans</x:v>
      </x:c>
      <x:c r="D179" s="17" t="str">
        <x:v>cotton</x:v>
      </x:c>
      <x:c r="E179" s="17" t="str">
        <x:v>material</x:v>
      </x:c>
      <x:c r="F179" s="17" t="str">
        <x:v>100% Cotton</x:v>
      </x:c>
      <x:c r="G179" s="17" t="str">
        <x:v>material</x:v>
      </x:c>
      <x:c r="H179" s="17" t="str">
        <x:v>Imported</x:v>
      </x:c>
      <x:c r="I179" s="17" t="str">
        <x:v>feature</x:v>
      </x:c>
      <x:c r="J179" s="17" t="str">
        <x:v>Zipper closure</x:v>
      </x:c>
      <x:c r="K179" s="17" t="str">
        <x:v>feature</x:v>
      </x:c>
      <x:c r="L179" s="17" t="str"/>
      <x:c r="M179" s="17" t="str"/>
      <x:c r="N179" s="17" t="str"/>
    </x:row>
    <x:row r="180">
      <x:c r="A180" t="str">
        <x:v>public_0176</x:v>
      </x:c>
      <x:c r="B180" t="str">
        <x:v>browsing</x:v>
      </x:c>
      <x:c r="C180" t="str">
        <x:v>Luggage &amp; Travel Gear Waist Packs</x:v>
      </x:c>
      <x:c r="D180" s="17" t="str">
        <x:v>polyester</x:v>
      </x:c>
      <x:c r="E180" s="17" t="str">
        <x:v>material</x:v>
      </x:c>
      <x:c r="F180" s="17" t="str">
        <x:v>93% Polyester, 3% Natural Latex Rubber, 2% Spandex, 2% Nylon</x:v>
      </x:c>
      <x:c r="G180" s="17" t="str">
        <x:v>material</x:v>
      </x:c>
      <x:c r="H180" s="17" t="str">
        <x:v>Imported</x:v>
      </x:c>
      <x:c r="I180" s="17" t="str">
        <x:v>feature</x:v>
      </x:c>
      <x:c r="J180" s="17" t="str">
        <x:v>Polyester lining</x:v>
      </x:c>
      <x:c r="K180" s="17" t="str">
        <x:v>material</x:v>
      </x:c>
      <x:c r="L180" s="17" t="str"/>
      <x:c r="M180" s="17" t="str"/>
      <x:c r="N180" s="17" t="str"/>
    </x:row>
    <x:row r="181">
      <x:c r="A181" t="str">
        <x:v>public_0177</x:v>
      </x:c>
      <x:c r="B181" t="str">
        <x:v>intent_override</x:v>
      </x:c>
      <x:c r="C181" t="str">
        <x:v>Tops Tees &amp; Blouses</x:v>
      </x:c>
      <x:c r="D181" s="17" t="str">
        <x:v>cotton</x:v>
      </x:c>
      <x:c r="E181" s="17" t="str">
        <x:v>material</x:v>
      </x:c>
      <x:c r="F181" s="17" t="str">
        <x:v>Cotton, Rayon</x:v>
      </x:c>
      <x:c r="G181" s="17" t="str">
        <x:v>material</x:v>
      </x:c>
      <x:c r="H181" s="17" t="str">
        <x:v>Imported</x:v>
      </x:c>
      <x:c r="I181" s="17" t="str">
        <x:v>feature</x:v>
      </x:c>
      <x:c r="J181" s="17" t="str">
        <x:v>Button closure</x:v>
      </x:c>
      <x:c r="K181" s="17" t="str">
        <x:v>feature</x:v>
      </x:c>
      <x:c r="L181" s="17" t="n">
        <x:v>4</x:v>
      </x:c>
      <x:c r="M181" s="17" t="str">
        <x:v>Button closure</x:v>
      </x:c>
      <x:c r="N181" s="17" t="str">
        <x:v>cotton</x:v>
      </x:c>
    </x:row>
    <x:row r="182">
      <x:c r="A182" t="str">
        <x:v>public_0178</x:v>
      </x:c>
      <x:c r="B182" t="str">
        <x:v>buying</x:v>
      </x:c>
      <x:c r="C182" t="str">
        <x:v>Shirts T-Shirts</x:v>
      </x:c>
      <x:c r="D182" s="17" t="str">
        <x:v>cotton</x:v>
      </x:c>
      <x:c r="E182" s="17" t="str">
        <x:v>material</x:v>
      </x:c>
      <x:c r="F182" s="17" t="str">
        <x:v>color: red</x:v>
      </x:c>
      <x:c r="G182" s="17" t="str">
        <x:v>color</x:v>
      </x:c>
      <x:c r="H182" s="17" t="str">
        <x:v>100% Cotton</x:v>
      </x:c>
      <x:c r="I182" s="17" t="str">
        <x:v>material</x:v>
      </x:c>
      <x:c r="J182" s="17" t="str">
        <x:v>Made in the USA</x:v>
      </x:c>
      <x:c r="K182" s="17" t="str">
        <x:v>feature</x:v>
      </x:c>
      <x:c r="L182" s="17" t="str"/>
      <x:c r="M182" s="17" t="str"/>
      <x:c r="N182" s="17" t="str"/>
    </x:row>
    <x:row r="183">
      <x:c r="A183" t="str">
        <x:v>public_0179</x:v>
      </x:c>
      <x:c r="B183" t="str">
        <x:v>buying</x:v>
      </x:c>
      <x:c r="C183" t="str">
        <x:v>Tees &amp; Blouses Tunics</x:v>
      </x:c>
      <x:c r="D183" s="17" t="str">
        <x:v>spandex</x:v>
      </x:c>
      <x:c r="E183" s="17" t="str">
        <x:v>material</x:v>
      </x:c>
      <x:c r="F183" s="17" t="str">
        <x:v>5% spandex</x:v>
      </x:c>
      <x:c r="G183" s="17" t="str">
        <x:v>material</x:v>
      </x:c>
      <x:c r="H183" s="17" t="str">
        <x:v>Made in the USA</x:v>
      </x:c>
      <x:c r="I183" s="17" t="str">
        <x:v>feature</x:v>
      </x:c>
      <x:c r="J183" s="17" t="str">
        <x:v>Pull On closure</x:v>
      </x:c>
      <x:c r="K183" s="17" t="str">
        <x:v>feature</x:v>
      </x:c>
      <x:c r="L183" s="17" t="str"/>
      <x:c r="M183" s="17" t="str"/>
      <x:c r="N183" s="17" t="str"/>
    </x:row>
    <x:row r="184">
      <x:c r="A184" t="str">
        <x:v>public_0180</x:v>
      </x:c>
      <x:c r="B184" t="str">
        <x:v>boundary</x:v>
      </x:c>
      <x:c r="C184" t="str">
        <x:v>Shoes Fashion Sneakers</x:v>
      </x:c>
      <x:c r="D184" s="17" t="str">
        <x:v>100% Mesh</x:v>
      </x:c>
      <x:c r="E184" s="17" t="str">
        <x:v>feature</x:v>
      </x:c>
      <x:c r="F184" s="17" t="str">
        <x:v>Imported</x:v>
      </x:c>
      <x:c r="G184" s="17" t="str">
        <x:v>feature</x:v>
      </x:c>
      <x:c r="H184" s="17" t="str">
        <x:v>Rubber sole</x:v>
      </x:c>
      <x:c r="I184" s="17" t="str">
        <x:v>feature</x:v>
      </x:c>
      <x:c r="J184" s="17" t="str">
        <x:v>GRID, Injection EVA</x:v>
      </x:c>
      <x:c r="K184" s="17" t="str">
        <x:v>feature</x:v>
      </x:c>
      <x:c r="L184" s="17" t="str"/>
      <x:c r="M184" s="17" t="str"/>
      <x:c r="N184" s="17" t="str"/>
    </x:row>
    <x:row r="185">
      <x:c r="A185" t="str">
        <x:v>public_0181</x:v>
      </x:c>
      <x:c r="B185" t="str">
        <x:v>browsing</x:v>
      </x:c>
      <x:c r="C185" t="str">
        <x:v>Sets Tracksuits</x:v>
      </x:c>
      <x:c r="D185" s="17" t="str">
        <x:v>polyester</x:v>
      </x:c>
      <x:c r="E185" s="17" t="str">
        <x:v>material</x:v>
      </x:c>
      <x:c r="F185" s="17" t="str">
        <x:v>Drawstring closure</x:v>
      </x:c>
      <x:c r="G185" s="17" t="str">
        <x:v>feature</x:v>
      </x:c>
      <x:c r="H185" s="17" t="str">
        <x:v>Hand Wash Only</x:v>
      </x:c>
      <x:c r="I185" s="17" t="str">
        <x:v>feature</x:v>
      </x:c>
      <x:c r="J185" s="17" t="str">
        <x:v>Casual 2 piece active sweatsuit pant set</x:v>
      </x:c>
      <x:c r="K185" s="17" t="str">
        <x:v>feature</x:v>
      </x:c>
      <x:c r="L185" s="17" t="str"/>
      <x:c r="M185" s="17" t="str"/>
      <x:c r="N185" s="17" t="str"/>
    </x:row>
    <x:row r="186">
      <x:c r="A186" t="str">
        <x:v>public_0182</x:v>
      </x:c>
      <x:c r="B186" t="str">
        <x:v>browsing</x:v>
      </x:c>
      <x:c r="C186" t="str">
        <x:v>Card &amp; ID Cases Card Cases</x:v>
      </x:c>
      <x:c r="D186" s="17" t="str">
        <x:v>UPDATED ALUMINUM WALLET with high quality aluminum materials and Environmentally friendly plastic(ABS) clasp closure</x:v>
      </x:c>
      <x:c r="E186" s="17" t="str">
        <x:v>feature</x:v>
      </x:c>
      <x:c r="F186" s="17" t="str">
        <x:v>color: black</x:v>
      </x:c>
      <x:c r="G186" s="17" t="str">
        <x:v>color</x:v>
      </x:c>
      <x:c r="H186" s="17" t="str">
        <x:v>PEACE OF MIND when Travelling: It is a Must Have a protector case ID slots when on vacations or traveling overseas. Using on public transportation and crowded places - keep the wor</x:v>
      </x:c>
      <x:c r="I186" s="17" t="str">
        <x:v>feature</x:v>
      </x:c>
      <x:c r="J186" s="17" t="str">
        <x:v>MOST RELIABLE RFID BLOCKING PROTECTION. Most RFID blocking hard shell aluma wallets can NOT block 125KHz signals. But Elfish metal id cases are able to Block both 13.56 MHz and 125</x:v>
      </x:c>
      <x:c r="K186" s="17" t="str">
        <x:v>feature</x:v>
      </x:c>
      <x:c r="L186" s="17" t="str"/>
      <x:c r="M186" s="17" t="str"/>
      <x:c r="N186" s="17" t="str"/>
    </x:row>
    <x:row r="187">
      <x:c r="A187" t="str">
        <x:v>public_0183</x:v>
      </x:c>
      <x:c r="B187" t="str">
        <x:v>intent_override</x:v>
      </x:c>
      <x:c r="C187" t="str">
        <x:v>Jackets &amp; Vests Vests</x:v>
      </x:c>
      <x:c r="D187" s="17" t="str">
        <x:v>polyester</x:v>
      </x:c>
      <x:c r="E187" s="17" t="str">
        <x:v>material</x:v>
      </x:c>
      <x:c r="F187" s="17" t="str">
        <x:v>100% Polyester</x:v>
      </x:c>
      <x:c r="G187" s="17" t="str">
        <x:v>material</x:v>
      </x:c>
      <x:c r="H187" s="17" t="str">
        <x:v>Button closure</x:v>
      </x:c>
      <x:c r="I187" s="17" t="str">
        <x:v>feature</x:v>
      </x:c>
      <x:c r="J187" s="17" t="str">
        <x:v>Hand Wash Only</x:v>
      </x:c>
      <x:c r="K187" s="17" t="str">
        <x:v>feature</x:v>
      </x:c>
      <x:c r="L187" s="17" t="n">
        <x:v>4</x:v>
      </x:c>
      <x:c r="M187" s="17" t="str">
        <x:v>Hand Wash Only</x:v>
      </x:c>
      <x:c r="N187" s="17" t="str">
        <x:v>polyester</x:v>
      </x:c>
    </x:row>
    <x:row r="188">
      <x:c r="A188" t="str">
        <x:v>public_0184</x:v>
      </x:c>
      <x:c r="B188" t="str">
        <x:v>browsing</x:v>
      </x:c>
      <x:c r="C188" t="str">
        <x:v>Sunglasses &amp; Eyewear Accessories Sunglasses</x:v>
      </x:c>
      <x:c r="D188" s="17" t="str">
        <x:v>nylon</x:v>
      </x:c>
      <x:c r="E188" s="17" t="str">
        <x:v>material</x:v>
      </x:c>
      <x:c r="F188" s="17" t="str">
        <x:v>color: black</x:v>
      </x:c>
      <x:c r="G188" s="17" t="str">
        <x:v>color</x:v>
      </x:c>
      <x:c r="H188" s="17" t="str">
        <x:v>Composite/Plastic Frame</x:v>
      </x:c>
      <x:c r="I188" s="17" t="str">
        <x:v>feature</x:v>
      </x:c>
      <x:c r="J188" s="17" t="str">
        <x:v>Imported</x:v>
      </x:c>
      <x:c r="K188" s="17" t="str">
        <x:v>feature</x:v>
      </x:c>
      <x:c r="L188" s="17" t="str"/>
      <x:c r="M188" s="17" t="str"/>
      <x:c r="N188" s="17" t="str"/>
    </x:row>
    <x:row r="189">
      <x:c r="A189" t="str">
        <x:v>public_0185</x:v>
      </x:c>
      <x:c r="B189" t="str">
        <x:v>buying</x:v>
      </x:c>
      <x:c r="C189" t="str">
        <x:v>Panties Boy Shorts</x:v>
      </x:c>
      <x:c r="D189" s="17" t="str">
        <x:v>cotton</x:v>
      </x:c>
      <x:c r="E189" s="17" t="str">
        <x:v>material</x:v>
      </x:c>
      <x:c r="F189" s="17" t="str">
        <x:v>92%Cotton/8%Spandex</x:v>
      </x:c>
      <x:c r="G189" s="17" t="str">
        <x:v>material</x:v>
      </x:c>
      <x:c r="H189" s="17" t="str">
        <x:v>Imported</x:v>
      </x:c>
      <x:c r="I189" s="17" t="str">
        <x:v>feature</x:v>
      </x:c>
      <x:c r="J189" s="17" t="str">
        <x:v>Pull On closure</x:v>
      </x:c>
      <x:c r="K189" s="17" t="str">
        <x:v>feature</x:v>
      </x:c>
      <x:c r="L189" s="17" t="str"/>
      <x:c r="M189" s="17" t="str"/>
      <x:c r="N189" s="17" t="str"/>
    </x:row>
    <x:row r="190">
      <x:c r="A190" t="str">
        <x:v>public_0186</x:v>
      </x:c>
      <x:c r="B190" t="str">
        <x:v>intent_override</x:v>
      </x:c>
      <x:c r="C190" t="str">
        <x:v>Running Road Running</x:v>
      </x:c>
      <x:c r="D190" s="17" t="str">
        <x:v>100% Synthetic</x:v>
      </x:c>
      <x:c r="E190" s="17" t="str">
        <x:v>feature</x:v>
      </x:c>
      <x:c r="F190" s="17" t="str">
        <x:v>Rubber sole</x:v>
      </x:c>
      <x:c r="G190" s="17" t="str">
        <x:v>feature</x:v>
      </x:c>
      <x:c r="H190" s="17" t="str">
        <x:v>AmpliFoam Midsole: Engineered to maintain durability at softer densities, providing better flexibility, comfort, and platform adaptability ideal for natural running</x:v>
      </x:c>
      <x:c r="I190" s="17" t="str">
        <x:v>color</x:v>
      </x:c>
      <x:c r="J190" s="17" t="str">
        <x:v>Ortholite Sockliner: Moisture management (Ortholite is a registered trademark of O2 Partners LLC)</x:v>
      </x:c>
      <x:c r="K190" s="17" t="str">
        <x:v>color</x:v>
      </x:c>
      <x:c r="L190" s="17" t="n">
        <x:v>3</x:v>
      </x:c>
      <x:c r="M190" s="17" t="str">
        <x:v>Ortholite Sockliner: Moisture management (Ortholite is a registered trademark of O2 Partners LLC)</x:v>
      </x:c>
      <x:c r="N190" s="17" t="str">
        <x:v>100% Synthetic</x:v>
      </x:c>
    </x:row>
    <x:row r="191">
      <x:c r="A191" t="str">
        <x:v>public_0187</x:v>
      </x:c>
      <x:c r="B191" t="str">
        <x:v>boundary</x:v>
      </x:c>
      <x:c r="C191" t="str">
        <x:v>Shoes Loafers &amp; Slip-Ons</x:v>
      </x:c>
      <x:c r="D191" s="17" t="str">
        <x:v>leather</x:v>
      </x:c>
      <x:c r="E191" s="17" t="str">
        <x:v>material</x:v>
      </x:c>
      <x:c r="F191" s="17" t="str">
        <x:v>100% Leather</x:v>
      </x:c>
      <x:c r="G191" s="17" t="str">
        <x:v>material</x:v>
      </x:c>
      <x:c r="H191" s="17" t="str">
        <x:v>Leather sole</x:v>
      </x:c>
      <x:c r="I191" s="17" t="str">
        <x:v>material</x:v>
      </x:c>
      <x:c r="J191" s="17" t="str">
        <x:v>Leather slip-on featuring dual gore panels at entry and padded collar</x:v>
      </x:c>
      <x:c r="K191" s="17" t="str">
        <x:v>material</x:v>
      </x:c>
      <x:c r="L191" s="17" t="str"/>
      <x:c r="M191" s="17" t="str"/>
      <x:c r="N191" s="17" t="str"/>
    </x:row>
    <x:row r="192">
      <x:c r="A192" t="str">
        <x:v>public_0188</x:v>
      </x:c>
      <x:c r="B192" t="str">
        <x:v>buying</x:v>
      </x:c>
      <x:c r="C192" t="str">
        <x:v>Handbags &amp; Wallets Crossbody Bags</x:v>
      </x:c>
      <x:c r="D192" s="17" t="str">
        <x:v>leather</x:v>
      </x:c>
      <x:c r="E192" s="17" t="str">
        <x:v>material</x:v>
      </x:c>
      <x:c r="F192" s="17" t="str">
        <x:v>Artificial Leather,Leather,Pu Leather</x:v>
      </x:c>
      <x:c r="G192" s="17" t="str">
        <x:v>material</x:v>
      </x:c>
      <x:c r="H192" s="17" t="str">
        <x:v>Imported</x:v>
      </x:c>
      <x:c r="I192" s="17" t="str">
        <x:v>feature</x:v>
      </x:c>
      <x:c r="J192" s="17" t="str">
        <x:v>Zipper closure</x:v>
      </x:c>
      <x:c r="K192" s="17" t="str">
        <x:v>feature</x:v>
      </x:c>
      <x:c r="L192" s="17" t="str"/>
      <x:c r="M192" s="17" t="str"/>
      <x:c r="N192" s="17" t="str"/>
    </x:row>
    <x:row r="193">
      <x:c r="A193" t="str">
        <x:v>public_0189</x:v>
      </x:c>
      <x:c r="B193" t="str">
        <x:v>buying</x:v>
      </x:c>
      <x:c r="C193" t="str">
        <x:v>Shorts Denim</x:v>
      </x:c>
      <x:c r="D193" s="17" t="str">
        <x:v>cotton</x:v>
      </x:c>
      <x:c r="E193" s="17" t="str">
        <x:v>material</x:v>
      </x:c>
      <x:c r="F193" s="17" t="str">
        <x:v>color: black</x:v>
      </x:c>
      <x:c r="G193" s="17" t="str">
        <x:v>color</x:v>
      </x:c>
      <x:c r="H193" s="17" t="str">
        <x:v>100% Cotton</x:v>
      </x:c>
      <x:c r="I193" s="17" t="str">
        <x:v>material</x:v>
      </x:c>
      <x:c r="J193" s="17" t="str">
        <x:v>Imported</x:v>
      </x:c>
      <x:c r="K193" s="17" t="str">
        <x:v>feature</x:v>
      </x:c>
      <x:c r="L193" s="17" t="str"/>
      <x:c r="M193" s="17" t="str"/>
      <x:c r="N193" s="17" t="str"/>
    </x:row>
    <x:row r="194">
      <x:c r="A194" t="str">
        <x:v>public_0190</x:v>
      </x:c>
      <x:c r="B194" t="str">
        <x:v>buying</x:v>
      </x:c>
      <x:c r="C194" t="str">
        <x:v>Medical Scrub Bottoms</x:v>
      </x:c>
      <x:c r="D194" s="17" t="str">
        <x:v>polyester</x:v>
      </x:c>
      <x:c r="E194" s="17" t="str">
        <x:v>material</x:v>
      </x:c>
      <x:c r="F194" s="17" t="str">
        <x:v>94% Polyester, 6% Spandex</x:v>
      </x:c>
      <x:c r="G194" s="17" t="str">
        <x:v>material</x:v>
      </x:c>
      <x:c r="H194" s="17" t="str">
        <x:v>Imported</x:v>
      </x:c>
      <x:c r="I194" s="17" t="str">
        <x:v>feature</x:v>
      </x:c>
      <x:c r="J194" s="17" t="str">
        <x:v>Pull On closure</x:v>
      </x:c>
      <x:c r="K194" s="17" t="str">
        <x:v>feature</x:v>
      </x:c>
      <x:c r="L194" s="17" t="str"/>
      <x:c r="M194" s="17" t="str"/>
      <x:c r="N194" s="17" t="str"/>
    </x:row>
    <x:row r="195">
      <x:c r="A195" t="str">
        <x:v>public_0191</x:v>
      </x:c>
      <x:c r="B195" t="str">
        <x:v>browsing</x:v>
      </x:c>
      <x:c r="C195" t="str">
        <x:v>Men Active</x:v>
      </x:c>
      <x:c r="D195" s="17" t="str">
        <x:v>Polyamide,Mesh</x:v>
      </x:c>
      <x:c r="E195" s="17" t="str">
        <x:v>feature</x:v>
      </x:c>
      <x:c r="F195" s="17" t="str">
        <x:v>Machine Wash</x:v>
      </x:c>
      <x:c r="G195" s="17" t="str">
        <x:v>feature</x:v>
      </x:c>
      <x:c r="H195" s="17" t="str">
        <x:v>Moisture Wicking &amp; Breathable: These compression socks for women are made of lightweight farbic and polyamide, Moisture-wicking yarn and breathable mesh pulls perspiration away fro</x:v>
      </x:c>
      <x:c r="I195" s="17" t="str">
        <x:v>feature</x:v>
      </x:c>
      <x:c r="J195" s="17" t="str">
        <x:v>Friction &amp; Shock Protection: Our mens compression socks use the seamless toe design, these compression socks for men circulation have targeted cushioning on the footbed for shock a</x:v>
      </x:c>
      <x:c r="K195" s="17" t="str">
        <x:v>feature</x:v>
      </x:c>
      <x:c r="L195" s="17" t="str"/>
      <x:c r="M195" s="17" t="str"/>
      <x:c r="N195" s="17" t="str"/>
    </x:row>
    <x:row r="196">
      <x:c r="A196" t="str">
        <x:v>public_0192</x:v>
      </x:c>
      <x:c r="B196" t="str">
        <x:v>boundary</x:v>
      </x:c>
      <x:c r="C196" t="str">
        <x:v>Athletic Sport Sandals &amp; Slides</x:v>
      </x:c>
      <x:c r="D196" s="17" t="str">
        <x:v>100% Textile Synthetics</x:v>
      </x:c>
      <x:c r="E196" s="17" t="str">
        <x:v>feature</x:v>
      </x:c>
      <x:c r="F196" s="17" t="str">
        <x:v>color: pink</x:v>
      </x:c>
      <x:c r="G196" s="17" t="str">
        <x:v>color</x:v>
      </x:c>
      <x:c r="H196" s="17" t="str">
        <x:v>Imported</x:v>
      </x:c>
      <x:c r="I196" s="17" t="str">
        <x:v>feature</x:v>
      </x:c>
      <x:c r="J196" s="17" t="str">
        <x:v>Ethylene Vinyl Acetate sole</x:v>
      </x:c>
      <x:c r="K196" s="17" t="str">
        <x:v>feature</x:v>
      </x:c>
      <x:c r="L196" s="17" t="str"/>
      <x:c r="M196" s="17" t="str"/>
      <x:c r="N196" s="17" t="str"/>
    </x:row>
    <x:row r="197">
      <x:c r="A197" t="str">
        <x:v>public_0193</x:v>
      </x:c>
      <x:c r="B197" t="str">
        <x:v>buying</x:v>
      </x:c>
      <x:c r="C197" t="str">
        <x:v>Scarves &amp; Wraps Fashion Scarves</x:v>
      </x:c>
      <x:c r="D197" s="17" t="str">
        <x:v>fabric</x:v>
      </x:c>
      <x:c r="E197" s="17" t="str">
        <x:v>material</x:v>
      </x:c>
      <x:c r="F197" s="17" t="str">
        <x:v>color: red</x:v>
      </x:c>
      <x:c r="G197" s="17" t="str">
        <x:v>color</x:v>
      </x:c>
      <x:c r="H197" s="17" t="str">
        <x:v>Chiffon</x:v>
      </x:c>
      <x:c r="I197" s="17" t="str">
        <x:v>feature</x:v>
      </x:c>
      <x:c r="J197" s="17" t="str">
        <x:v>Hand Wash Only</x:v>
      </x:c>
      <x:c r="K197" s="17" t="str">
        <x:v>feature</x:v>
      </x:c>
      <x:c r="L197" s="17" t="str"/>
      <x:c r="M197" s="17" t="str"/>
      <x:c r="N197" s="17" t="str"/>
    </x:row>
    <x:row r="198">
      <x:c r="A198" t="str">
        <x:v>public_0194</x:v>
      </x:c>
      <x:c r="B198" t="str">
        <x:v>buying</x:v>
      </x:c>
      <x:c r="C198" t="str">
        <x:v>Tees &amp; Blouses T-Shirts</x:v>
      </x:c>
      <x:c r="D198" s="17" t="str">
        <x:v>rayon</x:v>
      </x:c>
      <x:c r="E198" s="17" t="str">
        <x:v>material</x:v>
      </x:c>
      <x:c r="F198" s="17" t="str">
        <x:v>95% Rayon, 5% Spandex</x:v>
      </x:c>
      <x:c r="G198" s="17" t="str">
        <x:v>material</x:v>
      </x:c>
      <x:c r="H198" s="17" t="str">
        <x:v>Pull On closure</x:v>
      </x:c>
      <x:c r="I198" s="17" t="str">
        <x:v>feature</x:v>
      </x:c>
      <x:c r="J198" s="17" t="str">
        <x:v>Hand Wash Only</x:v>
      </x:c>
      <x:c r="K198" s="17" t="str">
        <x:v>feature</x:v>
      </x:c>
      <x:c r="L198" s="17" t="str"/>
      <x:c r="M198" s="17" t="str"/>
      <x:c r="N198" s="17" t="str"/>
    </x:row>
    <x:row r="199">
      <x:c r="A199" t="str">
        <x:v>public_0195</x:v>
      </x:c>
      <x:c r="B199" t="str">
        <x:v>browsing</x:v>
      </x:c>
      <x:c r="C199" t="str">
        <x:v>Tees &amp; Blouses Blouses &amp; Button-Down Shirts</x:v>
      </x:c>
      <x:c r="D199" s="17" t="str">
        <x:v>rayon</x:v>
      </x:c>
      <x:c r="E199" s="17" t="str">
        <x:v>material</x:v>
      </x:c>
      <x:c r="F199" s="17" t="str">
        <x:v>100% Rayon</x:v>
      </x:c>
      <x:c r="G199" s="17" t="str">
        <x:v>material</x:v>
      </x:c>
      <x:c r="H199" s="17" t="str">
        <x:v>Pull On closure</x:v>
      </x:c>
      <x:c r="I199" s="17" t="str">
        <x:v>feature</x:v>
      </x:c>
      <x:c r="J199" s="17" t="str">
        <x:v>100%Rayon</x:v>
      </x:c>
      <x:c r="K199" s="17" t="str">
        <x:v>material</x:v>
      </x:c>
      <x:c r="L199" s="17" t="str"/>
      <x:c r="M199" s="17" t="str"/>
      <x:c r="N199" s="17" t="str"/>
    </x:row>
    <x:row r="200">
      <x:c r="A200" t="str">
        <x:v>public_0196</x:v>
      </x:c>
      <x:c r="B200" t="str">
        <x:v>browsing</x:v>
      </x:c>
      <x:c r="C200" t="str">
        <x:v>Shoes Flats</x:v>
      </x:c>
      <x:c r="D200" s="17" t="str">
        <x:v>Rubber sole</x:v>
      </x:c>
      <x:c r="E200" s="17" t="str">
        <x:v>feature</x:v>
      </x:c>
      <x:c r="F200" s="17" t="str">
        <x:v>Design in USA</x:v>
      </x:c>
      <x:c r="G200" s="17" t="str">
        <x:v>feature</x:v>
      </x:c>
      <x:c r="H200" s="17" t="str">
        <x:v>Heel height: 0.15" (approx)</x:v>
      </x:c>
      <x:c r="I200" s="17" t="str">
        <x:v>feature</x:v>
      </x:c>
      <x:c r="J200" s="17" t="str">
        <x:v>Ultra Flexible Rubber Outsole</x:v>
      </x:c>
      <x:c r="K200" s="17" t="str">
        <x:v>feature</x:v>
      </x:c>
      <x:c r="L200" s="17" t="str"/>
      <x:c r="M200" s="17" t="str"/>
      <x:c r="N200" s="17" t="str"/>
    </x:row>
    <x:row r="201">
      <x:c r="A201" t="str">
        <x:v>public_0197</x:v>
      </x:c>
      <x:c r="B201" t="str">
        <x:v>intent_override</x:v>
      </x:c>
      <x:c r="C201" t="str">
        <x:v>Watch Accessories Repair Tools &amp; Kits</x:v>
      </x:c>
      <x:c r="D201" s="17" t="str">
        <x:v>What is in the package?EFIXTK watch band tool kit comes with a watch band link pin remover with 6 extra tips, a plastic watch holder, a dual head hammer, 4 pin punches,20pcs cotter</x:v>
      </x:c>
      <x:c r="E201" s="17" t="str">
        <x:v>feature</x:v>
      </x:c>
      <x:c r="F201" s="17" t="str">
        <x:v>Easy to use: Size your watch band yourself with this small, simple tool effectively without wiggling</x:v>
      </x:c>
      <x:c r="G201" s="17" t="str">
        <x:v>size</x:v>
      </x:c>
      <x:c r="H201" s="17" t="str">
        <x:v>Fit for different sizes,Fit bands up to 30mm wide ,6 replacement pins and an adjustable base allow for use with different band thicknesses</x:v>
      </x:c>
      <x:c r="I201" s="17" t="str">
        <x:v>size</x:v>
      </x:c>
      <x:c r="J201" s="17" t="str">
        <x:v>VALUE KIT FOR MONEY SAVING - This watch band link remover is great for removing and inserting spring bars straps, and widely used in up to 30mm wide watch band replace, watch repai</x:v>
      </x:c>
      <x:c r="K201" s="17" t="str">
        <x:v>size</x:v>
      </x:c>
      <x:c r="L201" s="17" t="n">
        <x:v>4</x:v>
      </x:c>
      <x:c r="M201" s="17" t="str">
        <x:v>VALUE KIT FOR MONEY SAVING - This watch band link remover is great for removing and inserting spring bars straps, and widely used in up to 30mm wide watch band replace, watch repai</x:v>
      </x:c>
      <x:c r="N201" s="17" t="str">
        <x:v>What is in the package?EFIXTK watch band tool kit comes with a watch band link pin remover with 6 extra tips, a plastic watch holder, a dual head hammer, 4 pin punches,20pcs cotter</x:v>
      </x:c>
    </x:row>
    <x:row r="202">
      <x:c r="A202" t="str">
        <x:v>public_0198</x:v>
      </x:c>
      <x:c r="B202" t="str">
        <x:v>intent_override</x:v>
      </x:c>
      <x:c r="C202" t="str">
        <x:v>Handbags &amp; Wallets Crossbody Bags</x:v>
      </x:c>
      <x:c r="D202" s="17" t="str">
        <x:v>leather</x:v>
      </x:c>
      <x:c r="E202" s="17" t="str">
        <x:v>material</x:v>
      </x:c>
      <x:c r="F202" s="17" t="str">
        <x:v>color: black</x:v>
      </x:c>
      <x:c r="G202" s="17" t="str">
        <x:v>color</x:v>
      </x:c>
      <x:c r="H202" s="17" t="str">
        <x:v>PU</x:v>
      </x:c>
      <x:c r="I202" s="17" t="str">
        <x:v>feature</x:v>
      </x:c>
      <x:c r="J202" s="17" t="str">
        <x:v>Imported</x:v>
      </x:c>
      <x:c r="K202" s="17" t="str">
        <x:v>feature</x:v>
      </x:c>
      <x:c r="L202" s="17" t="n">
        <x:v>4</x:v>
      </x:c>
      <x:c r="M202" s="17" t="str">
        <x:v>Imported</x:v>
      </x:c>
      <x:c r="N202" s="17" t="str">
        <x:v>leather</x:v>
      </x:c>
    </x:row>
    <x:row r="203">
      <x:c r="A203" t="str">
        <x:v>public_0199</x:v>
      </x:c>
      <x:c r="B203" t="str">
        <x:v>buying</x:v>
      </x:c>
      <x:c r="C203" t="str">
        <x:v>Underwear Briefs</x:v>
      </x:c>
      <x:c r="D203" s="17" t="str">
        <x:v>cotton</x:v>
      </x:c>
      <x:c r="E203" s="17" t="str">
        <x:v>material</x:v>
      </x:c>
      <x:c r="F203" s="17" t="str">
        <x:v>Imported</x:v>
      </x:c>
      <x:c r="G203" s="17" t="str">
        <x:v>feature</x:v>
      </x:c>
      <x:c r="H203" s="17" t="str">
        <x:v>Machine Wash</x:v>
      </x:c>
      <x:c r="I203" s="17" t="str">
        <x:v>feature</x:v>
      </x:c>
      <x:c r="J203" s="17" t="str">
        <x:v>100% Cotton Size:3T (2-3), 4T (3-4), 5 (5-6), 6 (6-7), 8 (7-8), 10 (9-10), 12 (10-12)</x:v>
      </x:c>
      <x:c r="K203" s="17" t="str">
        <x:v>material</x:v>
      </x:c>
      <x:c r="L203" s="17" t="str"/>
      <x:c r="M203" s="17" t="str"/>
      <x:c r="N203" s="17" t="str"/>
    </x:row>
    <x:row r="204">
      <x:c r="A204" t="str">
        <x:v>public_0200</x:v>
      </x:c>
      <x:c r="B204" t="str">
        <x:v>buying</x:v>
      </x:c>
      <x:c r="C204" t="str">
        <x:v>Shoes &amp; Jewelry Men</x:v>
      </x:c>
      <x:c r="D204" s="17" t="str">
        <x:v>Ethylene Vinyl Acetate sole</x:v>
      </x:c>
      <x:c r="E204" s="17" t="str">
        <x:v>feature</x:v>
      </x:c>
      <x:c r="F204" s="17" t="str">
        <x:v>Heel measures approximately 2.3 centimeters</x:v>
      </x:c>
      <x:c r="G204" s="17" t="str">
        <x:v>feature</x:v>
      </x:c>
      <x:c r="H204" s="17" t="str">
        <x:v>【Concise Style】Diamond pattern and raised design, pure color, casual style are quite suitable for home and any other casual occasion</x:v>
      </x:c>
      <x:c r="I204" s="17" t="str">
        <x:v>color</x:v>
      </x:c>
      <x:c r="J204" s="17" t="str">
        <x:v>【Soft &amp; Lightweight】Which only weight about 200g, lightweight and durable EVA material can arbitrary bending, thick soles design with light rebound ability, give your feet ultimate</x:v>
      </x:c>
      <x:c r="K204" s="17" t="str">
        <x:v>feature</x:v>
      </x:c>
      <x:c r="L204" s="17" t="str"/>
      <x:c r="M204" s="17" t="str"/>
      <x:c r="N204" s="17" t="str"/>
    </x:row>
  </x:sheetData>
  <x:mergeCells>
    <x:mergeCell ref="A1:N1"/>
    <x:mergeCell ref="A2:N2"/>
  </x:mergeCells>
  <x:pageMargins left="0.7" right="0.7" top="0.75" bottom="0.75" header="0.3" footer="0.3"/>
  <x:legacyDrawing xmlns:r="http://schemas.openxmlformats.org/officeDocument/2006/relationships" r:id="Rc58fa8b1ec0c47bd"/>
  <x:tableParts count="1">
    <x:tablePart xmlns:r="http://schemas.openxmlformats.org/officeDocument/2006/relationships" r:id="R42e70ecd4c9942e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11" hidden="0" customWidth="1"/>
    <x:col min="4" max="4" width="25" hidden="0" customWidth="1"/>
    <x:col min="5" max="5" width="22" hidden="0" customWidth="1"/>
    <x:col min="6" max="6" width="24" hidden="0" customWidth="1"/>
    <x:col min="7" max="7" width="58" hidden="0" customWidth="1"/>
    <x:col min="8" max="8" width="72" hidden="0" customWidth="1"/>
    <x:col min="9" max="9" width="52" hidden="0" customWidth="1"/>
  </x:cols>
  <x:sheetData>
    <x:row r="1" ht="34" customHeight="1">
      <x:c r="A1" s="4" t="str">
        <x:v>Conversation Branches</x:v>
      </x:c>
    </x:row>
    <x:row r="2" ht="30" customHeight="1">
      <x:c r="A2" s="8" t="str">
        <x:v>Filter by sample_id. Each row is a possible next simulator response for an allowed ask_attribute; Boundary includes both before and after its one-time no-preference reply.</x:v>
      </x:c>
      <x:c r="B2" s="8" t="str">
        <x:v>Filter by sample_id. Each row is a possible next simulator response for an allowed ask_attribute; Boundary includes both before and after its one-time no-preference reply.</x:v>
      </x:c>
      <x:c r="C2" s="8" t="str">
        <x:v>Filter by sample_id. Each row is a possible next simulator response for an allowed ask_attribute; Boundary includes both before and after its one-time no-preference reply.</x:v>
      </x:c>
      <x:c r="D2" s="8" t="str">
        <x:v>Filter by sample_id. Each row is a possible next simulator response for an allowed ask_attribute; Boundary includes both before and after its one-time no-preference reply.</x:v>
      </x:c>
      <x:c r="E2" s="8" t="str">
        <x:v>Filter by sample_id. Each row is a possible next simulator response for an allowed ask_attribute; Boundary includes both before and after its one-time no-preference reply.</x:v>
      </x:c>
      <x:c r="F2" s="8" t="str">
        <x:v>Filter by sample_id. Each row is a possible next simulator response for an allowed ask_attribute; Boundary includes both before and after its one-time no-preference reply.</x:v>
      </x:c>
      <x:c r="G2" s="8" t="str">
        <x:v>Filter by sample_id. Each row is a possible next simulator response for an allowed ask_attribute; Boundary includes both before and after its one-time no-preference reply.</x:v>
      </x:c>
      <x:c r="H2" s="8" t="str">
        <x:v>Filter by sample_id. Each row is a possible next simulator response for an allowed ask_attribute; Boundary includes both before and after its one-time no-preference reply.</x:v>
      </x:c>
      <x:c r="I2" s="8" t="str">
        <x:v>Filter by sample_id. Each row is a possible next simulator response for an allowed ask_attribute; Boundary includes both before and after its one-time no-preference reply.</x:v>
      </x:c>
    </x:row>
    <x:row r="4" ht="28" customHeight="1">
      <x:c r="A4" s="40" t="str">
        <x:v>sample_id</x:v>
      </x:c>
      <x:c r="B4" s="41" t="str">
        <x:v>scenario_type</x:v>
      </x:c>
      <x:c r="C4" s="41" t="str">
        <x:v>difficulty</x:v>
      </x:c>
      <x:c r="D4" s="41" t="str">
        <x:v>conversation_state</x:v>
      </x:c>
      <x:c r="E4" s="41" t="str">
        <x:v>ask_attribute</x:v>
      </x:c>
      <x:c r="F4" s="41" t="str">
        <x:v>branch_type</x:v>
      </x:c>
      <x:c r="G4" s="41" t="str">
        <x:v>revealed_constraints</x:v>
      </x:c>
      <x:c r="H4" s="41" t="str">
        <x:v>simulator_reply</x:v>
      </x:c>
      <x:c r="I4" s="42" t="str">
        <x:v>override_note</x:v>
      </x:c>
    </x:row>
    <x:row r="5">
      <x:c r="A5" t="str">
        <x:v>public_0001</x:v>
      </x:c>
      <x:c r="B5" t="str">
        <x:v>buying</x:v>
      </x:c>
      <x:c r="C5" t="str">
        <x:v>easy</x:v>
      </x:c>
      <x:c r="D5" s="17" t="str">
        <x:v>next ask before hit/override</x:v>
      </x:c>
      <x:c r="E5" s="17" t="str">
        <x:v>category</x:v>
      </x:c>
      <x:c r="F5" s="17" t="str">
        <x:v>no new constraint</x:v>
      </x:c>
      <x:c r="G5" s="17" t="str"/>
      <x:c r="H5" s="17" t="str">
        <x:v>I don't have an additional preference for category.</x:v>
      </x:c>
      <x:c r="I5" s="17" t="str"/>
    </x:row>
    <x:row r="6">
      <x:c r="A6" t="str">
        <x:v>public_0001</x:v>
      </x:c>
      <x:c r="B6" t="str">
        <x:v>buying</x:v>
      </x:c>
      <x:c r="C6" t="str">
        <x:v>easy</x:v>
      </x:c>
      <x:c r="D6" s="17" t="str">
        <x:v>next ask before hit/override</x:v>
      </x:c>
      <x:c r="E6" s="17" t="str">
        <x:v>material</x:v>
      </x:c>
      <x:c r="F6" s="17" t="str">
        <x:v>no new constraint</x:v>
      </x:c>
      <x:c r="G6" s="17" t="str"/>
      <x:c r="H6" s="17" t="str">
        <x:v>I don't have an additional preference for material.</x:v>
      </x:c>
      <x:c r="I6" s="17" t="str"/>
    </x:row>
    <x:row r="7">
      <x:c r="A7" t="str">
        <x:v>public_0001</x:v>
      </x:c>
      <x:c r="B7" t="str">
        <x:v>buying</x:v>
      </x:c>
      <x:c r="C7" t="str">
        <x:v>easy</x:v>
      </x:c>
      <x:c r="D7" s="17" t="str">
        <x:v>next ask before hit/override</x:v>
      </x:c>
      <x:c r="E7" s="17" t="str">
        <x:v>color</x:v>
      </x:c>
      <x:c r="F7" s="17" t="str">
        <x:v>no new constraint</x:v>
      </x:c>
      <x:c r="G7" s="17" t="str"/>
      <x:c r="H7" s="17" t="str">
        <x:v>I don't have an additional preference for color.</x:v>
      </x:c>
      <x:c r="I7" s="17" t="str"/>
    </x:row>
    <x:row r="8">
      <x:c r="A8" t="str">
        <x:v>public_0001</x:v>
      </x:c>
      <x:c r="B8" t="str">
        <x:v>buying</x:v>
      </x:c>
      <x:c r="C8" t="str">
        <x:v>easy</x:v>
      </x:c>
      <x:c r="D8" s="17" t="str">
        <x:v>next ask before hit/override</x:v>
      </x:c>
      <x:c r="E8" s="17" t="str">
        <x:v>size</x:v>
      </x:c>
      <x:c r="F8" s="17" t="str">
        <x:v>no new constraint</x:v>
      </x:c>
      <x:c r="G8" s="17" t="str"/>
      <x:c r="H8" s="17" t="str">
        <x:v>I don't have an additional preference for size.</x:v>
      </x:c>
      <x:c r="I8" s="17" t="str"/>
    </x:row>
    <x:row r="9">
      <x:c r="A9" t="str">
        <x:v>public_0001</x:v>
      </x:c>
      <x:c r="B9" t="str">
        <x:v>buying</x:v>
      </x:c>
      <x:c r="C9" t="str">
        <x:v>easy</x:v>
      </x:c>
      <x:c r="D9" s="17" t="str">
        <x:v>next ask before hit/override</x:v>
      </x:c>
      <x:c r="E9" s="17" t="str">
        <x:v>style</x:v>
      </x:c>
      <x:c r="F9" s="17" t="str">
        <x:v>no new constraint</x:v>
      </x:c>
      <x:c r="G9" s="17" t="str"/>
      <x:c r="H9" s="17" t="str">
        <x:v>I don't have an additional preference for style.</x:v>
      </x:c>
      <x:c r="I9" s="17" t="str"/>
    </x:row>
    <x:row r="10">
      <x:c r="A10" t="str">
        <x:v>public_0001</x:v>
      </x:c>
      <x:c r="B10" t="str">
        <x:v>buying</x:v>
      </x:c>
      <x:c r="C10" t="str">
        <x:v>easy</x:v>
      </x:c>
      <x:c r="D10" s="17" t="str">
        <x:v>next ask before hit/override</x:v>
      </x:c>
      <x:c r="E10" s="17" t="str">
        <x:v>brand</x:v>
      </x:c>
      <x:c r="F10" s="17" t="str">
        <x:v>no new constraint</x:v>
      </x:c>
      <x:c r="G10" s="17" t="str"/>
      <x:c r="H10" s="17" t="str">
        <x:v>I don't have an additional preference for brand.</x:v>
      </x:c>
      <x:c r="I10" s="17" t="str"/>
    </x:row>
    <x:row r="11">
      <x:c r="A11" t="str">
        <x:v>public_0001</x:v>
      </x:c>
      <x:c r="B11" t="str">
        <x:v>buying</x:v>
      </x:c>
      <x:c r="C11" t="str">
        <x:v>easy</x:v>
      </x:c>
      <x:c r="D11" s="17" t="str">
        <x:v>next ask before hit/override</x:v>
      </x:c>
      <x:c r="E11" s="17" t="str">
        <x:v>budget</x:v>
      </x:c>
      <x:c r="F11" s="17" t="str">
        <x:v>no new constraint</x:v>
      </x:c>
      <x:c r="G11" s="17" t="str"/>
      <x:c r="H11" s="17" t="str">
        <x:v>I don't have an additional preference for budget.</x:v>
      </x:c>
      <x:c r="I11" s="17" t="str"/>
    </x:row>
    <x:row r="12">
      <x:c r="A12" t="str">
        <x:v>public_0001</x:v>
      </x:c>
      <x:c r="B12" t="str">
        <x:v>buying</x:v>
      </x:c>
      <x:c r="C12" t="str">
        <x:v>easy</x:v>
      </x:c>
      <x:c r="D12" s="17" t="str">
        <x:v>next ask before hit/override</x:v>
      </x:c>
      <x:c r="E12" s="17" t="str">
        <x:v>feature</x:v>
      </x:c>
      <x:c r="F12" s="17" t="str">
        <x:v>constraint revealed</x:v>
      </x:c>
      <x:c r="G12" s="17" t="str">
        <x:v>Triple Moon Pentagram Symbol | The Triple Moon represents the Phases of the Moon which are linked to the three aspects of the Goddess and the phases of the Life of Women.The Pentagram representing the holistic r</x:v>
      </x:c>
      <x:c r="H12" s="17" t="str">
        <x:v>For that, what matters is: Triple Moon Pentagram Symbol; The Triple Moon represents the Phases of the Moon which are linked to the three aspects of the Goddess and the phases of the Life of Women.The Pentagram representing the holistic r.</x:v>
      </x:c>
      <x:c r="I12" s="17" t="str"/>
    </x:row>
    <x:row r="13">
      <x:c r="A13" t="str">
        <x:v>public_0001</x:v>
      </x:c>
      <x:c r="B13" t="str">
        <x:v>buying</x:v>
      </x:c>
      <x:c r="C13" t="str">
        <x:v>easy</x:v>
      </x:c>
      <x:c r="D13" s="17" t="str">
        <x:v>next ask before hit/override</x:v>
      </x:c>
      <x:c r="E13" s="17" t="str">
        <x:v>use_case</x:v>
      </x:c>
      <x:c r="F13" s="17" t="str">
        <x:v>no new constraint</x:v>
      </x:c>
      <x:c r="G13" s="17" t="str"/>
      <x:c r="H13" s="17" t="str">
        <x:v>I don't have an additional preference for use_case.</x:v>
      </x:c>
      <x:c r="I13" s="17" t="str"/>
    </x:row>
    <x:row r="14">
      <x:c r="A14" t="str">
        <x:v>public_0001</x:v>
      </x:c>
      <x:c r="B14" t="str">
        <x:v>buying</x:v>
      </x:c>
      <x:c r="C14" t="str">
        <x:v>easy</x:v>
      </x:c>
      <x:c r="D14" s="17" t="str">
        <x:v>next ask before hit/override</x:v>
      </x:c>
      <x:c r="E14" s="17" t="str">
        <x:v>other</x:v>
      </x:c>
      <x:c r="F14" s="17" t="str">
        <x:v>constraint revealed</x:v>
      </x:c>
      <x:c r="G14" s="17" t="str">
        <x:v>Triple Moon Pentagram Symbol | The Triple Moon represents the Phases of the Moon which are linked to the three aspects of the Goddess and the phases of the Life of Women.The Pentagram representing the holistic r</x:v>
      </x:c>
      <x:c r="H14" s="17" t="str">
        <x:v>For that, what matters is: Triple Moon Pentagram Symbol; The Triple Moon represents the Phases of the Moon which are linked to the three aspects of the Goddess and the phases of the Life of Women.The Pentagram representing the holistic r.</x:v>
      </x:c>
      <x:c r="I14" s="17" t="str"/>
    </x:row>
    <x:row r="15">
      <x:c r="A15" t="str">
        <x:v>public_0001</x:v>
      </x:c>
      <x:c r="B15" t="str">
        <x:v>buying</x:v>
      </x:c>
      <x:c r="C15" t="str">
        <x:v>easy</x:v>
      </x:c>
      <x:c r="D15" s="17" t="str">
        <x:v>next ask before hit/override</x:v>
      </x:c>
      <x:c r="E15" s="17" t="str">
        <x:v>(no ask_attribute)</x:v>
      </x:c>
      <x:c r="F15" s="17" t="str">
        <x:v>agent did not ask</x:v>
      </x:c>
      <x:c r="G15" s="17" t="str"/>
      <x:c r="H15" s="17" t="str">
        <x:v>Those options are not quite right yet. Ask me about one specific attribute.</x:v>
      </x:c>
      <x:c r="I15" s="17" t="str"/>
    </x:row>
    <x:row r="16">
      <x:c r="A16" t="str">
        <x:v>public_0002</x:v>
      </x:c>
      <x:c r="B16" t="str">
        <x:v>intent_override</x:v>
      </x:c>
      <x:c r="C16" t="str">
        <x:v>hard</x:v>
      </x:c>
      <x:c r="D16" s="17" t="str">
        <x:v>next ask before hit/override</x:v>
      </x:c>
      <x:c r="E16" s="17" t="str">
        <x:v>category</x:v>
      </x:c>
      <x:c r="F16" s="17" t="str">
        <x:v>no new constraint</x:v>
      </x:c>
      <x:c r="G16" s="17" t="str"/>
      <x:c r="H16" s="17" t="str">
        <x:v>I don't have an additional preference for category.</x:v>
      </x:c>
      <x:c r="I16" s="17" t="str">
        <x:v>Override message occurs automatically on turn 3 or 4 before this reply when scheduled.</x:v>
      </x:c>
    </x:row>
    <x:row r="17">
      <x:c r="A17" t="str">
        <x:v>public_0002</x:v>
      </x:c>
      <x:c r="B17" t="str">
        <x:v>intent_override</x:v>
      </x:c>
      <x:c r="C17" t="str">
        <x:v>hard</x:v>
      </x:c>
      <x:c r="D17" s="17" t="str">
        <x:v>next ask before hit/override</x:v>
      </x:c>
      <x:c r="E17" s="17" t="str">
        <x:v>material</x:v>
      </x:c>
      <x:c r="F17" s="17" t="str">
        <x:v>constraint revealed</x:v>
      </x:c>
      <x:c r="G17" s="17" t="str">
        <x:v>leather | 100% Leather</x:v>
      </x:c>
      <x:c r="H17" s="17" t="str">
        <x:v>For that, what matters is: leather; 100% Leather.</x:v>
      </x:c>
      <x:c r="I17" s="17" t="str">
        <x:v>Override message occurs automatically on turn 3 or 4 before this reply when scheduled.</x:v>
      </x:c>
    </x:row>
    <x:row r="18">
      <x:c r="A18" t="str">
        <x:v>public_0002</x:v>
      </x:c>
      <x:c r="B18" t="str">
        <x:v>intent_override</x:v>
      </x:c>
      <x:c r="C18" t="str">
        <x:v>hard</x:v>
      </x:c>
      <x:c r="D18" s="17" t="str">
        <x:v>next ask before hit/override</x:v>
      </x:c>
      <x:c r="E18" s="17" t="str">
        <x:v>color</x:v>
      </x:c>
      <x:c r="F18" s="17" t="str">
        <x:v>no new constraint</x:v>
      </x:c>
      <x:c r="G18" s="17" t="str"/>
      <x:c r="H18" s="17" t="str">
        <x:v>I don't have an additional preference for color.</x:v>
      </x:c>
      <x:c r="I18" s="17" t="str">
        <x:v>Override message occurs automatically on turn 3 or 4 before this reply when scheduled.</x:v>
      </x:c>
    </x:row>
    <x:row r="19">
      <x:c r="A19" t="str">
        <x:v>public_0002</x:v>
      </x:c>
      <x:c r="B19" t="str">
        <x:v>intent_override</x:v>
      </x:c>
      <x:c r="C19" t="str">
        <x:v>hard</x:v>
      </x:c>
      <x:c r="D19" s="17" t="str">
        <x:v>next ask before hit/override</x:v>
      </x:c>
      <x:c r="E19" s="17" t="str">
        <x:v>size</x:v>
      </x:c>
      <x:c r="F19" s="17" t="str">
        <x:v>no new constraint</x:v>
      </x:c>
      <x:c r="G19" s="17" t="str"/>
      <x:c r="H19" s="17" t="str">
        <x:v>I don't have an additional preference for size.</x:v>
      </x:c>
      <x:c r="I19" s="17" t="str">
        <x:v>Override message occurs automatically on turn 3 or 4 before this reply when scheduled.</x:v>
      </x:c>
    </x:row>
    <x:row r="20">
      <x:c r="A20" t="str">
        <x:v>public_0002</x:v>
      </x:c>
      <x:c r="B20" t="str">
        <x:v>intent_override</x:v>
      </x:c>
      <x:c r="C20" t="str">
        <x:v>hard</x:v>
      </x:c>
      <x:c r="D20" s="17" t="str">
        <x:v>next ask before hit/override</x:v>
      </x:c>
      <x:c r="E20" s="17" t="str">
        <x:v>style</x:v>
      </x:c>
      <x:c r="F20" s="17" t="str">
        <x:v>no new constraint</x:v>
      </x:c>
      <x:c r="G20" s="17" t="str"/>
      <x:c r="H20" s="17" t="str">
        <x:v>I don't have an additional preference for style.</x:v>
      </x:c>
      <x:c r="I20" s="17" t="str">
        <x:v>Override message occurs automatically on turn 3 or 4 before this reply when scheduled.</x:v>
      </x:c>
    </x:row>
    <x:row r="21">
      <x:c r="A21" t="str">
        <x:v>public_0002</x:v>
      </x:c>
      <x:c r="B21" t="str">
        <x:v>intent_override</x:v>
      </x:c>
      <x:c r="C21" t="str">
        <x:v>hard</x:v>
      </x:c>
      <x:c r="D21" s="17" t="str">
        <x:v>next ask before hit/override</x:v>
      </x:c>
      <x:c r="E21" s="17" t="str">
        <x:v>brand</x:v>
      </x:c>
      <x:c r="F21" s="17" t="str">
        <x:v>no new constraint</x:v>
      </x:c>
      <x:c r="G21" s="17" t="str"/>
      <x:c r="H21" s="17" t="str">
        <x:v>I don't have an additional preference for brand.</x:v>
      </x:c>
      <x:c r="I21" s="17" t="str">
        <x:v>Override message occurs automatically on turn 3 or 4 before this reply when scheduled.</x:v>
      </x:c>
    </x:row>
    <x:row r="22">
      <x:c r="A22" t="str">
        <x:v>public_0002</x:v>
      </x:c>
      <x:c r="B22" t="str">
        <x:v>intent_override</x:v>
      </x:c>
      <x:c r="C22" t="str">
        <x:v>hard</x:v>
      </x:c>
      <x:c r="D22" s="17" t="str">
        <x:v>next ask before hit/override</x:v>
      </x:c>
      <x:c r="E22" s="17" t="str">
        <x:v>budget</x:v>
      </x:c>
      <x:c r="F22" s="17" t="str">
        <x:v>no new constraint</x:v>
      </x:c>
      <x:c r="G22" s="17" t="str"/>
      <x:c r="H22" s="17" t="str">
        <x:v>I don't have an additional preference for budget.</x:v>
      </x:c>
      <x:c r="I22" s="17" t="str">
        <x:v>Override message occurs automatically on turn 3 or 4 before this reply when scheduled.</x:v>
      </x:c>
    </x:row>
    <x:row r="23">
      <x:c r="A23" t="str">
        <x:v>public_0002</x:v>
      </x:c>
      <x:c r="B23" t="str">
        <x:v>intent_override</x:v>
      </x:c>
      <x:c r="C23" t="str">
        <x:v>hard</x:v>
      </x:c>
      <x:c r="D23" s="17" t="str">
        <x:v>next ask before hit/override</x:v>
      </x:c>
      <x:c r="E23" s="17" t="str">
        <x:v>feature</x:v>
      </x:c>
      <x:c r="F23" s="17" t="str">
        <x:v>constraint revealed</x:v>
      </x:c>
      <x:c r="G23" s="17" t="str">
        <x:v>Imported | Buckle closure</x:v>
      </x:c>
      <x:c r="H23" s="17" t="str">
        <x:v>For that, what matters is: Imported; Buckle closure.</x:v>
      </x:c>
      <x:c r="I23" s="17" t="str">
        <x:v>Override message occurs automatically on turn 3 or 4 before this reply when scheduled.</x:v>
      </x:c>
    </x:row>
    <x:row r="24">
      <x:c r="A24" t="str">
        <x:v>public_0002</x:v>
      </x:c>
      <x:c r="B24" t="str">
        <x:v>intent_override</x:v>
      </x:c>
      <x:c r="C24" t="str">
        <x:v>hard</x:v>
      </x:c>
      <x:c r="D24" s="17" t="str">
        <x:v>next ask before hit/override</x:v>
      </x:c>
      <x:c r="E24" s="17" t="str">
        <x:v>use_case</x:v>
      </x:c>
      <x:c r="F24" s="17" t="str">
        <x:v>no new constraint</x:v>
      </x:c>
      <x:c r="G24" s="17" t="str"/>
      <x:c r="H24" s="17" t="str">
        <x:v>I don't have an additional preference for use_case.</x:v>
      </x:c>
      <x:c r="I24" s="17" t="str">
        <x:v>Override message occurs automatically on turn 3 or 4 before this reply when scheduled.</x:v>
      </x:c>
    </x:row>
    <x:row r="25">
      <x:c r="A25" t="str">
        <x:v>public_0002</x:v>
      </x:c>
      <x:c r="B25" t="str">
        <x:v>intent_override</x:v>
      </x:c>
      <x:c r="C25" t="str">
        <x:v>hard</x:v>
      </x:c>
      <x:c r="D25" s="17" t="str">
        <x:v>next ask before hit/override</x:v>
      </x:c>
      <x:c r="E25" s="17" t="str">
        <x:v>other</x:v>
      </x:c>
      <x:c r="F25" s="17" t="str">
        <x:v>constraint revealed</x:v>
      </x:c>
      <x:c r="G25" s="17" t="str">
        <x:v>leather | 100% Leather</x:v>
      </x:c>
      <x:c r="H25" s="17" t="str">
        <x:v>For that, what matters is: leather; 100% Leather.</x:v>
      </x:c>
      <x:c r="I25" s="17" t="str">
        <x:v>Override message occurs automatically on turn 3 or 4 before this reply when scheduled.</x:v>
      </x:c>
    </x:row>
    <x:row r="26">
      <x:c r="A26" t="str">
        <x:v>public_0002</x:v>
      </x:c>
      <x:c r="B26" t="str">
        <x:v>intent_override</x:v>
      </x:c>
      <x:c r="C26" t="str">
        <x:v>hard</x:v>
      </x:c>
      <x:c r="D26" s="17" t="str">
        <x:v>next ask before hit/override</x:v>
      </x:c>
      <x:c r="E26" s="17" t="str">
        <x:v>(no ask_attribute)</x:v>
      </x:c>
      <x:c r="F26" s="17" t="str">
        <x:v>agent did not ask</x:v>
      </x:c>
      <x:c r="G26" s="17" t="str"/>
      <x:c r="H26" s="17" t="str">
        <x:v>Those options are not quite right yet. Ask me about one specific attribute.</x:v>
      </x:c>
      <x:c r="I26" s="17" t="str">
        <x:v>Override message occurs automatically on turn 3 or 4 before this reply when scheduled.</x:v>
      </x:c>
    </x:row>
    <x:row r="27">
      <x:c r="A27" t="str">
        <x:v>public_0003</x:v>
      </x:c>
      <x:c r="B27" t="str">
        <x:v>intent_override</x:v>
      </x:c>
      <x:c r="C27" t="str">
        <x:v>hard</x:v>
      </x:c>
      <x:c r="D27" s="17" t="str">
        <x:v>next ask before hit/override</x:v>
      </x:c>
      <x:c r="E27" s="17" t="str">
        <x:v>category</x:v>
      </x:c>
      <x:c r="F27" s="17" t="str">
        <x:v>no new constraint</x:v>
      </x:c>
      <x:c r="G27" s="17" t="str"/>
      <x:c r="H27" s="17" t="str">
        <x:v>I don't have an additional preference for category.</x:v>
      </x:c>
      <x:c r="I27" s="17" t="str">
        <x:v>Override message occurs automatically on turn 3 or 4 before this reply when scheduled.</x:v>
      </x:c>
    </x:row>
    <x:row r="28">
      <x:c r="A28" t="str">
        <x:v>public_0003</x:v>
      </x:c>
      <x:c r="B28" t="str">
        <x:v>intent_override</x:v>
      </x:c>
      <x:c r="C28" t="str">
        <x:v>hard</x:v>
      </x:c>
      <x:c r="D28" s="17" t="str">
        <x:v>next ask before hit/override</x:v>
      </x:c>
      <x:c r="E28" s="17" t="str">
        <x:v>material</x:v>
      </x:c>
      <x:c r="F28" s="17" t="str">
        <x:v>no new constraint</x:v>
      </x:c>
      <x:c r="G28" s="17" t="str"/>
      <x:c r="H28" s="17" t="str">
        <x:v>I don't have an additional preference for material.</x:v>
      </x:c>
      <x:c r="I28" s="17" t="str">
        <x:v>Override message occurs automatically on turn 3 or 4 before this reply when scheduled.</x:v>
      </x:c>
    </x:row>
    <x:row r="29">
      <x:c r="A29" t="str">
        <x:v>public_0003</x:v>
      </x:c>
      <x:c r="B29" t="str">
        <x:v>intent_override</x:v>
      </x:c>
      <x:c r="C29" t="str">
        <x:v>hard</x:v>
      </x:c>
      <x:c r="D29" s="17" t="str">
        <x:v>next ask before hit/override</x:v>
      </x:c>
      <x:c r="E29" s="17" t="str">
        <x:v>color</x:v>
      </x:c>
      <x:c r="F29" s="17" t="str">
        <x:v>no new constraint</x:v>
      </x:c>
      <x:c r="G29" s="17" t="str"/>
      <x:c r="H29" s="17" t="str">
        <x:v>I don't have an additional preference for color.</x:v>
      </x:c>
      <x:c r="I29" s="17" t="str">
        <x:v>Override message occurs automatically on turn 3 or 4 before this reply when scheduled.</x:v>
      </x:c>
    </x:row>
    <x:row r="30">
      <x:c r="A30" t="str">
        <x:v>public_0003</x:v>
      </x:c>
      <x:c r="B30" t="str">
        <x:v>intent_override</x:v>
      </x:c>
      <x:c r="C30" t="str">
        <x:v>hard</x:v>
      </x:c>
      <x:c r="D30" s="17" t="str">
        <x:v>next ask before hit/override</x:v>
      </x:c>
      <x:c r="E30" s="17" t="str">
        <x:v>size</x:v>
      </x:c>
      <x:c r="F30" s="17" t="str">
        <x:v>no new constraint</x:v>
      </x:c>
      <x:c r="G30" s="17" t="str"/>
      <x:c r="H30" s="17" t="str">
        <x:v>I don't have an additional preference for size.</x:v>
      </x:c>
      <x:c r="I30" s="17" t="str">
        <x:v>Override message occurs automatically on turn 3 or 4 before this reply when scheduled.</x:v>
      </x:c>
    </x:row>
    <x:row r="31">
      <x:c r="A31" t="str">
        <x:v>public_0003</x:v>
      </x:c>
      <x:c r="B31" t="str">
        <x:v>intent_override</x:v>
      </x:c>
      <x:c r="C31" t="str">
        <x:v>hard</x:v>
      </x:c>
      <x:c r="D31" s="17" t="str">
        <x:v>next ask before hit/override</x:v>
      </x:c>
      <x:c r="E31" s="17" t="str">
        <x:v>style</x:v>
      </x:c>
      <x:c r="F31" s="17" t="str">
        <x:v>no new constraint</x:v>
      </x:c>
      <x:c r="G31" s="17" t="str"/>
      <x:c r="H31" s="17" t="str">
        <x:v>I don't have an additional preference for style.</x:v>
      </x:c>
      <x:c r="I31" s="17" t="str">
        <x:v>Override message occurs automatically on turn 3 or 4 before this reply when scheduled.</x:v>
      </x:c>
    </x:row>
    <x:row r="32">
      <x:c r="A32" t="str">
        <x:v>public_0003</x:v>
      </x:c>
      <x:c r="B32" t="str">
        <x:v>intent_override</x:v>
      </x:c>
      <x:c r="C32" t="str">
        <x:v>hard</x:v>
      </x:c>
      <x:c r="D32" s="17" t="str">
        <x:v>next ask before hit/override</x:v>
      </x:c>
      <x:c r="E32" s="17" t="str">
        <x:v>brand</x:v>
      </x:c>
      <x:c r="F32" s="17" t="str">
        <x:v>no new constraint</x:v>
      </x:c>
      <x:c r="G32" s="17" t="str"/>
      <x:c r="H32" s="17" t="str">
        <x:v>I don't have an additional preference for brand.</x:v>
      </x:c>
      <x:c r="I32" s="17" t="str">
        <x:v>Override message occurs automatically on turn 3 or 4 before this reply when scheduled.</x:v>
      </x:c>
    </x:row>
    <x:row r="33">
      <x:c r="A33" t="str">
        <x:v>public_0003</x:v>
      </x:c>
      <x:c r="B33" t="str">
        <x:v>intent_override</x:v>
      </x:c>
      <x:c r="C33" t="str">
        <x:v>hard</x:v>
      </x:c>
      <x:c r="D33" s="17" t="str">
        <x:v>next ask before hit/override</x:v>
      </x:c>
      <x:c r="E33" s="17" t="str">
        <x:v>budget</x:v>
      </x:c>
      <x:c r="F33" s="17" t="str">
        <x:v>no new constraint</x:v>
      </x:c>
      <x:c r="G33" s="17" t="str"/>
      <x:c r="H33" s="17" t="str">
        <x:v>I don't have an additional preference for budget.</x:v>
      </x:c>
      <x:c r="I33" s="17" t="str">
        <x:v>Override message occurs automatically on turn 3 or 4 before this reply when scheduled.</x:v>
      </x:c>
    </x:row>
    <x:row r="34">
      <x:c r="A34" t="str">
        <x:v>public_0003</x:v>
      </x:c>
      <x:c r="B34" t="str">
        <x:v>intent_override</x:v>
      </x:c>
      <x:c r="C34" t="str">
        <x:v>hard</x:v>
      </x:c>
      <x:c r="D34" s="17" t="str">
        <x:v>next ask before hit/override</x:v>
      </x:c>
      <x:c r="E34" s="17" t="str">
        <x:v>feature</x:v>
      </x:c>
      <x:c r="F34" s="17" t="str">
        <x:v>constraint revealed</x:v>
      </x:c>
      <x:c r="G34" s="17" t="str">
        <x:v>Water Resistant | 3 Year Battery</x:v>
      </x:c>
      <x:c r="H34" s="17" t="str">
        <x:v>For that, what matters is: Water Resistant; 3 Year Battery.</x:v>
      </x:c>
      <x:c r="I34" s="17" t="str">
        <x:v>Override message occurs automatically on turn 3 or 4 before this reply when scheduled.</x:v>
      </x:c>
    </x:row>
    <x:row r="35">
      <x:c r="A35" t="str">
        <x:v>public_0003</x:v>
      </x:c>
      <x:c r="B35" t="str">
        <x:v>intent_override</x:v>
      </x:c>
      <x:c r="C35" t="str">
        <x:v>hard</x:v>
      </x:c>
      <x:c r="D35" s="17" t="str">
        <x:v>next ask before hit/override</x:v>
      </x:c>
      <x:c r="E35" s="17" t="str">
        <x:v>use_case</x:v>
      </x:c>
      <x:c r="F35" s="17" t="str">
        <x:v>no new constraint</x:v>
      </x:c>
      <x:c r="G35" s="17" t="str"/>
      <x:c r="H35" s="17" t="str">
        <x:v>I don't have an additional preference for use_case.</x:v>
      </x:c>
      <x:c r="I35" s="17" t="str">
        <x:v>Override message occurs automatically on turn 3 or 4 before this reply when scheduled.</x:v>
      </x:c>
    </x:row>
    <x:row r="36">
      <x:c r="A36" t="str">
        <x:v>public_0003</x:v>
      </x:c>
      <x:c r="B36" t="str">
        <x:v>intent_override</x:v>
      </x:c>
      <x:c r="C36" t="str">
        <x:v>hard</x:v>
      </x:c>
      <x:c r="D36" s="17" t="str">
        <x:v>next ask before hit/override</x:v>
      </x:c>
      <x:c r="E36" s="17" t="str">
        <x:v>other</x:v>
      </x:c>
      <x:c r="F36" s="17" t="str">
        <x:v>constraint revealed</x:v>
      </x:c>
      <x:c r="G36" s="17" t="str">
        <x:v>Water Resistant | 3 Year Battery</x:v>
      </x:c>
      <x:c r="H36" s="17" t="str">
        <x:v>For that, what matters is: Water Resistant; 3 Year Battery.</x:v>
      </x:c>
      <x:c r="I36" s="17" t="str">
        <x:v>Override message occurs automatically on turn 3 or 4 before this reply when scheduled.</x:v>
      </x:c>
    </x:row>
    <x:row r="37">
      <x:c r="A37" t="str">
        <x:v>public_0003</x:v>
      </x:c>
      <x:c r="B37" t="str">
        <x:v>intent_override</x:v>
      </x:c>
      <x:c r="C37" t="str">
        <x:v>hard</x:v>
      </x:c>
      <x:c r="D37" s="17" t="str">
        <x:v>next ask before hit/override</x:v>
      </x:c>
      <x:c r="E37" s="17" t="str">
        <x:v>(no ask_attribute)</x:v>
      </x:c>
      <x:c r="F37" s="17" t="str">
        <x:v>agent did not ask</x:v>
      </x:c>
      <x:c r="G37" s="17" t="str"/>
      <x:c r="H37" s="17" t="str">
        <x:v>Those options are not quite right yet. Ask me about one specific attribute.</x:v>
      </x:c>
      <x:c r="I37" s="17" t="str">
        <x:v>Override message occurs automatically on turn 3 or 4 before this reply when scheduled.</x:v>
      </x:c>
    </x:row>
    <x:row r="38">
      <x:c r="A38" t="str">
        <x:v>public_0004</x:v>
      </x:c>
      <x:c r="B38" t="str">
        <x:v>intent_override</x:v>
      </x:c>
      <x:c r="C38" t="str">
        <x:v>hard</x:v>
      </x:c>
      <x:c r="D38" s="17" t="str">
        <x:v>next ask before hit/override</x:v>
      </x:c>
      <x:c r="E38" s="17" t="str">
        <x:v>category</x:v>
      </x:c>
      <x:c r="F38" s="17" t="str">
        <x:v>no new constraint</x:v>
      </x:c>
      <x:c r="G38" s="17" t="str"/>
      <x:c r="H38" s="17" t="str">
        <x:v>I don't have an additional preference for category.</x:v>
      </x:c>
      <x:c r="I38" s="17" t="str">
        <x:v>Override message occurs automatically on turn 3 or 4 before this reply when scheduled.</x:v>
      </x:c>
    </x:row>
    <x:row r="39">
      <x:c r="A39" t="str">
        <x:v>public_0004</x:v>
      </x:c>
      <x:c r="B39" t="str">
        <x:v>intent_override</x:v>
      </x:c>
      <x:c r="C39" t="str">
        <x:v>hard</x:v>
      </x:c>
      <x:c r="D39" s="17" t="str">
        <x:v>next ask before hit/override</x:v>
      </x:c>
      <x:c r="E39" s="17" t="str">
        <x:v>material</x:v>
      </x:c>
      <x:c r="F39" s="17" t="str">
        <x:v>constraint revealed</x:v>
      </x:c>
      <x:c r="G39" s="17" t="str">
        <x:v>polyester | Polyester,Cotton,Spandex</x:v>
      </x:c>
      <x:c r="H39" s="17" t="str">
        <x:v>For that, what matters is: polyester; Polyester,Cotton,Spandex.</x:v>
      </x:c>
      <x:c r="I39" s="17" t="str">
        <x:v>Override message occurs automatically on turn 3 or 4 before this reply when scheduled.</x:v>
      </x:c>
    </x:row>
    <x:row r="40">
      <x:c r="A40" t="str">
        <x:v>public_0004</x:v>
      </x:c>
      <x:c r="B40" t="str">
        <x:v>intent_override</x:v>
      </x:c>
      <x:c r="C40" t="str">
        <x:v>hard</x:v>
      </x:c>
      <x:c r="D40" s="17" t="str">
        <x:v>next ask before hit/override</x:v>
      </x:c>
      <x:c r="E40" s="17" t="str">
        <x:v>color</x:v>
      </x:c>
      <x:c r="F40" s="17" t="str">
        <x:v>no new constraint</x:v>
      </x:c>
      <x:c r="G40" s="17" t="str"/>
      <x:c r="H40" s="17" t="str">
        <x:v>I don't have an additional preference for color.</x:v>
      </x:c>
      <x:c r="I40" s="17" t="str">
        <x:v>Override message occurs automatically on turn 3 or 4 before this reply when scheduled.</x:v>
      </x:c>
    </x:row>
    <x:row r="41">
      <x:c r="A41" t="str">
        <x:v>public_0004</x:v>
      </x:c>
      <x:c r="B41" t="str">
        <x:v>intent_override</x:v>
      </x:c>
      <x:c r="C41" t="str">
        <x:v>hard</x:v>
      </x:c>
      <x:c r="D41" s="17" t="str">
        <x:v>next ask before hit/override</x:v>
      </x:c>
      <x:c r="E41" s="17" t="str">
        <x:v>size</x:v>
      </x:c>
      <x:c r="F41" s="17" t="str">
        <x:v>no new constraint</x:v>
      </x:c>
      <x:c r="G41" s="17" t="str"/>
      <x:c r="H41" s="17" t="str">
        <x:v>I don't have an additional preference for size.</x:v>
      </x:c>
      <x:c r="I41" s="17" t="str">
        <x:v>Override message occurs automatically on turn 3 or 4 before this reply when scheduled.</x:v>
      </x:c>
    </x:row>
    <x:row r="42">
      <x:c r="A42" t="str">
        <x:v>public_0004</x:v>
      </x:c>
      <x:c r="B42" t="str">
        <x:v>intent_override</x:v>
      </x:c>
      <x:c r="C42" t="str">
        <x:v>hard</x:v>
      </x:c>
      <x:c r="D42" s="17" t="str">
        <x:v>next ask before hit/override</x:v>
      </x:c>
      <x:c r="E42" s="17" t="str">
        <x:v>style</x:v>
      </x:c>
      <x:c r="F42" s="17" t="str">
        <x:v>constraint revealed</x:v>
      </x:c>
      <x:c r="G42" s="17" t="str">
        <x:v>Long torso camisole for extra coverage with spagetti adjustable strap for perfect fit</x:v>
      </x:c>
      <x:c r="H42" s="17" t="str">
        <x:v>For that, what matters is: Long torso camisole for extra coverage with spagetti adjustable strap for perfect fit.</x:v>
      </x:c>
      <x:c r="I42" s="17" t="str">
        <x:v>Override message occurs automatically on turn 3 or 4 before this reply when scheduled.</x:v>
      </x:c>
    </x:row>
    <x:row r="43">
      <x:c r="A43" t="str">
        <x:v>public_0004</x:v>
      </x:c>
      <x:c r="B43" t="str">
        <x:v>intent_override</x:v>
      </x:c>
      <x:c r="C43" t="str">
        <x:v>hard</x:v>
      </x:c>
      <x:c r="D43" s="17" t="str">
        <x:v>next ask before hit/override</x:v>
      </x:c>
      <x:c r="E43" s="17" t="str">
        <x:v>brand</x:v>
      </x:c>
      <x:c r="F43" s="17" t="str">
        <x:v>no new constraint</x:v>
      </x:c>
      <x:c r="G43" s="17" t="str"/>
      <x:c r="H43" s="17" t="str">
        <x:v>I don't have an additional preference for brand.</x:v>
      </x:c>
      <x:c r="I43" s="17" t="str">
        <x:v>Override message occurs automatically on turn 3 or 4 before this reply when scheduled.</x:v>
      </x:c>
    </x:row>
    <x:row r="44">
      <x:c r="A44" t="str">
        <x:v>public_0004</x:v>
      </x:c>
      <x:c r="B44" t="str">
        <x:v>intent_override</x:v>
      </x:c>
      <x:c r="C44" t="str">
        <x:v>hard</x:v>
      </x:c>
      <x:c r="D44" s="17" t="str">
        <x:v>next ask before hit/override</x:v>
      </x:c>
      <x:c r="E44" s="17" t="str">
        <x:v>budget</x:v>
      </x:c>
      <x:c r="F44" s="17" t="str">
        <x:v>no new constraint</x:v>
      </x:c>
      <x:c r="G44" s="17" t="str"/>
      <x:c r="H44" s="17" t="str">
        <x:v>I don't have an additional preference for budget.</x:v>
      </x:c>
      <x:c r="I44" s="17" t="str">
        <x:v>Override message occurs automatically on turn 3 or 4 before this reply when scheduled.</x:v>
      </x:c>
    </x:row>
    <x:row r="45">
      <x:c r="A45" t="str">
        <x:v>public_0004</x:v>
      </x:c>
      <x:c r="B45" t="str">
        <x:v>intent_override</x:v>
      </x:c>
      <x:c r="C45" t="str">
        <x:v>hard</x:v>
      </x:c>
      <x:c r="D45" s="17" t="str">
        <x:v>next ask before hit/override</x:v>
      </x:c>
      <x:c r="E45" s="17" t="str">
        <x:v>feature</x:v>
      </x:c>
      <x:c r="F45" s="17" t="str">
        <x:v>no new constraint</x:v>
      </x:c>
      <x:c r="G45" s="17" t="str"/>
      <x:c r="H45" s="17" t="str">
        <x:v>I don't have an additional preference for feature.</x:v>
      </x:c>
      <x:c r="I45" s="17" t="str">
        <x:v>Override message occurs automatically on turn 3 or 4 before this reply when scheduled.</x:v>
      </x:c>
    </x:row>
    <x:row r="46">
      <x:c r="A46" t="str">
        <x:v>public_0004</x:v>
      </x:c>
      <x:c r="B46" t="str">
        <x:v>intent_override</x:v>
      </x:c>
      <x:c r="C46" t="str">
        <x:v>hard</x:v>
      </x:c>
      <x:c r="D46" s="17" t="str">
        <x:v>next ask before hit/override</x:v>
      </x:c>
      <x:c r="E46" s="17" t="str">
        <x:v>use_case</x:v>
      </x:c>
      <x:c r="F46" s="17" t="str">
        <x:v>no new constraint</x:v>
      </x:c>
      <x:c r="G46" s="17" t="str"/>
      <x:c r="H46" s="17" t="str">
        <x:v>I don't have an additional preference for use_case.</x:v>
      </x:c>
      <x:c r="I46" s="17" t="str">
        <x:v>Override message occurs automatically on turn 3 or 4 before this reply when scheduled.</x:v>
      </x:c>
    </x:row>
    <x:row r="47">
      <x:c r="A47" t="str">
        <x:v>public_0004</x:v>
      </x:c>
      <x:c r="B47" t="str">
        <x:v>intent_override</x:v>
      </x:c>
      <x:c r="C47" t="str">
        <x:v>hard</x:v>
      </x:c>
      <x:c r="D47" s="17" t="str">
        <x:v>next ask before hit/override</x:v>
      </x:c>
      <x:c r="E47" s="17" t="str">
        <x:v>other</x:v>
      </x:c>
      <x:c r="F47" s="17" t="str">
        <x:v>constraint revealed</x:v>
      </x:c>
      <x:c r="G47" s="17" t="str">
        <x:v>polyester | Polyester,Cotton,Spandex</x:v>
      </x:c>
      <x:c r="H47" s="17" t="str">
        <x:v>For that, what matters is: polyester; Polyester,Cotton,Spandex.</x:v>
      </x:c>
      <x:c r="I47" s="17" t="str">
        <x:v>Override message occurs automatically on turn 3 or 4 before this reply when scheduled.</x:v>
      </x:c>
    </x:row>
    <x:row r="48">
      <x:c r="A48" t="str">
        <x:v>public_0004</x:v>
      </x:c>
      <x:c r="B48" t="str">
        <x:v>intent_override</x:v>
      </x:c>
      <x:c r="C48" t="str">
        <x:v>hard</x:v>
      </x:c>
      <x:c r="D48" s="17" t="str">
        <x:v>next ask before hit/override</x:v>
      </x:c>
      <x:c r="E48" s="17" t="str">
        <x:v>(no ask_attribute)</x:v>
      </x:c>
      <x:c r="F48" s="17" t="str">
        <x:v>agent did not ask</x:v>
      </x:c>
      <x:c r="G48" s="17" t="str"/>
      <x:c r="H48" s="17" t="str">
        <x:v>Those options are not quite right yet. Ask me about one specific attribute.</x:v>
      </x:c>
      <x:c r="I48" s="17" t="str">
        <x:v>Override message occurs automatically on turn 3 or 4 before this reply when scheduled.</x:v>
      </x:c>
    </x:row>
    <x:row r="49">
      <x:c r="A49" t="str">
        <x:v>public_0005</x:v>
      </x:c>
      <x:c r="B49" t="str">
        <x:v>buying</x:v>
      </x:c>
      <x:c r="C49" t="str">
        <x:v>easy</x:v>
      </x:c>
      <x:c r="D49" s="17" t="str">
        <x:v>next ask before hit/override</x:v>
      </x:c>
      <x:c r="E49" s="17" t="str">
        <x:v>category</x:v>
      </x:c>
      <x:c r="F49" s="17" t="str">
        <x:v>no new constraint</x:v>
      </x:c>
      <x:c r="G49" s="17" t="str"/>
      <x:c r="H49" s="17" t="str">
        <x:v>I don't have an additional preference for category.</x:v>
      </x:c>
      <x:c r="I49" s="17" t="str"/>
    </x:row>
    <x:row r="50">
      <x:c r="A50" t="str">
        <x:v>public_0005</x:v>
      </x:c>
      <x:c r="B50" t="str">
        <x:v>buying</x:v>
      </x:c>
      <x:c r="C50" t="str">
        <x:v>easy</x:v>
      </x:c>
      <x:c r="D50" s="17" t="str">
        <x:v>next ask before hit/override</x:v>
      </x:c>
      <x:c r="E50" s="17" t="str">
        <x:v>material</x:v>
      </x:c>
      <x:c r="F50" s="17" t="str">
        <x:v>no new constraint</x:v>
      </x:c>
      <x:c r="G50" s="17" t="str"/>
      <x:c r="H50" s="17" t="str">
        <x:v>I don't have an additional preference for material.</x:v>
      </x:c>
      <x:c r="I50" s="17" t="str"/>
    </x:row>
    <x:row r="51">
      <x:c r="A51" t="str">
        <x:v>public_0005</x:v>
      </x:c>
      <x:c r="B51" t="str">
        <x:v>buying</x:v>
      </x:c>
      <x:c r="C51" t="str">
        <x:v>easy</x:v>
      </x:c>
      <x:c r="D51" s="17" t="str">
        <x:v>next ask before hit/override</x:v>
      </x:c>
      <x:c r="E51" s="17" t="str">
        <x:v>color</x:v>
      </x:c>
      <x:c r="F51" s="17" t="str">
        <x:v>no new constraint</x:v>
      </x:c>
      <x:c r="G51" s="17" t="str"/>
      <x:c r="H51" s="17" t="str">
        <x:v>I don't have an additional preference for color.</x:v>
      </x:c>
      <x:c r="I51" s="17" t="str"/>
    </x:row>
    <x:row r="52">
      <x:c r="A52" t="str">
        <x:v>public_0005</x:v>
      </x:c>
      <x:c r="B52" t="str">
        <x:v>buying</x:v>
      </x:c>
      <x:c r="C52" t="str">
        <x:v>easy</x:v>
      </x:c>
      <x:c r="D52" s="17" t="str">
        <x:v>next ask before hit/override</x:v>
      </x:c>
      <x:c r="E52" s="17" t="str">
        <x:v>size</x:v>
      </x:c>
      <x:c r="F52" s="17" t="str">
        <x:v>no new constraint</x:v>
      </x:c>
      <x:c r="G52" s="17" t="str"/>
      <x:c r="H52" s="17" t="str">
        <x:v>I don't have an additional preference for size.</x:v>
      </x:c>
      <x:c r="I52" s="17" t="str"/>
    </x:row>
    <x:row r="53">
      <x:c r="A53" t="str">
        <x:v>public_0005</x:v>
      </x:c>
      <x:c r="B53" t="str">
        <x:v>buying</x:v>
      </x:c>
      <x:c r="C53" t="str">
        <x:v>easy</x:v>
      </x:c>
      <x:c r="D53" s="17" t="str">
        <x:v>next ask before hit/override</x:v>
      </x:c>
      <x:c r="E53" s="17" t="str">
        <x:v>style</x:v>
      </x:c>
      <x:c r="F53" s="17" t="str">
        <x:v>no new constraint</x:v>
      </x:c>
      <x:c r="G53" s="17" t="str"/>
      <x:c r="H53" s="17" t="str">
        <x:v>I don't have an additional preference for style.</x:v>
      </x:c>
      <x:c r="I53" s="17" t="str"/>
    </x:row>
    <x:row r="54">
      <x:c r="A54" t="str">
        <x:v>public_0005</x:v>
      </x:c>
      <x:c r="B54" t="str">
        <x:v>buying</x:v>
      </x:c>
      <x:c r="C54" t="str">
        <x:v>easy</x:v>
      </x:c>
      <x:c r="D54" s="17" t="str">
        <x:v>next ask before hit/override</x:v>
      </x:c>
      <x:c r="E54" s="17" t="str">
        <x:v>brand</x:v>
      </x:c>
      <x:c r="F54" s="17" t="str">
        <x:v>no new constraint</x:v>
      </x:c>
      <x:c r="G54" s="17" t="str"/>
      <x:c r="H54" s="17" t="str">
        <x:v>I don't have an additional preference for brand.</x:v>
      </x:c>
      <x:c r="I54" s="17" t="str"/>
    </x:row>
    <x:row r="55">
      <x:c r="A55" t="str">
        <x:v>public_0005</x:v>
      </x:c>
      <x:c r="B55" t="str">
        <x:v>buying</x:v>
      </x:c>
      <x:c r="C55" t="str">
        <x:v>easy</x:v>
      </x:c>
      <x:c r="D55" s="17" t="str">
        <x:v>next ask before hit/override</x:v>
      </x:c>
      <x:c r="E55" s="17" t="str">
        <x:v>budget</x:v>
      </x:c>
      <x:c r="F55" s="17" t="str">
        <x:v>no new constraint</x:v>
      </x:c>
      <x:c r="G55" s="17" t="str"/>
      <x:c r="H55" s="17" t="str">
        <x:v>I don't have an additional preference for budget.</x:v>
      </x:c>
      <x:c r="I55" s="17" t="str"/>
    </x:row>
    <x:row r="56">
      <x:c r="A56" t="str">
        <x:v>public_0005</x:v>
      </x:c>
      <x:c r="B56" t="str">
        <x:v>buying</x:v>
      </x:c>
      <x:c r="C56" t="str">
        <x:v>easy</x:v>
      </x:c>
      <x:c r="D56" s="17" t="str">
        <x:v>next ask before hit/override</x:v>
      </x:c>
      <x:c r="E56" s="17" t="str">
        <x:v>feature</x:v>
      </x:c>
      <x:c r="F56" s="17" t="str">
        <x:v>constraint revealed</x:v>
      </x:c>
      <x:c r="G56" s="17" t="str">
        <x:v>Rubber sole | Shaft measures approximately 8.37" from arch</x:v>
      </x:c>
      <x:c r="H56" s="17" t="str">
        <x:v>For that, what matters is: Rubber sole; Shaft measures approximately 8.37" from arch.</x:v>
      </x:c>
      <x:c r="I56" s="17" t="str"/>
    </x:row>
    <x:row r="57">
      <x:c r="A57" t="str">
        <x:v>public_0005</x:v>
      </x:c>
      <x:c r="B57" t="str">
        <x:v>buying</x:v>
      </x:c>
      <x:c r="C57" t="str">
        <x:v>easy</x:v>
      </x:c>
      <x:c r="D57" s="17" t="str">
        <x:v>next ask before hit/override</x:v>
      </x:c>
      <x:c r="E57" s="17" t="str">
        <x:v>use_case</x:v>
      </x:c>
      <x:c r="F57" s="17" t="str">
        <x:v>constraint revealed</x:v>
      </x:c>
      <x:c r="G57" s="17" t="str">
        <x:v>Warm And Comfortable Women’s Winter Boots: These Women Winter Boots Featuring Thermolite Insulation Rated To -15F. Fully Lined With Soft Faux Fur To Keep The Feet Warm All Day Long</x:v>
      </x:c>
      <x:c r="H57" s="17" t="str">
        <x:v>For that, what matters is: Warm And Comfortable Women’s Winter Boots: These Women Winter Boots Featuring Thermolite Insulation Rated To -15F. Fully Lined With Soft Faux Fur To Keep The Feet Warm All Day Long.</x:v>
      </x:c>
      <x:c r="I57" s="17" t="str"/>
    </x:row>
    <x:row r="58">
      <x:c r="A58" t="str">
        <x:v>public_0005</x:v>
      </x:c>
      <x:c r="B58" t="str">
        <x:v>buying</x:v>
      </x:c>
      <x:c r="C58" t="str">
        <x:v>easy</x:v>
      </x:c>
      <x:c r="D58" s="17" t="str">
        <x:v>next ask before hit/override</x:v>
      </x:c>
      <x:c r="E58" s="17" t="str">
        <x:v>other</x:v>
      </x:c>
      <x:c r="F58" s="17" t="str">
        <x:v>constraint revealed</x:v>
      </x:c>
      <x:c r="G58" s="17" t="str">
        <x:v>Rubber sole | Shaft measures approximately 8.37" from arch</x:v>
      </x:c>
      <x:c r="H58" s="17" t="str">
        <x:v>For that, what matters is: Rubber sole; Shaft measures approximately 8.37" from arch.</x:v>
      </x:c>
      <x:c r="I58" s="17" t="str"/>
    </x:row>
    <x:row r="59">
      <x:c r="A59" t="str">
        <x:v>public_0005</x:v>
      </x:c>
      <x:c r="B59" t="str">
        <x:v>buying</x:v>
      </x:c>
      <x:c r="C59" t="str">
        <x:v>easy</x:v>
      </x:c>
      <x:c r="D59" s="17" t="str">
        <x:v>next ask before hit/override</x:v>
      </x:c>
      <x:c r="E59" s="17" t="str">
        <x:v>(no ask_attribute)</x:v>
      </x:c>
      <x:c r="F59" s="17" t="str">
        <x:v>agent did not ask</x:v>
      </x:c>
      <x:c r="G59" s="17" t="str"/>
      <x:c r="H59" s="17" t="str">
        <x:v>Those options are not quite right yet. Ask me about one specific attribute.</x:v>
      </x:c>
      <x:c r="I59" s="17" t="str"/>
    </x:row>
    <x:row r="60">
      <x:c r="A60" t="str">
        <x:v>public_0006</x:v>
      </x:c>
      <x:c r="B60" t="str">
        <x:v>browsing</x:v>
      </x:c>
      <x:c r="C60" t="str">
        <x:v>medium</x:v>
      </x:c>
      <x:c r="D60" s="17" t="str">
        <x:v>next ask before hit/override</x:v>
      </x:c>
      <x:c r="E60" s="17" t="str">
        <x:v>category</x:v>
      </x:c>
      <x:c r="F60" s="17" t="str">
        <x:v>no new constraint</x:v>
      </x:c>
      <x:c r="G60" s="17" t="str"/>
      <x:c r="H60" s="17" t="str">
        <x:v>I don't have an additional preference for category.</x:v>
      </x:c>
      <x:c r="I60" s="17" t="str"/>
    </x:row>
    <x:row r="61">
      <x:c r="A61" t="str">
        <x:v>public_0006</x:v>
      </x:c>
      <x:c r="B61" t="str">
        <x:v>browsing</x:v>
      </x:c>
      <x:c r="C61" t="str">
        <x:v>medium</x:v>
      </x:c>
      <x:c r="D61" s="17" t="str">
        <x:v>next ask before hit/override</x:v>
      </x:c>
      <x:c r="E61" s="17" t="str">
        <x:v>material</x:v>
      </x:c>
      <x:c r="F61" s="17" t="str">
        <x:v>constraint revealed</x:v>
      </x:c>
      <x:c r="G61" s="17" t="str">
        <x:v>polyester | 100% Polyester</x:v>
      </x:c>
      <x:c r="H61" s="17" t="str">
        <x:v>For that, what matters is: polyester; 100% Polyester.</x:v>
      </x:c>
      <x:c r="I61" s="17" t="str"/>
    </x:row>
    <x:row r="62">
      <x:c r="A62" t="str">
        <x:v>public_0006</x:v>
      </x:c>
      <x:c r="B62" t="str">
        <x:v>browsing</x:v>
      </x:c>
      <x:c r="C62" t="str">
        <x:v>medium</x:v>
      </x:c>
      <x:c r="D62" s="17" t="str">
        <x:v>next ask before hit/override</x:v>
      </x:c>
      <x:c r="E62" s="17" t="str">
        <x:v>color</x:v>
      </x:c>
      <x:c r="F62" s="17" t="str">
        <x:v>no new constraint</x:v>
      </x:c>
      <x:c r="G62" s="17" t="str"/>
      <x:c r="H62" s="17" t="str">
        <x:v>I don't have an additional preference for color.</x:v>
      </x:c>
      <x:c r="I62" s="17" t="str"/>
    </x:row>
    <x:row r="63">
      <x:c r="A63" t="str">
        <x:v>public_0006</x:v>
      </x:c>
      <x:c r="B63" t="str">
        <x:v>browsing</x:v>
      </x:c>
      <x:c r="C63" t="str">
        <x:v>medium</x:v>
      </x:c>
      <x:c r="D63" s="17" t="str">
        <x:v>next ask before hit/override</x:v>
      </x:c>
      <x:c r="E63" s="17" t="str">
        <x:v>size</x:v>
      </x:c>
      <x:c r="F63" s="17" t="str">
        <x:v>no new constraint</x:v>
      </x:c>
      <x:c r="G63" s="17" t="str"/>
      <x:c r="H63" s="17" t="str">
        <x:v>I don't have an additional preference for size.</x:v>
      </x:c>
      <x:c r="I63" s="17" t="str"/>
    </x:row>
    <x:row r="64">
      <x:c r="A64" t="str">
        <x:v>public_0006</x:v>
      </x:c>
      <x:c r="B64" t="str">
        <x:v>browsing</x:v>
      </x:c>
      <x:c r="C64" t="str">
        <x:v>medium</x:v>
      </x:c>
      <x:c r="D64" s="17" t="str">
        <x:v>next ask before hit/override</x:v>
      </x:c>
      <x:c r="E64" s="17" t="str">
        <x:v>style</x:v>
      </x:c>
      <x:c r="F64" s="17" t="str">
        <x:v>no new constraint</x:v>
      </x:c>
      <x:c r="G64" s="17" t="str"/>
      <x:c r="H64" s="17" t="str">
        <x:v>I don't have an additional preference for style.</x:v>
      </x:c>
      <x:c r="I64" s="17" t="str"/>
    </x:row>
    <x:row r="65">
      <x:c r="A65" t="str">
        <x:v>public_0006</x:v>
      </x:c>
      <x:c r="B65" t="str">
        <x:v>browsing</x:v>
      </x:c>
      <x:c r="C65" t="str">
        <x:v>medium</x:v>
      </x:c>
      <x:c r="D65" s="17" t="str">
        <x:v>next ask before hit/override</x:v>
      </x:c>
      <x:c r="E65" s="17" t="str">
        <x:v>brand</x:v>
      </x:c>
      <x:c r="F65" s="17" t="str">
        <x:v>no new constraint</x:v>
      </x:c>
      <x:c r="G65" s="17" t="str"/>
      <x:c r="H65" s="17" t="str">
        <x:v>I don't have an additional preference for brand.</x:v>
      </x:c>
      <x:c r="I65" s="17" t="str"/>
    </x:row>
    <x:row r="66">
      <x:c r="A66" t="str">
        <x:v>public_0006</x:v>
      </x:c>
      <x:c r="B66" t="str">
        <x:v>browsing</x:v>
      </x:c>
      <x:c r="C66" t="str">
        <x:v>medium</x:v>
      </x:c>
      <x:c r="D66" s="17" t="str">
        <x:v>next ask before hit/override</x:v>
      </x:c>
      <x:c r="E66" s="17" t="str">
        <x:v>budget</x:v>
      </x:c>
      <x:c r="F66" s="17" t="str">
        <x:v>no new constraint</x:v>
      </x:c>
      <x:c r="G66" s="17" t="str"/>
      <x:c r="H66" s="17" t="str">
        <x:v>I don't have an additional preference for budget.</x:v>
      </x:c>
      <x:c r="I66" s="17" t="str"/>
    </x:row>
    <x:row r="67">
      <x:c r="A67" t="str">
        <x:v>public_0006</x:v>
      </x:c>
      <x:c r="B67" t="str">
        <x:v>browsing</x:v>
      </x:c>
      <x:c r="C67" t="str">
        <x:v>medium</x:v>
      </x:c>
      <x:c r="D67" s="17" t="str">
        <x:v>next ask before hit/override</x:v>
      </x:c>
      <x:c r="E67" s="17" t="str">
        <x:v>feature</x:v>
      </x:c>
      <x:c r="F67" s="17" t="str">
        <x:v>constraint revealed</x:v>
      </x:c>
      <x:c r="G67" s="17" t="str">
        <x:v>Drawstring closure | High quality mesh for maximum breathability to keep you cool</x:v>
      </x:c>
      <x:c r="H67" s="17" t="str">
        <x:v>For that, what matters is: Drawstring closure; High quality mesh for maximum breathability to keep you cool.</x:v>
      </x:c>
      <x:c r="I67" s="17" t="str"/>
    </x:row>
    <x:row r="68">
      <x:c r="A68" t="str">
        <x:v>public_0006</x:v>
      </x:c>
      <x:c r="B68" t="str">
        <x:v>browsing</x:v>
      </x:c>
      <x:c r="C68" t="str">
        <x:v>medium</x:v>
      </x:c>
      <x:c r="D68" s="17" t="str">
        <x:v>next ask before hit/override</x:v>
      </x:c>
      <x:c r="E68" s="17" t="str">
        <x:v>use_case</x:v>
      </x:c>
      <x:c r="F68" s="17" t="str">
        <x:v>no new constraint</x:v>
      </x:c>
      <x:c r="G68" s="17" t="str"/>
      <x:c r="H68" s="17" t="str">
        <x:v>I don't have an additional preference for use_case.</x:v>
      </x:c>
      <x:c r="I68" s="17" t="str"/>
    </x:row>
    <x:row r="69">
      <x:c r="A69" t="str">
        <x:v>public_0006</x:v>
      </x:c>
      <x:c r="B69" t="str">
        <x:v>browsing</x:v>
      </x:c>
      <x:c r="C69" t="str">
        <x:v>medium</x:v>
      </x:c>
      <x:c r="D69" s="17" t="str">
        <x:v>next ask before hit/override</x:v>
      </x:c>
      <x:c r="E69" s="17" t="str">
        <x:v>other</x:v>
      </x:c>
      <x:c r="F69" s="17" t="str">
        <x:v>constraint revealed</x:v>
      </x:c>
      <x:c r="G69" s="17" t="str">
        <x:v>polyester | 100% Polyester</x:v>
      </x:c>
      <x:c r="H69" s="17" t="str">
        <x:v>For that, what matters is: polyester; 100% Polyester.</x:v>
      </x:c>
      <x:c r="I69" s="17" t="str"/>
    </x:row>
    <x:row r="70">
      <x:c r="A70" t="str">
        <x:v>public_0006</x:v>
      </x:c>
      <x:c r="B70" t="str">
        <x:v>browsing</x:v>
      </x:c>
      <x:c r="C70" t="str">
        <x:v>medium</x:v>
      </x:c>
      <x:c r="D70" s="17" t="str">
        <x:v>next ask before hit/override</x:v>
      </x:c>
      <x:c r="E70" s="17" t="str">
        <x:v>(no ask_attribute)</x:v>
      </x:c>
      <x:c r="F70" s="17" t="str">
        <x:v>agent did not ask</x:v>
      </x:c>
      <x:c r="G70" s="17" t="str"/>
      <x:c r="H70" s="17" t="str">
        <x:v>Those options are not quite right yet. Ask me about one specific attribute.</x:v>
      </x:c>
      <x:c r="I70" s="17" t="str"/>
    </x:row>
    <x:row r="71">
      <x:c r="A71" t="str">
        <x:v>public_0007</x:v>
      </x:c>
      <x:c r="B71" t="str">
        <x:v>browsing</x:v>
      </x:c>
      <x:c r="C71" t="str">
        <x:v>medium</x:v>
      </x:c>
      <x:c r="D71" s="17" t="str">
        <x:v>next ask before hit/override</x:v>
      </x:c>
      <x:c r="E71" s="17" t="str">
        <x:v>category</x:v>
      </x:c>
      <x:c r="F71" s="17" t="str">
        <x:v>no new constraint</x:v>
      </x:c>
      <x:c r="G71" s="17" t="str"/>
      <x:c r="H71" s="17" t="str">
        <x:v>I don't have an additional preference for category.</x:v>
      </x:c>
      <x:c r="I71" s="17" t="str"/>
    </x:row>
    <x:row r="72">
      <x:c r="A72" t="str">
        <x:v>public_0007</x:v>
      </x:c>
      <x:c r="B72" t="str">
        <x:v>browsing</x:v>
      </x:c>
      <x:c r="C72" t="str">
        <x:v>medium</x:v>
      </x:c>
      <x:c r="D72" s="17" t="str">
        <x:v>next ask before hit/override</x:v>
      </x:c>
      <x:c r="E72" s="17" t="str">
        <x:v>material</x:v>
      </x:c>
      <x:c r="F72" s="17" t="str">
        <x:v>constraint revealed</x:v>
      </x:c>
      <x:c r="G72" s="17" t="str">
        <x:v>polyester | 75% Polyester, 20% Rayon, 5% Spandex</x:v>
      </x:c>
      <x:c r="H72" s="17" t="str">
        <x:v>For that, what matters is: polyester; 75% Polyester, 20% Rayon, 5% Spandex.</x:v>
      </x:c>
      <x:c r="I72" s="17" t="str"/>
    </x:row>
    <x:row r="73">
      <x:c r="A73" t="str">
        <x:v>public_0007</x:v>
      </x:c>
      <x:c r="B73" t="str">
        <x:v>browsing</x:v>
      </x:c>
      <x:c r="C73" t="str">
        <x:v>medium</x:v>
      </x:c>
      <x:c r="D73" s="17" t="str">
        <x:v>next ask before hit/override</x:v>
      </x:c>
      <x:c r="E73" s="17" t="str">
        <x:v>color</x:v>
      </x:c>
      <x:c r="F73" s="17" t="str">
        <x:v>no new constraint</x:v>
      </x:c>
      <x:c r="G73" s="17" t="str"/>
      <x:c r="H73" s="17" t="str">
        <x:v>I don't have an additional preference for color.</x:v>
      </x:c>
      <x:c r="I73" s="17" t="str"/>
    </x:row>
    <x:row r="74">
      <x:c r="A74" t="str">
        <x:v>public_0007</x:v>
      </x:c>
      <x:c r="B74" t="str">
        <x:v>browsing</x:v>
      </x:c>
      <x:c r="C74" t="str">
        <x:v>medium</x:v>
      </x:c>
      <x:c r="D74" s="17" t="str">
        <x:v>next ask before hit/override</x:v>
      </x:c>
      <x:c r="E74" s="17" t="str">
        <x:v>size</x:v>
      </x:c>
      <x:c r="F74" s="17" t="str">
        <x:v>no new constraint</x:v>
      </x:c>
      <x:c r="G74" s="17" t="str"/>
      <x:c r="H74" s="17" t="str">
        <x:v>I don't have an additional preference for size.</x:v>
      </x:c>
      <x:c r="I74" s="17" t="str"/>
    </x:row>
    <x:row r="75">
      <x:c r="A75" t="str">
        <x:v>public_0007</x:v>
      </x:c>
      <x:c r="B75" t="str">
        <x:v>browsing</x:v>
      </x:c>
      <x:c r="C75" t="str">
        <x:v>medium</x:v>
      </x:c>
      <x:c r="D75" s="17" t="str">
        <x:v>next ask before hit/override</x:v>
      </x:c>
      <x:c r="E75" s="17" t="str">
        <x:v>style</x:v>
      </x:c>
      <x:c r="F75" s="17" t="str">
        <x:v>no new constraint</x:v>
      </x:c>
      <x:c r="G75" s="17" t="str"/>
      <x:c r="H75" s="17" t="str">
        <x:v>I don't have an additional preference for style.</x:v>
      </x:c>
      <x:c r="I75" s="17" t="str"/>
    </x:row>
    <x:row r="76">
      <x:c r="A76" t="str">
        <x:v>public_0007</x:v>
      </x:c>
      <x:c r="B76" t="str">
        <x:v>browsing</x:v>
      </x:c>
      <x:c r="C76" t="str">
        <x:v>medium</x:v>
      </x:c>
      <x:c r="D76" s="17" t="str">
        <x:v>next ask before hit/override</x:v>
      </x:c>
      <x:c r="E76" s="17" t="str">
        <x:v>brand</x:v>
      </x:c>
      <x:c r="F76" s="17" t="str">
        <x:v>no new constraint</x:v>
      </x:c>
      <x:c r="G76" s="17" t="str"/>
      <x:c r="H76" s="17" t="str">
        <x:v>I don't have an additional preference for brand.</x:v>
      </x:c>
      <x:c r="I76" s="17" t="str"/>
    </x:row>
    <x:row r="77">
      <x:c r="A77" t="str">
        <x:v>public_0007</x:v>
      </x:c>
      <x:c r="B77" t="str">
        <x:v>browsing</x:v>
      </x:c>
      <x:c r="C77" t="str">
        <x:v>medium</x:v>
      </x:c>
      <x:c r="D77" s="17" t="str">
        <x:v>next ask before hit/override</x:v>
      </x:c>
      <x:c r="E77" s="17" t="str">
        <x:v>budget</x:v>
      </x:c>
      <x:c r="F77" s="17" t="str">
        <x:v>no new constraint</x:v>
      </x:c>
      <x:c r="G77" s="17" t="str"/>
      <x:c r="H77" s="17" t="str">
        <x:v>I don't have an additional preference for budget.</x:v>
      </x:c>
      <x:c r="I77" s="17" t="str"/>
    </x:row>
    <x:row r="78">
      <x:c r="A78" t="str">
        <x:v>public_0007</x:v>
      </x:c>
      <x:c r="B78" t="str">
        <x:v>browsing</x:v>
      </x:c>
      <x:c r="C78" t="str">
        <x:v>medium</x:v>
      </x:c>
      <x:c r="D78" s="17" t="str">
        <x:v>next ask before hit/override</x:v>
      </x:c>
      <x:c r="E78" s="17" t="str">
        <x:v>feature</x:v>
      </x:c>
      <x:c r="F78" s="17" t="str">
        <x:v>constraint revealed</x:v>
      </x:c>
      <x:c r="G78" s="17" t="str">
        <x:v>Imported | Pull On closure</x:v>
      </x:c>
      <x:c r="H78" s="17" t="str">
        <x:v>For that, what matters is: Imported; Pull On closure.</x:v>
      </x:c>
      <x:c r="I78" s="17" t="str"/>
    </x:row>
    <x:row r="79">
      <x:c r="A79" t="str">
        <x:v>public_0007</x:v>
      </x:c>
      <x:c r="B79" t="str">
        <x:v>browsing</x:v>
      </x:c>
      <x:c r="C79" t="str">
        <x:v>medium</x:v>
      </x:c>
      <x:c r="D79" s="17" t="str">
        <x:v>next ask before hit/override</x:v>
      </x:c>
      <x:c r="E79" s="17" t="str">
        <x:v>use_case</x:v>
      </x:c>
      <x:c r="F79" s="17" t="str">
        <x:v>no new constraint</x:v>
      </x:c>
      <x:c r="G79" s="17" t="str"/>
      <x:c r="H79" s="17" t="str">
        <x:v>I don't have an additional preference for use_case.</x:v>
      </x:c>
      <x:c r="I79" s="17" t="str"/>
    </x:row>
    <x:row r="80">
      <x:c r="A80" t="str">
        <x:v>public_0007</x:v>
      </x:c>
      <x:c r="B80" t="str">
        <x:v>browsing</x:v>
      </x:c>
      <x:c r="C80" t="str">
        <x:v>medium</x:v>
      </x:c>
      <x:c r="D80" s="17" t="str">
        <x:v>next ask before hit/override</x:v>
      </x:c>
      <x:c r="E80" s="17" t="str">
        <x:v>other</x:v>
      </x:c>
      <x:c r="F80" s="17" t="str">
        <x:v>constraint revealed</x:v>
      </x:c>
      <x:c r="G80" s="17" t="str">
        <x:v>polyester | 75% Polyester, 20% Rayon, 5% Spandex</x:v>
      </x:c>
      <x:c r="H80" s="17" t="str">
        <x:v>For that, what matters is: polyester; 75% Polyester, 20% Rayon, 5% Spandex.</x:v>
      </x:c>
      <x:c r="I80" s="17" t="str"/>
    </x:row>
    <x:row r="81">
      <x:c r="A81" t="str">
        <x:v>public_0007</x:v>
      </x:c>
      <x:c r="B81" t="str">
        <x:v>browsing</x:v>
      </x:c>
      <x:c r="C81" t="str">
        <x:v>medium</x:v>
      </x:c>
      <x:c r="D81" s="17" t="str">
        <x:v>next ask before hit/override</x:v>
      </x:c>
      <x:c r="E81" s="17" t="str">
        <x:v>(no ask_attribute)</x:v>
      </x:c>
      <x:c r="F81" s="17" t="str">
        <x:v>agent did not ask</x:v>
      </x:c>
      <x:c r="G81" s="17" t="str"/>
      <x:c r="H81" s="17" t="str">
        <x:v>Those options are not quite right yet. Ask me about one specific attribute.</x:v>
      </x:c>
      <x:c r="I81" s="17" t="str"/>
    </x:row>
    <x:row r="82">
      <x:c r="A82" t="str">
        <x:v>public_0008</x:v>
      </x:c>
      <x:c r="B82" t="str">
        <x:v>buying</x:v>
      </x:c>
      <x:c r="C82" t="str">
        <x:v>easy</x:v>
      </x:c>
      <x:c r="D82" s="17" t="str">
        <x:v>next ask before hit/override</x:v>
      </x:c>
      <x:c r="E82" s="17" t="str">
        <x:v>category</x:v>
      </x:c>
      <x:c r="F82" s="17" t="str">
        <x:v>no new constraint</x:v>
      </x:c>
      <x:c r="G82" s="17" t="str"/>
      <x:c r="H82" s="17" t="str">
        <x:v>I don't have an additional preference for category.</x:v>
      </x:c>
      <x:c r="I82" s="17" t="str"/>
    </x:row>
    <x:row r="83">
      <x:c r="A83" t="str">
        <x:v>public_0008</x:v>
      </x:c>
      <x:c r="B83" t="str">
        <x:v>buying</x:v>
      </x:c>
      <x:c r="C83" t="str">
        <x:v>easy</x:v>
      </x:c>
      <x:c r="D83" s="17" t="str">
        <x:v>next ask before hit/override</x:v>
      </x:c>
      <x:c r="E83" s="17" t="str">
        <x:v>material</x:v>
      </x:c>
      <x:c r="F83" s="17" t="str">
        <x:v>constraint revealed</x:v>
      </x:c>
      <x:c r="G83" s="17" t="str">
        <x:v>96% Nylon, 4% Spandex</x:v>
      </x:c>
      <x:c r="H83" s="17" t="str">
        <x:v>For that, what matters is: 96% Nylon, 4% Spandex.</x:v>
      </x:c>
      <x:c r="I83" s="17" t="str"/>
    </x:row>
    <x:row r="84">
      <x:c r="A84" t="str">
        <x:v>public_0008</x:v>
      </x:c>
      <x:c r="B84" t="str">
        <x:v>buying</x:v>
      </x:c>
      <x:c r="C84" t="str">
        <x:v>easy</x:v>
      </x:c>
      <x:c r="D84" s="17" t="str">
        <x:v>next ask before hit/override</x:v>
      </x:c>
      <x:c r="E84" s="17" t="str">
        <x:v>color</x:v>
      </x:c>
      <x:c r="F84" s="17" t="str">
        <x:v>no new constraint</x:v>
      </x:c>
      <x:c r="G84" s="17" t="str"/>
      <x:c r="H84" s="17" t="str">
        <x:v>I don't have an additional preference for color.</x:v>
      </x:c>
      <x:c r="I84" s="17" t="str"/>
    </x:row>
    <x:row r="85">
      <x:c r="A85" t="str">
        <x:v>public_0008</x:v>
      </x:c>
      <x:c r="B85" t="str">
        <x:v>buying</x:v>
      </x:c>
      <x:c r="C85" t="str">
        <x:v>easy</x:v>
      </x:c>
      <x:c r="D85" s="17" t="str">
        <x:v>next ask before hit/override</x:v>
      </x:c>
      <x:c r="E85" s="17" t="str">
        <x:v>size</x:v>
      </x:c>
      <x:c r="F85" s="17" t="str">
        <x:v>no new constraint</x:v>
      </x:c>
      <x:c r="G85" s="17" t="str"/>
      <x:c r="H85" s="17" t="str">
        <x:v>I don't have an additional preference for size.</x:v>
      </x:c>
      <x:c r="I85" s="17" t="str"/>
    </x:row>
    <x:row r="86">
      <x:c r="A86" t="str">
        <x:v>public_0008</x:v>
      </x:c>
      <x:c r="B86" t="str">
        <x:v>buying</x:v>
      </x:c>
      <x:c r="C86" t="str">
        <x:v>easy</x:v>
      </x:c>
      <x:c r="D86" s="17" t="str">
        <x:v>next ask before hit/override</x:v>
      </x:c>
      <x:c r="E86" s="17" t="str">
        <x:v>style</x:v>
      </x:c>
      <x:c r="F86" s="17" t="str">
        <x:v>no new constraint</x:v>
      </x:c>
      <x:c r="G86" s="17" t="str"/>
      <x:c r="H86" s="17" t="str">
        <x:v>I don't have an additional preference for style.</x:v>
      </x:c>
      <x:c r="I86" s="17" t="str"/>
    </x:row>
    <x:row r="87">
      <x:c r="A87" t="str">
        <x:v>public_0008</x:v>
      </x:c>
      <x:c r="B87" t="str">
        <x:v>buying</x:v>
      </x:c>
      <x:c r="C87" t="str">
        <x:v>easy</x:v>
      </x:c>
      <x:c r="D87" s="17" t="str">
        <x:v>next ask before hit/override</x:v>
      </x:c>
      <x:c r="E87" s="17" t="str">
        <x:v>brand</x:v>
      </x:c>
      <x:c r="F87" s="17" t="str">
        <x:v>no new constraint</x:v>
      </x:c>
      <x:c r="G87" s="17" t="str"/>
      <x:c r="H87" s="17" t="str">
        <x:v>I don't have an additional preference for brand.</x:v>
      </x:c>
      <x:c r="I87" s="17" t="str"/>
    </x:row>
    <x:row r="88">
      <x:c r="A88" t="str">
        <x:v>public_0008</x:v>
      </x:c>
      <x:c r="B88" t="str">
        <x:v>buying</x:v>
      </x:c>
      <x:c r="C88" t="str">
        <x:v>easy</x:v>
      </x:c>
      <x:c r="D88" s="17" t="str">
        <x:v>next ask before hit/override</x:v>
      </x:c>
      <x:c r="E88" s="17" t="str">
        <x:v>budget</x:v>
      </x:c>
      <x:c r="F88" s="17" t="str">
        <x:v>no new constraint</x:v>
      </x:c>
      <x:c r="G88" s="17" t="str"/>
      <x:c r="H88" s="17" t="str">
        <x:v>I don't have an additional preference for budget.</x:v>
      </x:c>
      <x:c r="I88" s="17" t="str"/>
    </x:row>
    <x:row r="89">
      <x:c r="A89" t="str">
        <x:v>public_0008</x:v>
      </x:c>
      <x:c r="B89" t="str">
        <x:v>buying</x:v>
      </x:c>
      <x:c r="C89" t="str">
        <x:v>easy</x:v>
      </x:c>
      <x:c r="D89" s="17" t="str">
        <x:v>next ask before hit/override</x:v>
      </x:c>
      <x:c r="E89" s="17" t="str">
        <x:v>feature</x:v>
      </x:c>
      <x:c r="F89" s="17" t="str">
        <x:v>constraint revealed</x:v>
      </x:c>
      <x:c r="G89" s="17" t="str">
        <x:v>Pull-On closure | Hand Wash Only</x:v>
      </x:c>
      <x:c r="H89" s="17" t="str">
        <x:v>For that, what matters is: Pull-On closure; Hand Wash Only.</x:v>
      </x:c>
      <x:c r="I89" s="17" t="str"/>
    </x:row>
    <x:row r="90">
      <x:c r="A90" t="str">
        <x:v>public_0008</x:v>
      </x:c>
      <x:c r="B90" t="str">
        <x:v>buying</x:v>
      </x:c>
      <x:c r="C90" t="str">
        <x:v>easy</x:v>
      </x:c>
      <x:c r="D90" s="17" t="str">
        <x:v>next ask before hit/override</x:v>
      </x:c>
      <x:c r="E90" s="17" t="str">
        <x:v>use_case</x:v>
      </x:c>
      <x:c r="F90" s="17" t="str">
        <x:v>no new constraint</x:v>
      </x:c>
      <x:c r="G90" s="17" t="str"/>
      <x:c r="H90" s="17" t="str">
        <x:v>I don't have an additional preference for use_case.</x:v>
      </x:c>
      <x:c r="I90" s="17" t="str"/>
    </x:row>
    <x:row r="91">
      <x:c r="A91" t="str">
        <x:v>public_0008</x:v>
      </x:c>
      <x:c r="B91" t="str">
        <x:v>buying</x:v>
      </x:c>
      <x:c r="C91" t="str">
        <x:v>easy</x:v>
      </x:c>
      <x:c r="D91" s="17" t="str">
        <x:v>next ask before hit/override</x:v>
      </x:c>
      <x:c r="E91" s="17" t="str">
        <x:v>other</x:v>
      </x:c>
      <x:c r="F91" s="17" t="str">
        <x:v>constraint revealed</x:v>
      </x:c>
      <x:c r="G91" s="17" t="str">
        <x:v>96% Nylon, 4% Spandex | Pull-On closure</x:v>
      </x:c>
      <x:c r="H91" s="17" t="str">
        <x:v>For that, what matters is: 96% Nylon, 4% Spandex; Pull-On closure.</x:v>
      </x:c>
      <x:c r="I91" s="17" t="str"/>
    </x:row>
    <x:row r="92">
      <x:c r="A92" t="str">
        <x:v>public_0008</x:v>
      </x:c>
      <x:c r="B92" t="str">
        <x:v>buying</x:v>
      </x:c>
      <x:c r="C92" t="str">
        <x:v>easy</x:v>
      </x:c>
      <x:c r="D92" s="17" t="str">
        <x:v>next ask before hit/override</x:v>
      </x:c>
      <x:c r="E92" s="17" t="str">
        <x:v>(no ask_attribute)</x:v>
      </x:c>
      <x:c r="F92" s="17" t="str">
        <x:v>agent did not ask</x:v>
      </x:c>
      <x:c r="G92" s="17" t="str"/>
      <x:c r="H92" s="17" t="str">
        <x:v>Those options are not quite right yet. Ask me about one specific attribute.</x:v>
      </x:c>
      <x:c r="I92" s="17" t="str"/>
    </x:row>
    <x:row r="93">
      <x:c r="A93" t="str">
        <x:v>public_0009</x:v>
      </x:c>
      <x:c r="B93" t="str">
        <x:v>buying</x:v>
      </x:c>
      <x:c r="C93" t="str">
        <x:v>easy</x:v>
      </x:c>
      <x:c r="D93" s="17" t="str">
        <x:v>next ask before hit/override</x:v>
      </x:c>
      <x:c r="E93" s="17" t="str">
        <x:v>category</x:v>
      </x:c>
      <x:c r="F93" s="17" t="str">
        <x:v>no new constraint</x:v>
      </x:c>
      <x:c r="G93" s="17" t="str"/>
      <x:c r="H93" s="17" t="str">
        <x:v>I don't have an additional preference for category.</x:v>
      </x:c>
      <x:c r="I93" s="17" t="str"/>
    </x:row>
    <x:row r="94">
      <x:c r="A94" t="str">
        <x:v>public_0009</x:v>
      </x:c>
      <x:c r="B94" t="str">
        <x:v>buying</x:v>
      </x:c>
      <x:c r="C94" t="str">
        <x:v>easy</x:v>
      </x:c>
      <x:c r="D94" s="17" t="str">
        <x:v>next ask before hit/override</x:v>
      </x:c>
      <x:c r="E94" s="17" t="str">
        <x:v>material</x:v>
      </x:c>
      <x:c r="F94" s="17" t="str">
        <x:v>constraint revealed</x:v>
      </x:c>
      <x:c r="G94" s="17" t="str">
        <x:v>Soft Washed PU Leather with Convenient side Pockets</x:v>
      </x:c>
      <x:c r="H94" s="17" t="str">
        <x:v>For that, what matters is: Soft Washed PU Leather with Convenient side Pockets.</x:v>
      </x:c>
      <x:c r="I94" s="17" t="str"/>
    </x:row>
    <x:row r="95">
      <x:c r="A95" t="str">
        <x:v>public_0009</x:v>
      </x:c>
      <x:c r="B95" t="str">
        <x:v>buying</x:v>
      </x:c>
      <x:c r="C95" t="str">
        <x:v>easy</x:v>
      </x:c>
      <x:c r="D95" s="17" t="str">
        <x:v>next ask before hit/override</x:v>
      </x:c>
      <x:c r="E95" s="17" t="str">
        <x:v>color</x:v>
      </x:c>
      <x:c r="F95" s="17" t="str">
        <x:v>no new constraint</x:v>
      </x:c>
      <x:c r="G95" s="17" t="str"/>
      <x:c r="H95" s="17" t="str">
        <x:v>I don't have an additional preference for color.</x:v>
      </x:c>
      <x:c r="I95" s="17" t="str"/>
    </x:row>
    <x:row r="96">
      <x:c r="A96" t="str">
        <x:v>public_0009</x:v>
      </x:c>
      <x:c r="B96" t="str">
        <x:v>buying</x:v>
      </x:c>
      <x:c r="C96" t="str">
        <x:v>easy</x:v>
      </x:c>
      <x:c r="D96" s="17" t="str">
        <x:v>next ask before hit/override</x:v>
      </x:c>
      <x:c r="E96" s="17" t="str">
        <x:v>size</x:v>
      </x:c>
      <x:c r="F96" s="17" t="str">
        <x:v>no new constraint</x:v>
      </x:c>
      <x:c r="G96" s="17" t="str"/>
      <x:c r="H96" s="17" t="str">
        <x:v>I don't have an additional preference for size.</x:v>
      </x:c>
      <x:c r="I96" s="17" t="str"/>
    </x:row>
    <x:row r="97">
      <x:c r="A97" t="str">
        <x:v>public_0009</x:v>
      </x:c>
      <x:c r="B97" t="str">
        <x:v>buying</x:v>
      </x:c>
      <x:c r="C97" t="str">
        <x:v>easy</x:v>
      </x:c>
      <x:c r="D97" s="17" t="str">
        <x:v>next ask before hit/override</x:v>
      </x:c>
      <x:c r="E97" s="17" t="str">
        <x:v>style</x:v>
      </x:c>
      <x:c r="F97" s="17" t="str">
        <x:v>no new constraint</x:v>
      </x:c>
      <x:c r="G97" s="17" t="str"/>
      <x:c r="H97" s="17" t="str">
        <x:v>I don't have an additional preference for style.</x:v>
      </x:c>
      <x:c r="I97" s="17" t="str"/>
    </x:row>
    <x:row r="98">
      <x:c r="A98" t="str">
        <x:v>public_0009</x:v>
      </x:c>
      <x:c r="B98" t="str">
        <x:v>buying</x:v>
      </x:c>
      <x:c r="C98" t="str">
        <x:v>easy</x:v>
      </x:c>
      <x:c r="D98" s="17" t="str">
        <x:v>next ask before hit/override</x:v>
      </x:c>
      <x:c r="E98" s="17" t="str">
        <x:v>brand</x:v>
      </x:c>
      <x:c r="F98" s="17" t="str">
        <x:v>no new constraint</x:v>
      </x:c>
      <x:c r="G98" s="17" t="str"/>
      <x:c r="H98" s="17" t="str">
        <x:v>I don't have an additional preference for brand.</x:v>
      </x:c>
      <x:c r="I98" s="17" t="str"/>
    </x:row>
    <x:row r="99">
      <x:c r="A99" t="str">
        <x:v>public_0009</x:v>
      </x:c>
      <x:c r="B99" t="str">
        <x:v>buying</x:v>
      </x:c>
      <x:c r="C99" t="str">
        <x:v>easy</x:v>
      </x:c>
      <x:c r="D99" s="17" t="str">
        <x:v>next ask before hit/override</x:v>
      </x:c>
      <x:c r="E99" s="17" t="str">
        <x:v>budget</x:v>
      </x:c>
      <x:c r="F99" s="17" t="str">
        <x:v>no new constraint</x:v>
      </x:c>
      <x:c r="G99" s="17" t="str"/>
      <x:c r="H99" s="17" t="str">
        <x:v>I don't have an additional preference for budget.</x:v>
      </x:c>
      <x:c r="I99" s="17" t="str"/>
    </x:row>
    <x:row r="100">
      <x:c r="A100" t="str">
        <x:v>public_0009</x:v>
      </x:c>
      <x:c r="B100" t="str">
        <x:v>buying</x:v>
      </x:c>
      <x:c r="C100" t="str">
        <x:v>easy</x:v>
      </x:c>
      <x:c r="D100" s="17" t="str">
        <x:v>next ask before hit/override</x:v>
      </x:c>
      <x:c r="E100" s="17" t="str">
        <x:v>feature</x:v>
      </x:c>
      <x:c r="F100" s="17" t="str">
        <x:v>constraint revealed</x:v>
      </x:c>
      <x:c r="G100" s="17" t="str">
        <x:v>Imported | Adjustable and Removable Shoulder Strap</x:v>
      </x:c>
      <x:c r="H100" s="17" t="str">
        <x:v>For that, what matters is: Imported; Adjustable and Removable Shoulder Strap.</x:v>
      </x:c>
      <x:c r="I100" s="17" t="str"/>
    </x:row>
    <x:row r="101">
      <x:c r="A101" t="str">
        <x:v>public_0009</x:v>
      </x:c>
      <x:c r="B101" t="str">
        <x:v>buying</x:v>
      </x:c>
      <x:c r="C101" t="str">
        <x:v>easy</x:v>
      </x:c>
      <x:c r="D101" s="17" t="str">
        <x:v>next ask before hit/override</x:v>
      </x:c>
      <x:c r="E101" s="17" t="str">
        <x:v>use_case</x:v>
      </x:c>
      <x:c r="F101" s="17" t="str">
        <x:v>no new constraint</x:v>
      </x:c>
      <x:c r="G101" s="17" t="str"/>
      <x:c r="H101" s="17" t="str">
        <x:v>I don't have an additional preference for use_case.</x:v>
      </x:c>
      <x:c r="I101" s="17" t="str"/>
    </x:row>
    <x:row r="102">
      <x:c r="A102" t="str">
        <x:v>public_0009</x:v>
      </x:c>
      <x:c r="B102" t="str">
        <x:v>buying</x:v>
      </x:c>
      <x:c r="C102" t="str">
        <x:v>easy</x:v>
      </x:c>
      <x:c r="D102" s="17" t="str">
        <x:v>next ask before hit/override</x:v>
      </x:c>
      <x:c r="E102" s="17" t="str">
        <x:v>other</x:v>
      </x:c>
      <x:c r="F102" s="17" t="str">
        <x:v>constraint revealed</x:v>
      </x:c>
      <x:c r="G102" s="17" t="str">
        <x:v>Soft Washed PU Leather with Convenient side Pockets | Imported</x:v>
      </x:c>
      <x:c r="H102" s="17" t="str">
        <x:v>For that, what matters is: Soft Washed PU Leather with Convenient side Pockets; Imported.</x:v>
      </x:c>
      <x:c r="I102" s="17" t="str"/>
    </x:row>
    <x:row r="103">
      <x:c r="A103" t="str">
        <x:v>public_0009</x:v>
      </x:c>
      <x:c r="B103" t="str">
        <x:v>buying</x:v>
      </x:c>
      <x:c r="C103" t="str">
        <x:v>easy</x:v>
      </x:c>
      <x:c r="D103" s="17" t="str">
        <x:v>next ask before hit/override</x:v>
      </x:c>
      <x:c r="E103" s="17" t="str">
        <x:v>(no ask_attribute)</x:v>
      </x:c>
      <x:c r="F103" s="17" t="str">
        <x:v>agent did not ask</x:v>
      </x:c>
      <x:c r="G103" s="17" t="str"/>
      <x:c r="H103" s="17" t="str">
        <x:v>Those options are not quite right yet. Ask me about one specific attribute.</x:v>
      </x:c>
      <x:c r="I103" s="17" t="str"/>
    </x:row>
    <x:row r="104">
      <x:c r="A104" t="str">
        <x:v>public_0010</x:v>
      </x:c>
      <x:c r="B104" t="str">
        <x:v>buying</x:v>
      </x:c>
      <x:c r="C104" t="str">
        <x:v>easy</x:v>
      </x:c>
      <x:c r="D104" s="17" t="str">
        <x:v>next ask before hit/override</x:v>
      </x:c>
      <x:c r="E104" s="17" t="str">
        <x:v>category</x:v>
      </x:c>
      <x:c r="F104" s="17" t="str">
        <x:v>no new constraint</x:v>
      </x:c>
      <x:c r="G104" s="17" t="str"/>
      <x:c r="H104" s="17" t="str">
        <x:v>I don't have an additional preference for category.</x:v>
      </x:c>
      <x:c r="I104" s="17" t="str"/>
    </x:row>
    <x:row r="105">
      <x:c r="A105" t="str">
        <x:v>public_0010</x:v>
      </x:c>
      <x:c r="B105" t="str">
        <x:v>buying</x:v>
      </x:c>
      <x:c r="C105" t="str">
        <x:v>easy</x:v>
      </x:c>
      <x:c r="D105" s="17" t="str">
        <x:v>next ask before hit/override</x:v>
      </x:c>
      <x:c r="E105" s="17" t="str">
        <x:v>material</x:v>
      </x:c>
      <x:c r="F105" s="17" t="str">
        <x:v>constraint revealed</x:v>
      </x:c>
      <x:c r="G105" s="17" t="str">
        <x:v>Stretchy fabric: 95% modal, 5% spandex</x:v>
      </x:c>
      <x:c r="H105" s="17" t="str">
        <x:v>For that, what matters is: Stretchy fabric: 95% modal, 5% spandex.</x:v>
      </x:c>
      <x:c r="I105" s="17" t="str"/>
    </x:row>
    <x:row r="106">
      <x:c r="A106" t="str">
        <x:v>public_0010</x:v>
      </x:c>
      <x:c r="B106" t="str">
        <x:v>buying</x:v>
      </x:c>
      <x:c r="C106" t="str">
        <x:v>easy</x:v>
      </x:c>
      <x:c r="D106" s="17" t="str">
        <x:v>next ask before hit/override</x:v>
      </x:c>
      <x:c r="E106" s="17" t="str">
        <x:v>color</x:v>
      </x:c>
      <x:c r="F106" s="17" t="str">
        <x:v>no new constraint</x:v>
      </x:c>
      <x:c r="G106" s="17" t="str"/>
      <x:c r="H106" s="17" t="str">
        <x:v>I don't have an additional preference for color.</x:v>
      </x:c>
      <x:c r="I106" s="17" t="str"/>
    </x:row>
    <x:row r="107">
      <x:c r="A107" t="str">
        <x:v>public_0010</x:v>
      </x:c>
      <x:c r="B107" t="str">
        <x:v>buying</x:v>
      </x:c>
      <x:c r="C107" t="str">
        <x:v>easy</x:v>
      </x:c>
      <x:c r="D107" s="17" t="str">
        <x:v>next ask before hit/override</x:v>
      </x:c>
      <x:c r="E107" s="17" t="str">
        <x:v>size</x:v>
      </x:c>
      <x:c r="F107" s="17" t="str">
        <x:v>no new constraint</x:v>
      </x:c>
      <x:c r="G107" s="17" t="str"/>
      <x:c r="H107" s="17" t="str">
        <x:v>I don't have an additional preference for size.</x:v>
      </x:c>
      <x:c r="I107" s="17" t="str"/>
    </x:row>
    <x:row r="108">
      <x:c r="A108" t="str">
        <x:v>public_0010</x:v>
      </x:c>
      <x:c r="B108" t="str">
        <x:v>buying</x:v>
      </x:c>
      <x:c r="C108" t="str">
        <x:v>easy</x:v>
      </x:c>
      <x:c r="D108" s="17" t="str">
        <x:v>next ask before hit/override</x:v>
      </x:c>
      <x:c r="E108" s="17" t="str">
        <x:v>style</x:v>
      </x:c>
      <x:c r="F108" s="17" t="str">
        <x:v>no new constraint</x:v>
      </x:c>
      <x:c r="G108" s="17" t="str"/>
      <x:c r="H108" s="17" t="str">
        <x:v>I don't have an additional preference for style.</x:v>
      </x:c>
      <x:c r="I108" s="17" t="str"/>
    </x:row>
    <x:row r="109">
      <x:c r="A109" t="str">
        <x:v>public_0010</x:v>
      </x:c>
      <x:c r="B109" t="str">
        <x:v>buying</x:v>
      </x:c>
      <x:c r="C109" t="str">
        <x:v>easy</x:v>
      </x:c>
      <x:c r="D109" s="17" t="str">
        <x:v>next ask before hit/override</x:v>
      </x:c>
      <x:c r="E109" s="17" t="str">
        <x:v>brand</x:v>
      </x:c>
      <x:c r="F109" s="17" t="str">
        <x:v>no new constraint</x:v>
      </x:c>
      <x:c r="G109" s="17" t="str"/>
      <x:c r="H109" s="17" t="str">
        <x:v>I don't have an additional preference for brand.</x:v>
      </x:c>
      <x:c r="I109" s="17" t="str"/>
    </x:row>
    <x:row r="110">
      <x:c r="A110" t="str">
        <x:v>public_0010</x:v>
      </x:c>
      <x:c r="B110" t="str">
        <x:v>buying</x:v>
      </x:c>
      <x:c r="C110" t="str">
        <x:v>easy</x:v>
      </x:c>
      <x:c r="D110" s="17" t="str">
        <x:v>next ask before hit/override</x:v>
      </x:c>
      <x:c r="E110" s="17" t="str">
        <x:v>budget</x:v>
      </x:c>
      <x:c r="F110" s="17" t="str">
        <x:v>no new constraint</x:v>
      </x:c>
      <x:c r="G110" s="17" t="str"/>
      <x:c r="H110" s="17" t="str">
        <x:v>I don't have an additional preference for budget.</x:v>
      </x:c>
      <x:c r="I110" s="17" t="str"/>
    </x:row>
    <x:row r="111">
      <x:c r="A111" t="str">
        <x:v>public_0010</x:v>
      </x:c>
      <x:c r="B111" t="str">
        <x:v>buying</x:v>
      </x:c>
      <x:c r="C111" t="str">
        <x:v>easy</x:v>
      </x:c>
      <x:c r="D111" s="17" t="str">
        <x:v>next ask before hit/override</x:v>
      </x:c>
      <x:c r="E111" s="17" t="str">
        <x:v>feature</x:v>
      </x:c>
      <x:c r="F111" s="17" t="str">
        <x:v>constraint revealed</x:v>
      </x:c>
      <x:c r="G111" s="17" t="str">
        <x:v>Imported | Snap closure</x:v>
      </x:c>
      <x:c r="H111" s="17" t="str">
        <x:v>For that, what matters is: Imported; Snap closure.</x:v>
      </x:c>
      <x:c r="I111" s="17" t="str"/>
    </x:row>
    <x:row r="112">
      <x:c r="A112" t="str">
        <x:v>public_0010</x:v>
      </x:c>
      <x:c r="B112" t="str">
        <x:v>buying</x:v>
      </x:c>
      <x:c r="C112" t="str">
        <x:v>easy</x:v>
      </x:c>
      <x:c r="D112" s="17" t="str">
        <x:v>next ask before hit/override</x:v>
      </x:c>
      <x:c r="E112" s="17" t="str">
        <x:v>use_case</x:v>
      </x:c>
      <x:c r="F112" s="17" t="str">
        <x:v>no new constraint</x:v>
      </x:c>
      <x:c r="G112" s="17" t="str"/>
      <x:c r="H112" s="17" t="str">
        <x:v>I don't have an additional preference for use_case.</x:v>
      </x:c>
      <x:c r="I112" s="17" t="str"/>
    </x:row>
    <x:row r="113">
      <x:c r="A113" t="str">
        <x:v>public_0010</x:v>
      </x:c>
      <x:c r="B113" t="str">
        <x:v>buying</x:v>
      </x:c>
      <x:c r="C113" t="str">
        <x:v>easy</x:v>
      </x:c>
      <x:c r="D113" s="17" t="str">
        <x:v>next ask before hit/override</x:v>
      </x:c>
      <x:c r="E113" s="17" t="str">
        <x:v>other</x:v>
      </x:c>
      <x:c r="F113" s="17" t="str">
        <x:v>constraint revealed</x:v>
      </x:c>
      <x:c r="G113" s="17" t="str">
        <x:v>Stretchy fabric: 95% modal, 5% spandex | Imported</x:v>
      </x:c>
      <x:c r="H113" s="17" t="str">
        <x:v>For that, what matters is: Stretchy fabric: 95% modal, 5% spandex; Imported.</x:v>
      </x:c>
      <x:c r="I113" s="17" t="str"/>
    </x:row>
    <x:row r="114">
      <x:c r="A114" t="str">
        <x:v>public_0010</x:v>
      </x:c>
      <x:c r="B114" t="str">
        <x:v>buying</x:v>
      </x:c>
      <x:c r="C114" t="str">
        <x:v>easy</x:v>
      </x:c>
      <x:c r="D114" s="17" t="str">
        <x:v>next ask before hit/override</x:v>
      </x:c>
      <x:c r="E114" s="17" t="str">
        <x:v>(no ask_attribute)</x:v>
      </x:c>
      <x:c r="F114" s="17" t="str">
        <x:v>agent did not ask</x:v>
      </x:c>
      <x:c r="G114" s="17" t="str"/>
      <x:c r="H114" s="17" t="str">
        <x:v>Those options are not quite right yet. Ask me about one specific attribute.</x:v>
      </x:c>
      <x:c r="I114" s="17" t="str"/>
    </x:row>
    <x:row r="115">
      <x:c r="A115" t="str">
        <x:v>public_0011</x:v>
      </x:c>
      <x:c r="B115" t="str">
        <x:v>browsing</x:v>
      </x:c>
      <x:c r="C115" t="str">
        <x:v>medium</x:v>
      </x:c>
      <x:c r="D115" s="17" t="str">
        <x:v>next ask before hit/override</x:v>
      </x:c>
      <x:c r="E115" s="17" t="str">
        <x:v>category</x:v>
      </x:c>
      <x:c r="F115" s="17" t="str">
        <x:v>no new constraint</x:v>
      </x:c>
      <x:c r="G115" s="17" t="str"/>
      <x:c r="H115" s="17" t="str">
        <x:v>I don't have an additional preference for category.</x:v>
      </x:c>
      <x:c r="I115" s="17" t="str"/>
    </x:row>
    <x:row r="116">
      <x:c r="A116" t="str">
        <x:v>public_0011</x:v>
      </x:c>
      <x:c r="B116" t="str">
        <x:v>browsing</x:v>
      </x:c>
      <x:c r="C116" t="str">
        <x:v>medium</x:v>
      </x:c>
      <x:c r="D116" s="17" t="str">
        <x:v>next ask before hit/override</x:v>
      </x:c>
      <x:c r="E116" s="17" t="str">
        <x:v>material</x:v>
      </x:c>
      <x:c r="F116" s="17" t="str">
        <x:v>constraint revealed</x:v>
      </x:c>
      <x:c r="G116" s="17" t="str">
        <x:v>cotton | 100% Cotton</x:v>
      </x:c>
      <x:c r="H116" s="17" t="str">
        <x:v>For that, what matters is: cotton; 100% Cotton.</x:v>
      </x:c>
      <x:c r="I116" s="17" t="str"/>
    </x:row>
    <x:row r="117">
      <x:c r="A117" t="str">
        <x:v>public_0011</x:v>
      </x:c>
      <x:c r="B117" t="str">
        <x:v>browsing</x:v>
      </x:c>
      <x:c r="C117" t="str">
        <x:v>medium</x:v>
      </x:c>
      <x:c r="D117" s="17" t="str">
        <x:v>next ask before hit/override</x:v>
      </x:c>
      <x:c r="E117" s="17" t="str">
        <x:v>color</x:v>
      </x:c>
      <x:c r="F117" s="17" t="str">
        <x:v>no new constraint</x:v>
      </x:c>
      <x:c r="G117" s="17" t="str"/>
      <x:c r="H117" s="17" t="str">
        <x:v>I don't have an additional preference for color.</x:v>
      </x:c>
      <x:c r="I117" s="17" t="str"/>
    </x:row>
    <x:row r="118">
      <x:c r="A118" t="str">
        <x:v>public_0011</x:v>
      </x:c>
      <x:c r="B118" t="str">
        <x:v>browsing</x:v>
      </x:c>
      <x:c r="C118" t="str">
        <x:v>medium</x:v>
      </x:c>
      <x:c r="D118" s="17" t="str">
        <x:v>next ask before hit/override</x:v>
      </x:c>
      <x:c r="E118" s="17" t="str">
        <x:v>size</x:v>
      </x:c>
      <x:c r="F118" s="17" t="str">
        <x:v>no new constraint</x:v>
      </x:c>
      <x:c r="G118" s="17" t="str"/>
      <x:c r="H118" s="17" t="str">
        <x:v>I don't have an additional preference for size.</x:v>
      </x:c>
      <x:c r="I118" s="17" t="str"/>
    </x:row>
    <x:row r="119">
      <x:c r="A119" t="str">
        <x:v>public_0011</x:v>
      </x:c>
      <x:c r="B119" t="str">
        <x:v>browsing</x:v>
      </x:c>
      <x:c r="C119" t="str">
        <x:v>medium</x:v>
      </x:c>
      <x:c r="D119" s="17" t="str">
        <x:v>next ask before hit/override</x:v>
      </x:c>
      <x:c r="E119" s="17" t="str">
        <x:v>style</x:v>
      </x:c>
      <x:c r="F119" s="17" t="str">
        <x:v>no new constraint</x:v>
      </x:c>
      <x:c r="G119" s="17" t="str"/>
      <x:c r="H119" s="17" t="str">
        <x:v>I don't have an additional preference for style.</x:v>
      </x:c>
      <x:c r="I119" s="17" t="str"/>
    </x:row>
    <x:row r="120">
      <x:c r="A120" t="str">
        <x:v>public_0011</x:v>
      </x:c>
      <x:c r="B120" t="str">
        <x:v>browsing</x:v>
      </x:c>
      <x:c r="C120" t="str">
        <x:v>medium</x:v>
      </x:c>
      <x:c r="D120" s="17" t="str">
        <x:v>next ask before hit/override</x:v>
      </x:c>
      <x:c r="E120" s="17" t="str">
        <x:v>brand</x:v>
      </x:c>
      <x:c r="F120" s="17" t="str">
        <x:v>no new constraint</x:v>
      </x:c>
      <x:c r="G120" s="17" t="str"/>
      <x:c r="H120" s="17" t="str">
        <x:v>I don't have an additional preference for brand.</x:v>
      </x:c>
      <x:c r="I120" s="17" t="str"/>
    </x:row>
    <x:row r="121">
      <x:c r="A121" t="str">
        <x:v>public_0011</x:v>
      </x:c>
      <x:c r="B121" t="str">
        <x:v>browsing</x:v>
      </x:c>
      <x:c r="C121" t="str">
        <x:v>medium</x:v>
      </x:c>
      <x:c r="D121" s="17" t="str">
        <x:v>next ask before hit/override</x:v>
      </x:c>
      <x:c r="E121" s="17" t="str">
        <x:v>budget</x:v>
      </x:c>
      <x:c r="F121" s="17" t="str">
        <x:v>no new constraint</x:v>
      </x:c>
      <x:c r="G121" s="17" t="str"/>
      <x:c r="H121" s="17" t="str">
        <x:v>I don't have an additional preference for budget.</x:v>
      </x:c>
      <x:c r="I121" s="17" t="str"/>
    </x:row>
    <x:row r="122">
      <x:c r="A122" t="str">
        <x:v>public_0011</x:v>
      </x:c>
      <x:c r="B122" t="str">
        <x:v>browsing</x:v>
      </x:c>
      <x:c r="C122" t="str">
        <x:v>medium</x:v>
      </x:c>
      <x:c r="D122" s="17" t="str">
        <x:v>next ask before hit/override</x:v>
      </x:c>
      <x:c r="E122" s="17" t="str">
        <x:v>feature</x:v>
      </x:c>
      <x:c r="F122" s="17" t="str">
        <x:v>constraint revealed</x:v>
      </x:c>
      <x:c r="G122" s="17" t="str">
        <x:v>Imported | undershirts closure</x:v>
      </x:c>
      <x:c r="H122" s="17" t="str">
        <x:v>For that, what matters is: Imported; undershirts closure.</x:v>
      </x:c>
      <x:c r="I122" s="17" t="str"/>
    </x:row>
    <x:row r="123">
      <x:c r="A123" t="str">
        <x:v>public_0011</x:v>
      </x:c>
      <x:c r="B123" t="str">
        <x:v>browsing</x:v>
      </x:c>
      <x:c r="C123" t="str">
        <x:v>medium</x:v>
      </x:c>
      <x:c r="D123" s="17" t="str">
        <x:v>next ask before hit/override</x:v>
      </x:c>
      <x:c r="E123" s="17" t="str">
        <x:v>use_case</x:v>
      </x:c>
      <x:c r="F123" s="17" t="str">
        <x:v>no new constraint</x:v>
      </x:c>
      <x:c r="G123" s="17" t="str"/>
      <x:c r="H123" s="17" t="str">
        <x:v>I don't have an additional preference for use_case.</x:v>
      </x:c>
      <x:c r="I123" s="17" t="str"/>
    </x:row>
    <x:row r="124">
      <x:c r="A124" t="str">
        <x:v>public_0011</x:v>
      </x:c>
      <x:c r="B124" t="str">
        <x:v>browsing</x:v>
      </x:c>
      <x:c r="C124" t="str">
        <x:v>medium</x:v>
      </x:c>
      <x:c r="D124" s="17" t="str">
        <x:v>next ask before hit/override</x:v>
      </x:c>
      <x:c r="E124" s="17" t="str">
        <x:v>other</x:v>
      </x:c>
      <x:c r="F124" s="17" t="str">
        <x:v>constraint revealed</x:v>
      </x:c>
      <x:c r="G124" s="17" t="str">
        <x:v>cotton | 100% Cotton</x:v>
      </x:c>
      <x:c r="H124" s="17" t="str">
        <x:v>For that, what matters is: cotton; 100% Cotton.</x:v>
      </x:c>
      <x:c r="I124" s="17" t="str"/>
    </x:row>
    <x:row r="125">
      <x:c r="A125" t="str">
        <x:v>public_0011</x:v>
      </x:c>
      <x:c r="B125" t="str">
        <x:v>browsing</x:v>
      </x:c>
      <x:c r="C125" t="str">
        <x:v>medium</x:v>
      </x:c>
      <x:c r="D125" s="17" t="str">
        <x:v>next ask before hit/override</x:v>
      </x:c>
      <x:c r="E125" s="17" t="str">
        <x:v>(no ask_attribute)</x:v>
      </x:c>
      <x:c r="F125" s="17" t="str">
        <x:v>agent did not ask</x:v>
      </x:c>
      <x:c r="G125" s="17" t="str"/>
      <x:c r="H125" s="17" t="str">
        <x:v>Those options are not quite right yet. Ask me about one specific attribute.</x:v>
      </x:c>
      <x:c r="I125" s="17" t="str"/>
    </x:row>
    <x:row r="126">
      <x:c r="A126" t="str">
        <x:v>public_0012</x:v>
      </x:c>
      <x:c r="B126" t="str">
        <x:v>browsing</x:v>
      </x:c>
      <x:c r="C126" t="str">
        <x:v>medium</x:v>
      </x:c>
      <x:c r="D126" s="17" t="str">
        <x:v>next ask before hit/override</x:v>
      </x:c>
      <x:c r="E126" s="17" t="str">
        <x:v>category</x:v>
      </x:c>
      <x:c r="F126" s="17" t="str">
        <x:v>no new constraint</x:v>
      </x:c>
      <x:c r="G126" s="17" t="str"/>
      <x:c r="H126" s="17" t="str">
        <x:v>I don't have an additional preference for category.</x:v>
      </x:c>
      <x:c r="I126" s="17" t="str"/>
    </x:row>
    <x:row r="127">
      <x:c r="A127" t="str">
        <x:v>public_0012</x:v>
      </x:c>
      <x:c r="B127" t="str">
        <x:v>browsing</x:v>
      </x:c>
      <x:c r="C127" t="str">
        <x:v>medium</x:v>
      </x:c>
      <x:c r="D127" s="17" t="str">
        <x:v>next ask before hit/override</x:v>
      </x:c>
      <x:c r="E127" s="17" t="str">
        <x:v>material</x:v>
      </x:c>
      <x:c r="F127" s="17" t="str">
        <x:v>constraint revealed</x:v>
      </x:c>
      <x:c r="G127" s="17" t="str">
        <x:v>polyester | 95% Polyester, 5% Spandex</x:v>
      </x:c>
      <x:c r="H127" s="17" t="str">
        <x:v>For that, what matters is: polyester; 95% Polyester, 5% Spandex.</x:v>
      </x:c>
      <x:c r="I127" s="17" t="str"/>
    </x:row>
    <x:row r="128">
      <x:c r="A128" t="str">
        <x:v>public_0012</x:v>
      </x:c>
      <x:c r="B128" t="str">
        <x:v>browsing</x:v>
      </x:c>
      <x:c r="C128" t="str">
        <x:v>medium</x:v>
      </x:c>
      <x:c r="D128" s="17" t="str">
        <x:v>next ask before hit/override</x:v>
      </x:c>
      <x:c r="E128" s="17" t="str">
        <x:v>color</x:v>
      </x:c>
      <x:c r="F128" s="17" t="str">
        <x:v>no new constraint</x:v>
      </x:c>
      <x:c r="G128" s="17" t="str"/>
      <x:c r="H128" s="17" t="str">
        <x:v>I don't have an additional preference for color.</x:v>
      </x:c>
      <x:c r="I128" s="17" t="str"/>
    </x:row>
    <x:row r="129">
      <x:c r="A129" t="str">
        <x:v>public_0012</x:v>
      </x:c>
      <x:c r="B129" t="str">
        <x:v>browsing</x:v>
      </x:c>
      <x:c r="C129" t="str">
        <x:v>medium</x:v>
      </x:c>
      <x:c r="D129" s="17" t="str">
        <x:v>next ask before hit/override</x:v>
      </x:c>
      <x:c r="E129" s="17" t="str">
        <x:v>size</x:v>
      </x:c>
      <x:c r="F129" s="17" t="str">
        <x:v>no new constraint</x:v>
      </x:c>
      <x:c r="G129" s="17" t="str"/>
      <x:c r="H129" s="17" t="str">
        <x:v>I don't have an additional preference for size.</x:v>
      </x:c>
      <x:c r="I129" s="17" t="str"/>
    </x:row>
    <x:row r="130">
      <x:c r="A130" t="str">
        <x:v>public_0012</x:v>
      </x:c>
      <x:c r="B130" t="str">
        <x:v>browsing</x:v>
      </x:c>
      <x:c r="C130" t="str">
        <x:v>medium</x:v>
      </x:c>
      <x:c r="D130" s="17" t="str">
        <x:v>next ask before hit/override</x:v>
      </x:c>
      <x:c r="E130" s="17" t="str">
        <x:v>style</x:v>
      </x:c>
      <x:c r="F130" s="17" t="str">
        <x:v>no new constraint</x:v>
      </x:c>
      <x:c r="G130" s="17" t="str"/>
      <x:c r="H130" s="17" t="str">
        <x:v>I don't have an additional preference for style.</x:v>
      </x:c>
      <x:c r="I130" s="17" t="str"/>
    </x:row>
    <x:row r="131">
      <x:c r="A131" t="str">
        <x:v>public_0012</x:v>
      </x:c>
      <x:c r="B131" t="str">
        <x:v>browsing</x:v>
      </x:c>
      <x:c r="C131" t="str">
        <x:v>medium</x:v>
      </x:c>
      <x:c r="D131" s="17" t="str">
        <x:v>next ask before hit/override</x:v>
      </x:c>
      <x:c r="E131" s="17" t="str">
        <x:v>brand</x:v>
      </x:c>
      <x:c r="F131" s="17" t="str">
        <x:v>no new constraint</x:v>
      </x:c>
      <x:c r="G131" s="17" t="str"/>
      <x:c r="H131" s="17" t="str">
        <x:v>I don't have an additional preference for brand.</x:v>
      </x:c>
      <x:c r="I131" s="17" t="str"/>
    </x:row>
    <x:row r="132">
      <x:c r="A132" t="str">
        <x:v>public_0012</x:v>
      </x:c>
      <x:c r="B132" t="str">
        <x:v>browsing</x:v>
      </x:c>
      <x:c r="C132" t="str">
        <x:v>medium</x:v>
      </x:c>
      <x:c r="D132" s="17" t="str">
        <x:v>next ask before hit/override</x:v>
      </x:c>
      <x:c r="E132" s="17" t="str">
        <x:v>budget</x:v>
      </x:c>
      <x:c r="F132" s="17" t="str">
        <x:v>no new constraint</x:v>
      </x:c>
      <x:c r="G132" s="17" t="str"/>
      <x:c r="H132" s="17" t="str">
        <x:v>I don't have an additional preference for budget.</x:v>
      </x:c>
      <x:c r="I132" s="17" t="str"/>
    </x:row>
    <x:row r="133">
      <x:c r="A133" t="str">
        <x:v>public_0012</x:v>
      </x:c>
      <x:c r="B133" t="str">
        <x:v>browsing</x:v>
      </x:c>
      <x:c r="C133" t="str">
        <x:v>medium</x:v>
      </x:c>
      <x:c r="D133" s="17" t="str">
        <x:v>next ask before hit/override</x:v>
      </x:c>
      <x:c r="E133" s="17" t="str">
        <x:v>feature</x:v>
      </x:c>
      <x:c r="F133" s="17" t="str">
        <x:v>constraint revealed</x:v>
      </x:c>
      <x:c r="G133" s="17" t="str">
        <x:v>Imported | Wrap closure</x:v>
      </x:c>
      <x:c r="H133" s="17" t="str">
        <x:v>For that, what matters is: Imported; Wrap closure.</x:v>
      </x:c>
      <x:c r="I133" s="17" t="str"/>
    </x:row>
    <x:row r="134">
      <x:c r="A134" t="str">
        <x:v>public_0012</x:v>
      </x:c>
      <x:c r="B134" t="str">
        <x:v>browsing</x:v>
      </x:c>
      <x:c r="C134" t="str">
        <x:v>medium</x:v>
      </x:c>
      <x:c r="D134" s="17" t="str">
        <x:v>next ask before hit/override</x:v>
      </x:c>
      <x:c r="E134" s="17" t="str">
        <x:v>use_case</x:v>
      </x:c>
      <x:c r="F134" s="17" t="str">
        <x:v>no new constraint</x:v>
      </x:c>
      <x:c r="G134" s="17" t="str"/>
      <x:c r="H134" s="17" t="str">
        <x:v>I don't have an additional preference for use_case.</x:v>
      </x:c>
      <x:c r="I134" s="17" t="str"/>
    </x:row>
    <x:row r="135">
      <x:c r="A135" t="str">
        <x:v>public_0012</x:v>
      </x:c>
      <x:c r="B135" t="str">
        <x:v>browsing</x:v>
      </x:c>
      <x:c r="C135" t="str">
        <x:v>medium</x:v>
      </x:c>
      <x:c r="D135" s="17" t="str">
        <x:v>next ask before hit/override</x:v>
      </x:c>
      <x:c r="E135" s="17" t="str">
        <x:v>other</x:v>
      </x:c>
      <x:c r="F135" s="17" t="str">
        <x:v>constraint revealed</x:v>
      </x:c>
      <x:c r="G135" s="17" t="str">
        <x:v>polyester | 95% Polyester, 5% Spandex</x:v>
      </x:c>
      <x:c r="H135" s="17" t="str">
        <x:v>For that, what matters is: polyester; 95% Polyester, 5% Spandex.</x:v>
      </x:c>
      <x:c r="I135" s="17" t="str"/>
    </x:row>
    <x:row r="136">
      <x:c r="A136" t="str">
        <x:v>public_0012</x:v>
      </x:c>
      <x:c r="B136" t="str">
        <x:v>browsing</x:v>
      </x:c>
      <x:c r="C136" t="str">
        <x:v>medium</x:v>
      </x:c>
      <x:c r="D136" s="17" t="str">
        <x:v>next ask before hit/override</x:v>
      </x:c>
      <x:c r="E136" s="17" t="str">
        <x:v>(no ask_attribute)</x:v>
      </x:c>
      <x:c r="F136" s="17" t="str">
        <x:v>agent did not ask</x:v>
      </x:c>
      <x:c r="G136" s="17" t="str"/>
      <x:c r="H136" s="17" t="str">
        <x:v>Those options are not quite right yet. Ask me about one specific attribute.</x:v>
      </x:c>
      <x:c r="I136" s="17" t="str"/>
    </x:row>
    <x:row r="137">
      <x:c r="A137" t="str">
        <x:v>public_0013</x:v>
      </x:c>
      <x:c r="B137" t="str">
        <x:v>intent_override</x:v>
      </x:c>
      <x:c r="C137" t="str">
        <x:v>hard</x:v>
      </x:c>
      <x:c r="D137" s="17" t="str">
        <x:v>next ask before hit/override</x:v>
      </x:c>
      <x:c r="E137" s="17" t="str">
        <x:v>category</x:v>
      </x:c>
      <x:c r="F137" s="17" t="str">
        <x:v>no new constraint</x:v>
      </x:c>
      <x:c r="G137" s="17" t="str"/>
      <x:c r="H137" s="17" t="str">
        <x:v>I don't have an additional preference for category.</x:v>
      </x:c>
      <x:c r="I137" s="17" t="str">
        <x:v>Override message occurs automatically on turn 3 or 4 before this reply when scheduled.</x:v>
      </x:c>
    </x:row>
    <x:row r="138">
      <x:c r="A138" t="str">
        <x:v>public_0013</x:v>
      </x:c>
      <x:c r="B138" t="str">
        <x:v>intent_override</x:v>
      </x:c>
      <x:c r="C138" t="str">
        <x:v>hard</x:v>
      </x:c>
      <x:c r="D138" s="17" t="str">
        <x:v>next ask before hit/override</x:v>
      </x:c>
      <x:c r="E138" s="17" t="str">
        <x:v>material</x:v>
      </x:c>
      <x:c r="F138" s="17" t="str">
        <x:v>no new constraint</x:v>
      </x:c>
      <x:c r="G138" s="17" t="str"/>
      <x:c r="H138" s="17" t="str">
        <x:v>I don't have an additional preference for material.</x:v>
      </x:c>
      <x:c r="I138" s="17" t="str">
        <x:v>Override message occurs automatically on turn 3 or 4 before this reply when scheduled.</x:v>
      </x:c>
    </x:row>
    <x:row r="139">
      <x:c r="A139" t="str">
        <x:v>public_0013</x:v>
      </x:c>
      <x:c r="B139" t="str">
        <x:v>intent_override</x:v>
      </x:c>
      <x:c r="C139" t="str">
        <x:v>hard</x:v>
      </x:c>
      <x:c r="D139" s="17" t="str">
        <x:v>next ask before hit/override</x:v>
      </x:c>
      <x:c r="E139" s="17" t="str">
        <x:v>color</x:v>
      </x:c>
      <x:c r="F139" s="17" t="str">
        <x:v>constraint revealed</x:v>
      </x:c>
      <x:c r="G139" s="17" t="str">
        <x:v>Textile Upper. Textile Covered EVA Footbed. Rubber Outsole</x:v>
      </x:c>
      <x:c r="H139" s="17" t="str">
        <x:v>For that, what matters is: Textile Upper. Textile Covered EVA Footbed. Rubber Outsole.</x:v>
      </x:c>
      <x:c r="I139" s="17" t="str">
        <x:v>Override message occurs automatically on turn 3 or 4 before this reply when scheduled.</x:v>
      </x:c>
    </x:row>
    <x:row r="140">
      <x:c r="A140" t="str">
        <x:v>public_0013</x:v>
      </x:c>
      <x:c r="B140" t="str">
        <x:v>intent_override</x:v>
      </x:c>
      <x:c r="C140" t="str">
        <x:v>hard</x:v>
      </x:c>
      <x:c r="D140" s="17" t="str">
        <x:v>next ask before hit/override</x:v>
      </x:c>
      <x:c r="E140" s="17" t="str">
        <x:v>size</x:v>
      </x:c>
      <x:c r="F140" s="17" t="str">
        <x:v>no new constraint</x:v>
      </x:c>
      <x:c r="G140" s="17" t="str"/>
      <x:c r="H140" s="17" t="str">
        <x:v>I don't have an additional preference for size.</x:v>
      </x:c>
      <x:c r="I140" s="17" t="str">
        <x:v>Override message occurs automatically on turn 3 or 4 before this reply when scheduled.</x:v>
      </x:c>
    </x:row>
    <x:row r="141">
      <x:c r="A141" t="str">
        <x:v>public_0013</x:v>
      </x:c>
      <x:c r="B141" t="str">
        <x:v>intent_override</x:v>
      </x:c>
      <x:c r="C141" t="str">
        <x:v>hard</x:v>
      </x:c>
      <x:c r="D141" s="17" t="str">
        <x:v>next ask before hit/override</x:v>
      </x:c>
      <x:c r="E141" s="17" t="str">
        <x:v>style</x:v>
      </x:c>
      <x:c r="F141" s="17" t="str">
        <x:v>constraint revealed</x:v>
      </x:c>
      <x:c r="G141" s="17" t="str">
        <x:v>YOUR NEW FAVORITE SLIPPERS: Slip into divine comfort with Gemma, a plush mule-style spa slipper with an adjustable hook-and-loop closure across the vamp</x:v>
      </x:c>
      <x:c r="H141" s="17" t="str">
        <x:v>For that, what matters is: YOUR NEW FAVORITE SLIPPERS: Slip into divine comfort with Gemma, a plush mule-style spa slipper with an adjustable hook-and-loop closure across the vamp.</x:v>
      </x:c>
      <x:c r="I141" s="17" t="str">
        <x:v>Override message occurs automatically on turn 3 or 4 before this reply when scheduled.</x:v>
      </x:c>
    </x:row>
    <x:row r="142">
      <x:c r="A142" t="str">
        <x:v>public_0013</x:v>
      </x:c>
      <x:c r="B142" t="str">
        <x:v>intent_override</x:v>
      </x:c>
      <x:c r="C142" t="str">
        <x:v>hard</x:v>
      </x:c>
      <x:c r="D142" s="17" t="str">
        <x:v>next ask before hit/override</x:v>
      </x:c>
      <x:c r="E142" s="17" t="str">
        <x:v>brand</x:v>
      </x:c>
      <x:c r="F142" s="17" t="str">
        <x:v>no new constraint</x:v>
      </x:c>
      <x:c r="G142" s="17" t="str"/>
      <x:c r="H142" s="17" t="str">
        <x:v>I don't have an additional preference for brand.</x:v>
      </x:c>
      <x:c r="I142" s="17" t="str">
        <x:v>Override message occurs automatically on turn 3 or 4 before this reply when scheduled.</x:v>
      </x:c>
    </x:row>
    <x:row r="143">
      <x:c r="A143" t="str">
        <x:v>public_0013</x:v>
      </x:c>
      <x:c r="B143" t="str">
        <x:v>intent_override</x:v>
      </x:c>
      <x:c r="C143" t="str">
        <x:v>hard</x:v>
      </x:c>
      <x:c r="D143" s="17" t="str">
        <x:v>next ask before hit/override</x:v>
      </x:c>
      <x:c r="E143" s="17" t="str">
        <x:v>budget</x:v>
      </x:c>
      <x:c r="F143" s="17" t="str">
        <x:v>no new constraint</x:v>
      </x:c>
      <x:c r="G143" s="17" t="str"/>
      <x:c r="H143" s="17" t="str">
        <x:v>I don't have an additional preference for budget.</x:v>
      </x:c>
      <x:c r="I143" s="17" t="str">
        <x:v>Override message occurs automatically on turn 3 or 4 before this reply when scheduled.</x:v>
      </x:c>
    </x:row>
    <x:row r="144">
      <x:c r="A144" t="str">
        <x:v>public_0013</x:v>
      </x:c>
      <x:c r="B144" t="str">
        <x:v>intent_override</x:v>
      </x:c>
      <x:c r="C144" t="str">
        <x:v>hard</x:v>
      </x:c>
      <x:c r="D144" s="17" t="str">
        <x:v>next ask before hit/override</x:v>
      </x:c>
      <x:c r="E144" s="17" t="str">
        <x:v>feature</x:v>
      </x:c>
      <x:c r="F144" s="17" t="str">
        <x:v>constraint revealed</x:v>
      </x:c>
      <x:c r="G144" s="17" t="str">
        <x:v>Rubber sole | Received APMA (American Podiatric Medical Association) Seal of Acceptance</x:v>
      </x:c>
      <x:c r="H144" s="17" t="str">
        <x:v>For that, what matters is: Rubber sole; Received APMA (American Podiatric Medical Association) Seal of Acceptance.</x:v>
      </x:c>
      <x:c r="I144" s="17" t="str">
        <x:v>Override message occurs automatically on turn 3 or 4 before this reply when scheduled.</x:v>
      </x:c>
    </x:row>
    <x:row r="145">
      <x:c r="A145" t="str">
        <x:v>public_0013</x:v>
      </x:c>
      <x:c r="B145" t="str">
        <x:v>intent_override</x:v>
      </x:c>
      <x:c r="C145" t="str">
        <x:v>hard</x:v>
      </x:c>
      <x:c r="D145" s="17" t="str">
        <x:v>next ask before hit/override</x:v>
      </x:c>
      <x:c r="E145" s="17" t="str">
        <x:v>use_case</x:v>
      </x:c>
      <x:c r="F145" s="17" t="str">
        <x:v>no new constraint</x:v>
      </x:c>
      <x:c r="G145" s="17" t="str"/>
      <x:c r="H145" s="17" t="str">
        <x:v>I don't have an additional preference for use_case.</x:v>
      </x:c>
      <x:c r="I145" s="17" t="str">
        <x:v>Override message occurs automatically on turn 3 or 4 before this reply when scheduled.</x:v>
      </x:c>
    </x:row>
    <x:row r="146">
      <x:c r="A146" t="str">
        <x:v>public_0013</x:v>
      </x:c>
      <x:c r="B146" t="str">
        <x:v>intent_override</x:v>
      </x:c>
      <x:c r="C146" t="str">
        <x:v>hard</x:v>
      </x:c>
      <x:c r="D146" s="17" t="str">
        <x:v>next ask before hit/override</x:v>
      </x:c>
      <x:c r="E146" s="17" t="str">
        <x:v>other</x:v>
      </x:c>
      <x:c r="F146" s="17" t="str">
        <x:v>constraint revealed</x:v>
      </x:c>
      <x:c r="G146" s="17" t="str">
        <x:v>Rubber sole | Textile Upper. Textile Covered EVA Footbed. Rubber Outsole</x:v>
      </x:c>
      <x:c r="H146" s="17" t="str">
        <x:v>For that, what matters is: Rubber sole; Textile Upper. Textile Covered EVA Footbed. Rubber Outsole.</x:v>
      </x:c>
      <x:c r="I146" s="17" t="str">
        <x:v>Override message occurs automatically on turn 3 or 4 before this reply when scheduled.</x:v>
      </x:c>
    </x:row>
    <x:row r="147">
      <x:c r="A147" t="str">
        <x:v>public_0013</x:v>
      </x:c>
      <x:c r="B147" t="str">
        <x:v>intent_override</x:v>
      </x:c>
      <x:c r="C147" t="str">
        <x:v>hard</x:v>
      </x:c>
      <x:c r="D147" s="17" t="str">
        <x:v>next ask before hit/override</x:v>
      </x:c>
      <x:c r="E147" s="17" t="str">
        <x:v>(no ask_attribute)</x:v>
      </x:c>
      <x:c r="F147" s="17" t="str">
        <x:v>agent did not ask</x:v>
      </x:c>
      <x:c r="G147" s="17" t="str"/>
      <x:c r="H147" s="17" t="str">
        <x:v>Those options are not quite right yet. Ask me about one specific attribute.</x:v>
      </x:c>
      <x:c r="I147" s="17" t="str">
        <x:v>Override message occurs automatically on turn 3 or 4 before this reply when scheduled.</x:v>
      </x:c>
    </x:row>
    <x:row r="148">
      <x:c r="A148" t="str">
        <x:v>public_0014</x:v>
      </x:c>
      <x:c r="B148" t="str">
        <x:v>browsing</x:v>
      </x:c>
      <x:c r="C148" t="str">
        <x:v>medium</x:v>
      </x:c>
      <x:c r="D148" s="17" t="str">
        <x:v>next ask before hit/override</x:v>
      </x:c>
      <x:c r="E148" s="17" t="str">
        <x:v>category</x:v>
      </x:c>
      <x:c r="F148" s="17" t="str">
        <x:v>no new constraint</x:v>
      </x:c>
      <x:c r="G148" s="17" t="str"/>
      <x:c r="H148" s="17" t="str">
        <x:v>I don't have an additional preference for category.</x:v>
      </x:c>
      <x:c r="I148" s="17" t="str"/>
    </x:row>
    <x:row r="149">
      <x:c r="A149" t="str">
        <x:v>public_0014</x:v>
      </x:c>
      <x:c r="B149" t="str">
        <x:v>browsing</x:v>
      </x:c>
      <x:c r="C149" t="str">
        <x:v>medium</x:v>
      </x:c>
      <x:c r="D149" s="17" t="str">
        <x:v>next ask before hit/override</x:v>
      </x:c>
      <x:c r="E149" s="17" t="str">
        <x:v>material</x:v>
      </x:c>
      <x:c r="F149" s="17" t="str">
        <x:v>constraint revealed</x:v>
      </x:c>
      <x:c r="G149" s="17" t="str">
        <x:v>cotton | Solids: 100% Cotton; heathers: 75% cotton, 25% polyester</x:v>
      </x:c>
      <x:c r="H149" s="17" t="str">
        <x:v>For that, what matters is: cotton; Solids: 100% Cotton; heathers: 75% cotton, 25% polyester.</x:v>
      </x:c>
      <x:c r="I149" s="17" t="str"/>
    </x:row>
    <x:row r="150">
      <x:c r="A150" t="str">
        <x:v>public_0014</x:v>
      </x:c>
      <x:c r="B150" t="str">
        <x:v>browsing</x:v>
      </x:c>
      <x:c r="C150" t="str">
        <x:v>medium</x:v>
      </x:c>
      <x:c r="D150" s="17" t="str">
        <x:v>next ask before hit/override</x:v>
      </x:c>
      <x:c r="E150" s="17" t="str">
        <x:v>color</x:v>
      </x:c>
      <x:c r="F150" s="17" t="str">
        <x:v>no new constraint</x:v>
      </x:c>
      <x:c r="G150" s="17" t="str"/>
      <x:c r="H150" s="17" t="str">
        <x:v>I don't have an additional preference for color.</x:v>
      </x:c>
      <x:c r="I150" s="17" t="str"/>
    </x:row>
    <x:row r="151">
      <x:c r="A151" t="str">
        <x:v>public_0014</x:v>
      </x:c>
      <x:c r="B151" t="str">
        <x:v>browsing</x:v>
      </x:c>
      <x:c r="C151" t="str">
        <x:v>medium</x:v>
      </x:c>
      <x:c r="D151" s="17" t="str">
        <x:v>next ask before hit/override</x:v>
      </x:c>
      <x:c r="E151" s="17" t="str">
        <x:v>size</x:v>
      </x:c>
      <x:c r="F151" s="17" t="str">
        <x:v>no new constraint</x:v>
      </x:c>
      <x:c r="G151" s="17" t="str"/>
      <x:c r="H151" s="17" t="str">
        <x:v>I don't have an additional preference for size.</x:v>
      </x:c>
      <x:c r="I151" s="17" t="str"/>
    </x:row>
    <x:row r="152">
      <x:c r="A152" t="str">
        <x:v>public_0014</x:v>
      </x:c>
      <x:c r="B152" t="str">
        <x:v>browsing</x:v>
      </x:c>
      <x:c r="C152" t="str">
        <x:v>medium</x:v>
      </x:c>
      <x:c r="D152" s="17" t="str">
        <x:v>next ask before hit/override</x:v>
      </x:c>
      <x:c r="E152" s="17" t="str">
        <x:v>style</x:v>
      </x:c>
      <x:c r="F152" s="17" t="str">
        <x:v>no new constraint</x:v>
      </x:c>
      <x:c r="G152" s="17" t="str"/>
      <x:c r="H152" s="17" t="str">
        <x:v>I don't have an additional preference for style.</x:v>
      </x:c>
      <x:c r="I152" s="17" t="str"/>
    </x:row>
    <x:row r="153">
      <x:c r="A153" t="str">
        <x:v>public_0014</x:v>
      </x:c>
      <x:c r="B153" t="str">
        <x:v>browsing</x:v>
      </x:c>
      <x:c r="C153" t="str">
        <x:v>medium</x:v>
      </x:c>
      <x:c r="D153" s="17" t="str">
        <x:v>next ask before hit/override</x:v>
      </x:c>
      <x:c r="E153" s="17" t="str">
        <x:v>brand</x:v>
      </x:c>
      <x:c r="F153" s="17" t="str">
        <x:v>no new constraint</x:v>
      </x:c>
      <x:c r="G153" s="17" t="str"/>
      <x:c r="H153" s="17" t="str">
        <x:v>I don't have an additional preference for brand.</x:v>
      </x:c>
      <x:c r="I153" s="17" t="str"/>
    </x:row>
    <x:row r="154">
      <x:c r="A154" t="str">
        <x:v>public_0014</x:v>
      </x:c>
      <x:c r="B154" t="str">
        <x:v>browsing</x:v>
      </x:c>
      <x:c r="C154" t="str">
        <x:v>medium</x:v>
      </x:c>
      <x:c r="D154" s="17" t="str">
        <x:v>next ask before hit/override</x:v>
      </x:c>
      <x:c r="E154" s="17" t="str">
        <x:v>budget</x:v>
      </x:c>
      <x:c r="F154" s="17" t="str">
        <x:v>no new constraint</x:v>
      </x:c>
      <x:c r="G154" s="17" t="str"/>
      <x:c r="H154" s="17" t="str">
        <x:v>I don't have an additional preference for budget.</x:v>
      </x:c>
      <x:c r="I154" s="17" t="str"/>
    </x:row>
    <x:row r="155">
      <x:c r="A155" t="str">
        <x:v>public_0014</x:v>
      </x:c>
      <x:c r="B155" t="str">
        <x:v>browsing</x:v>
      </x:c>
      <x:c r="C155" t="str">
        <x:v>medium</x:v>
      </x:c>
      <x:c r="D155" s="17" t="str">
        <x:v>next ask before hit/override</x:v>
      </x:c>
      <x:c r="E155" s="17" t="str">
        <x:v>feature</x:v>
      </x:c>
      <x:c r="F155" s="17" t="str">
        <x:v>constraint revealed</x:v>
      </x:c>
      <x:c r="G155" s="17" t="str">
        <x:v>Imported | Pull On closure</x:v>
      </x:c>
      <x:c r="H155" s="17" t="str">
        <x:v>For that, what matters is: Imported; Pull On closure.</x:v>
      </x:c>
      <x:c r="I155" s="17" t="str"/>
    </x:row>
    <x:row r="156">
      <x:c r="A156" t="str">
        <x:v>public_0014</x:v>
      </x:c>
      <x:c r="B156" t="str">
        <x:v>browsing</x:v>
      </x:c>
      <x:c r="C156" t="str">
        <x:v>medium</x:v>
      </x:c>
      <x:c r="D156" s="17" t="str">
        <x:v>next ask before hit/override</x:v>
      </x:c>
      <x:c r="E156" s="17" t="str">
        <x:v>use_case</x:v>
      </x:c>
      <x:c r="F156" s="17" t="str">
        <x:v>no new constraint</x:v>
      </x:c>
      <x:c r="G156" s="17" t="str"/>
      <x:c r="H156" s="17" t="str">
        <x:v>I don't have an additional preference for use_case.</x:v>
      </x:c>
      <x:c r="I156" s="17" t="str"/>
    </x:row>
    <x:row r="157">
      <x:c r="A157" t="str">
        <x:v>public_0014</x:v>
      </x:c>
      <x:c r="B157" t="str">
        <x:v>browsing</x:v>
      </x:c>
      <x:c r="C157" t="str">
        <x:v>medium</x:v>
      </x:c>
      <x:c r="D157" s="17" t="str">
        <x:v>next ask before hit/override</x:v>
      </x:c>
      <x:c r="E157" s="17" t="str">
        <x:v>other</x:v>
      </x:c>
      <x:c r="F157" s="17" t="str">
        <x:v>constraint revealed</x:v>
      </x:c>
      <x:c r="G157" s="17" t="str">
        <x:v>cotton | Solids: 100% Cotton; heathers: 75% cotton, 25% polyester</x:v>
      </x:c>
      <x:c r="H157" s="17" t="str">
        <x:v>For that, what matters is: cotton; Solids: 100% Cotton; heathers: 75% cotton, 25% polyester.</x:v>
      </x:c>
      <x:c r="I157" s="17" t="str"/>
    </x:row>
    <x:row r="158">
      <x:c r="A158" t="str">
        <x:v>public_0014</x:v>
      </x:c>
      <x:c r="B158" t="str">
        <x:v>browsing</x:v>
      </x:c>
      <x:c r="C158" t="str">
        <x:v>medium</x:v>
      </x:c>
      <x:c r="D158" s="17" t="str">
        <x:v>next ask before hit/override</x:v>
      </x:c>
      <x:c r="E158" s="17" t="str">
        <x:v>(no ask_attribute)</x:v>
      </x:c>
      <x:c r="F158" s="17" t="str">
        <x:v>agent did not ask</x:v>
      </x:c>
      <x:c r="G158" s="17" t="str"/>
      <x:c r="H158" s="17" t="str">
        <x:v>Those options are not quite right yet. Ask me about one specific attribute.</x:v>
      </x:c>
      <x:c r="I158" s="17" t="str"/>
    </x:row>
    <x:row r="159">
      <x:c r="A159" t="str">
        <x:v>public_0015</x:v>
      </x:c>
      <x:c r="B159" t="str">
        <x:v>browsing</x:v>
      </x:c>
      <x:c r="C159" t="str">
        <x:v>medium</x:v>
      </x:c>
      <x:c r="D159" s="17" t="str">
        <x:v>next ask before hit/override</x:v>
      </x:c>
      <x:c r="E159" s="17" t="str">
        <x:v>category</x:v>
      </x:c>
      <x:c r="F159" s="17" t="str">
        <x:v>no new constraint</x:v>
      </x:c>
      <x:c r="G159" s="17" t="str"/>
      <x:c r="H159" s="17" t="str">
        <x:v>I don't have an additional preference for category.</x:v>
      </x:c>
      <x:c r="I159" s="17" t="str"/>
    </x:row>
    <x:row r="160">
      <x:c r="A160" t="str">
        <x:v>public_0015</x:v>
      </x:c>
      <x:c r="B160" t="str">
        <x:v>browsing</x:v>
      </x:c>
      <x:c r="C160" t="str">
        <x:v>medium</x:v>
      </x:c>
      <x:c r="D160" s="17" t="str">
        <x:v>next ask before hit/override</x:v>
      </x:c>
      <x:c r="E160" s="17" t="str">
        <x:v>material</x:v>
      </x:c>
      <x:c r="F160" s="17" t="str">
        <x:v>constraint revealed</x:v>
      </x:c>
      <x:c r="G160" s="17" t="str">
        <x:v>fabric</x:v>
      </x:c>
      <x:c r="H160" s="17" t="str">
        <x:v>For that, what matters is: fabric.</x:v>
      </x:c>
      <x:c r="I160" s="17" t="str"/>
    </x:row>
    <x:row r="161">
      <x:c r="A161" t="str">
        <x:v>public_0015</x:v>
      </x:c>
      <x:c r="B161" t="str">
        <x:v>browsing</x:v>
      </x:c>
      <x:c r="C161" t="str">
        <x:v>medium</x:v>
      </x:c>
      <x:c r="D161" s="17" t="str">
        <x:v>next ask before hit/override</x:v>
      </x:c>
      <x:c r="E161" s="17" t="str">
        <x:v>color</x:v>
      </x:c>
      <x:c r="F161" s="17" t="str">
        <x:v>no new constraint</x:v>
      </x:c>
      <x:c r="G161" s="17" t="str"/>
      <x:c r="H161" s="17" t="str">
        <x:v>I don't have an additional preference for color.</x:v>
      </x:c>
      <x:c r="I161" s="17" t="str"/>
    </x:row>
    <x:row r="162">
      <x:c r="A162" t="str">
        <x:v>public_0015</x:v>
      </x:c>
      <x:c r="B162" t="str">
        <x:v>browsing</x:v>
      </x:c>
      <x:c r="C162" t="str">
        <x:v>medium</x:v>
      </x:c>
      <x:c r="D162" s="17" t="str">
        <x:v>next ask before hit/override</x:v>
      </x:c>
      <x:c r="E162" s="17" t="str">
        <x:v>size</x:v>
      </x:c>
      <x:c r="F162" s="17" t="str">
        <x:v>no new constraint</x:v>
      </x:c>
      <x:c r="G162" s="17" t="str"/>
      <x:c r="H162" s="17" t="str">
        <x:v>I don't have an additional preference for size.</x:v>
      </x:c>
      <x:c r="I162" s="17" t="str"/>
    </x:row>
    <x:row r="163">
      <x:c r="A163" t="str">
        <x:v>public_0015</x:v>
      </x:c>
      <x:c r="B163" t="str">
        <x:v>browsing</x:v>
      </x:c>
      <x:c r="C163" t="str">
        <x:v>medium</x:v>
      </x:c>
      <x:c r="D163" s="17" t="str">
        <x:v>next ask before hit/override</x:v>
      </x:c>
      <x:c r="E163" s="17" t="str">
        <x:v>style</x:v>
      </x:c>
      <x:c r="F163" s="17" t="str">
        <x:v>no new constraint</x:v>
      </x:c>
      <x:c r="G163" s="17" t="str"/>
      <x:c r="H163" s="17" t="str">
        <x:v>I don't have an additional preference for style.</x:v>
      </x:c>
      <x:c r="I163" s="17" t="str"/>
    </x:row>
    <x:row r="164">
      <x:c r="A164" t="str">
        <x:v>public_0015</x:v>
      </x:c>
      <x:c r="B164" t="str">
        <x:v>browsing</x:v>
      </x:c>
      <x:c r="C164" t="str">
        <x:v>medium</x:v>
      </x:c>
      <x:c r="D164" s="17" t="str">
        <x:v>next ask before hit/override</x:v>
      </x:c>
      <x:c r="E164" s="17" t="str">
        <x:v>brand</x:v>
      </x:c>
      <x:c r="F164" s="17" t="str">
        <x:v>no new constraint</x:v>
      </x:c>
      <x:c r="G164" s="17" t="str"/>
      <x:c r="H164" s="17" t="str">
        <x:v>I don't have an additional preference for brand.</x:v>
      </x:c>
      <x:c r="I164" s="17" t="str"/>
    </x:row>
    <x:row r="165">
      <x:c r="A165" t="str">
        <x:v>public_0015</x:v>
      </x:c>
      <x:c r="B165" t="str">
        <x:v>browsing</x:v>
      </x:c>
      <x:c r="C165" t="str">
        <x:v>medium</x:v>
      </x:c>
      <x:c r="D165" s="17" t="str">
        <x:v>next ask before hit/override</x:v>
      </x:c>
      <x:c r="E165" s="17" t="str">
        <x:v>budget</x:v>
      </x:c>
      <x:c r="F165" s="17" t="str">
        <x:v>no new constraint</x:v>
      </x:c>
      <x:c r="G165" s="17" t="str"/>
      <x:c r="H165" s="17" t="str">
        <x:v>I don't have an additional preference for budget.</x:v>
      </x:c>
      <x:c r="I165" s="17" t="str"/>
    </x:row>
    <x:row r="166">
      <x:c r="A166" t="str">
        <x:v>public_0015</x:v>
      </x:c>
      <x:c r="B166" t="str">
        <x:v>browsing</x:v>
      </x:c>
      <x:c r="C166" t="str">
        <x:v>medium</x:v>
      </x:c>
      <x:c r="D166" s="17" t="str">
        <x:v>next ask before hit/override</x:v>
      </x:c>
      <x:c r="E166" s="17" t="str">
        <x:v>feature</x:v>
      </x:c>
      <x:c r="F166" s="17" t="str">
        <x:v>constraint revealed</x:v>
      </x:c>
      <x:c r="G166" s="17" t="str">
        <x:v>Made in the USA or Imported | Ethylene Vinyl Acetate sole</x:v>
      </x:c>
      <x:c r="H166" s="17" t="str">
        <x:v>For that, what matters is: Made in the USA or Imported; Ethylene Vinyl Acetate sole.</x:v>
      </x:c>
      <x:c r="I166" s="17" t="str"/>
    </x:row>
    <x:row r="167">
      <x:c r="A167" t="str">
        <x:v>public_0015</x:v>
      </x:c>
      <x:c r="B167" t="str">
        <x:v>browsing</x:v>
      </x:c>
      <x:c r="C167" t="str">
        <x:v>medium</x:v>
      </x:c>
      <x:c r="D167" s="17" t="str">
        <x:v>next ask before hit/override</x:v>
      </x:c>
      <x:c r="E167" s="17" t="str">
        <x:v>use_case</x:v>
      </x:c>
      <x:c r="F167" s="17" t="str">
        <x:v>no new constraint</x:v>
      </x:c>
      <x:c r="G167" s="17" t="str"/>
      <x:c r="H167" s="17" t="str">
        <x:v>I don't have an additional preference for use_case.</x:v>
      </x:c>
      <x:c r="I167" s="17" t="str"/>
    </x:row>
    <x:row r="168">
      <x:c r="A168" t="str">
        <x:v>public_0015</x:v>
      </x:c>
      <x:c r="B168" t="str">
        <x:v>browsing</x:v>
      </x:c>
      <x:c r="C168" t="str">
        <x:v>medium</x:v>
      </x:c>
      <x:c r="D168" s="17" t="str">
        <x:v>next ask before hit/override</x:v>
      </x:c>
      <x:c r="E168" s="17" t="str">
        <x:v>other</x:v>
      </x:c>
      <x:c r="F168" s="17" t="str">
        <x:v>constraint revealed</x:v>
      </x:c>
      <x:c r="G168" s="17" t="str">
        <x:v>fabric | Made in the USA or Imported</x:v>
      </x:c>
      <x:c r="H168" s="17" t="str">
        <x:v>For that, what matters is: fabric; Made in the USA or Imported.</x:v>
      </x:c>
      <x:c r="I168" s="17" t="str"/>
    </x:row>
    <x:row r="169">
      <x:c r="A169" t="str">
        <x:v>public_0015</x:v>
      </x:c>
      <x:c r="B169" t="str">
        <x:v>browsing</x:v>
      </x:c>
      <x:c r="C169" t="str">
        <x:v>medium</x:v>
      </x:c>
      <x:c r="D169" s="17" t="str">
        <x:v>next ask before hit/override</x:v>
      </x:c>
      <x:c r="E169" s="17" t="str">
        <x:v>(no ask_attribute)</x:v>
      </x:c>
      <x:c r="F169" s="17" t="str">
        <x:v>agent did not ask</x:v>
      </x:c>
      <x:c r="G169" s="17" t="str"/>
      <x:c r="H169" s="17" t="str">
        <x:v>Those options are not quite right yet. Ask me about one specific attribute.</x:v>
      </x:c>
      <x:c r="I169" s="17" t="str"/>
    </x:row>
    <x:row r="170">
      <x:c r="A170" t="str">
        <x:v>public_0016</x:v>
      </x:c>
      <x:c r="B170" t="str">
        <x:v>browsing</x:v>
      </x:c>
      <x:c r="C170" t="str">
        <x:v>medium</x:v>
      </x:c>
      <x:c r="D170" s="17" t="str">
        <x:v>next ask before hit/override</x:v>
      </x:c>
      <x:c r="E170" s="17" t="str">
        <x:v>category</x:v>
      </x:c>
      <x:c r="F170" s="17" t="str">
        <x:v>no new constraint</x:v>
      </x:c>
      <x:c r="G170" s="17" t="str"/>
      <x:c r="H170" s="17" t="str">
        <x:v>I don't have an additional preference for category.</x:v>
      </x:c>
      <x:c r="I170" s="17" t="str"/>
    </x:row>
    <x:row r="171">
      <x:c r="A171" t="str">
        <x:v>public_0016</x:v>
      </x:c>
      <x:c r="B171" t="str">
        <x:v>browsing</x:v>
      </x:c>
      <x:c r="C171" t="str">
        <x:v>medium</x:v>
      </x:c>
      <x:c r="D171" s="17" t="str">
        <x:v>next ask before hit/override</x:v>
      </x:c>
      <x:c r="E171" s="17" t="str">
        <x:v>material</x:v>
      </x:c>
      <x:c r="F171" s="17" t="str">
        <x:v>constraint revealed</x:v>
      </x:c>
      <x:c r="G171" s="17" t="str">
        <x:v>leather</x:v>
      </x:c>
      <x:c r="H171" s="17" t="str">
        <x:v>For that, what matters is: leather.</x:v>
      </x:c>
      <x:c r="I171" s="17" t="str"/>
    </x:row>
    <x:row r="172">
      <x:c r="A172" t="str">
        <x:v>public_0016</x:v>
      </x:c>
      <x:c r="B172" t="str">
        <x:v>browsing</x:v>
      </x:c>
      <x:c r="C172" t="str">
        <x:v>medium</x:v>
      </x:c>
      <x:c r="D172" s="17" t="str">
        <x:v>next ask before hit/override</x:v>
      </x:c>
      <x:c r="E172" s="17" t="str">
        <x:v>color</x:v>
      </x:c>
      <x:c r="F172" s="17" t="str">
        <x:v>no new constraint</x:v>
      </x:c>
      <x:c r="G172" s="17" t="str"/>
      <x:c r="H172" s="17" t="str">
        <x:v>I don't have an additional preference for color.</x:v>
      </x:c>
      <x:c r="I172" s="17" t="str"/>
    </x:row>
    <x:row r="173">
      <x:c r="A173" t="str">
        <x:v>public_0016</x:v>
      </x:c>
      <x:c r="B173" t="str">
        <x:v>browsing</x:v>
      </x:c>
      <x:c r="C173" t="str">
        <x:v>medium</x:v>
      </x:c>
      <x:c r="D173" s="17" t="str">
        <x:v>next ask before hit/override</x:v>
      </x:c>
      <x:c r="E173" s="17" t="str">
        <x:v>size</x:v>
      </x:c>
      <x:c r="F173" s="17" t="str">
        <x:v>no new constraint</x:v>
      </x:c>
      <x:c r="G173" s="17" t="str"/>
      <x:c r="H173" s="17" t="str">
        <x:v>I don't have an additional preference for size.</x:v>
      </x:c>
      <x:c r="I173" s="17" t="str"/>
    </x:row>
    <x:row r="174">
      <x:c r="A174" t="str">
        <x:v>public_0016</x:v>
      </x:c>
      <x:c r="B174" t="str">
        <x:v>browsing</x:v>
      </x:c>
      <x:c r="C174" t="str">
        <x:v>medium</x:v>
      </x:c>
      <x:c r="D174" s="17" t="str">
        <x:v>next ask before hit/override</x:v>
      </x:c>
      <x:c r="E174" s="17" t="str">
        <x:v>style</x:v>
      </x:c>
      <x:c r="F174" s="17" t="str">
        <x:v>no new constraint</x:v>
      </x:c>
      <x:c r="G174" s="17" t="str"/>
      <x:c r="H174" s="17" t="str">
        <x:v>I don't have an additional preference for style.</x:v>
      </x:c>
      <x:c r="I174" s="17" t="str"/>
    </x:row>
    <x:row r="175">
      <x:c r="A175" t="str">
        <x:v>public_0016</x:v>
      </x:c>
      <x:c r="B175" t="str">
        <x:v>browsing</x:v>
      </x:c>
      <x:c r="C175" t="str">
        <x:v>medium</x:v>
      </x:c>
      <x:c r="D175" s="17" t="str">
        <x:v>next ask before hit/override</x:v>
      </x:c>
      <x:c r="E175" s="17" t="str">
        <x:v>brand</x:v>
      </x:c>
      <x:c r="F175" s="17" t="str">
        <x:v>no new constraint</x:v>
      </x:c>
      <x:c r="G175" s="17" t="str"/>
      <x:c r="H175" s="17" t="str">
        <x:v>I don't have an additional preference for brand.</x:v>
      </x:c>
      <x:c r="I175" s="17" t="str"/>
    </x:row>
    <x:row r="176">
      <x:c r="A176" t="str">
        <x:v>public_0016</x:v>
      </x:c>
      <x:c r="B176" t="str">
        <x:v>browsing</x:v>
      </x:c>
      <x:c r="C176" t="str">
        <x:v>medium</x:v>
      </x:c>
      <x:c r="D176" s="17" t="str">
        <x:v>next ask before hit/override</x:v>
      </x:c>
      <x:c r="E176" s="17" t="str">
        <x:v>budget</x:v>
      </x:c>
      <x:c r="F176" s="17" t="str">
        <x:v>no new constraint</x:v>
      </x:c>
      <x:c r="G176" s="17" t="str"/>
      <x:c r="H176" s="17" t="str">
        <x:v>I don't have an additional preference for budget.</x:v>
      </x:c>
      <x:c r="I176" s="17" t="str"/>
    </x:row>
    <x:row r="177">
      <x:c r="A177" t="str">
        <x:v>public_0016</x:v>
      </x:c>
      <x:c r="B177" t="str">
        <x:v>browsing</x:v>
      </x:c>
      <x:c r="C177" t="str">
        <x:v>medium</x:v>
      </x:c>
      <x:c r="D177" s="17" t="str">
        <x:v>next ask before hit/override</x:v>
      </x:c>
      <x:c r="E177" s="17" t="str">
        <x:v>feature</x:v>
      </x:c>
      <x:c r="F177" s="17" t="str">
        <x:v>constraint revealed</x:v>
      </x:c>
      <x:c r="G177" s="17" t="str">
        <x:v>Imported | Rubber sole</x:v>
      </x:c>
      <x:c r="H177" s="17" t="str">
        <x:v>For that, what matters is: Imported; Rubber sole.</x:v>
      </x:c>
      <x:c r="I177" s="17" t="str"/>
    </x:row>
    <x:row r="178">
      <x:c r="A178" t="str">
        <x:v>public_0016</x:v>
      </x:c>
      <x:c r="B178" t="str">
        <x:v>browsing</x:v>
      </x:c>
      <x:c r="C178" t="str">
        <x:v>medium</x:v>
      </x:c>
      <x:c r="D178" s="17" t="str">
        <x:v>next ask before hit/override</x:v>
      </x:c>
      <x:c r="E178" s="17" t="str">
        <x:v>use_case</x:v>
      </x:c>
      <x:c r="F178" s="17" t="str">
        <x:v>no new constraint</x:v>
      </x:c>
      <x:c r="G178" s="17" t="str"/>
      <x:c r="H178" s="17" t="str">
        <x:v>I don't have an additional preference for use_case.</x:v>
      </x:c>
      <x:c r="I178" s="17" t="str"/>
    </x:row>
    <x:row r="179">
      <x:c r="A179" t="str">
        <x:v>public_0016</x:v>
      </x:c>
      <x:c r="B179" t="str">
        <x:v>browsing</x:v>
      </x:c>
      <x:c r="C179" t="str">
        <x:v>medium</x:v>
      </x:c>
      <x:c r="D179" s="17" t="str">
        <x:v>next ask before hit/override</x:v>
      </x:c>
      <x:c r="E179" s="17" t="str">
        <x:v>other</x:v>
      </x:c>
      <x:c r="F179" s="17" t="str">
        <x:v>constraint revealed</x:v>
      </x:c>
      <x:c r="G179" s="17" t="str">
        <x:v>leather | Imported</x:v>
      </x:c>
      <x:c r="H179" s="17" t="str">
        <x:v>For that, what matters is: leather; Imported.</x:v>
      </x:c>
      <x:c r="I179" s="17" t="str"/>
    </x:row>
    <x:row r="180">
      <x:c r="A180" t="str">
        <x:v>public_0016</x:v>
      </x:c>
      <x:c r="B180" t="str">
        <x:v>browsing</x:v>
      </x:c>
      <x:c r="C180" t="str">
        <x:v>medium</x:v>
      </x:c>
      <x:c r="D180" s="17" t="str">
        <x:v>next ask before hit/override</x:v>
      </x:c>
      <x:c r="E180" s="17" t="str">
        <x:v>(no ask_attribute)</x:v>
      </x:c>
      <x:c r="F180" s="17" t="str">
        <x:v>agent did not ask</x:v>
      </x:c>
      <x:c r="G180" s="17" t="str"/>
      <x:c r="H180" s="17" t="str">
        <x:v>Those options are not quite right yet. Ask me about one specific attribute.</x:v>
      </x:c>
      <x:c r="I180" s="17" t="str"/>
    </x:row>
    <x:row r="181">
      <x:c r="A181" t="str">
        <x:v>public_0017</x:v>
      </x:c>
      <x:c r="B181" t="str">
        <x:v>buying</x:v>
      </x:c>
      <x:c r="C181" t="str">
        <x:v>easy</x:v>
      </x:c>
      <x:c r="D181" s="17" t="str">
        <x:v>next ask before hit/override</x:v>
      </x:c>
      <x:c r="E181" s="17" t="str">
        <x:v>category</x:v>
      </x:c>
      <x:c r="F181" s="17" t="str">
        <x:v>no new constraint</x:v>
      </x:c>
      <x:c r="G181" s="17" t="str"/>
      <x:c r="H181" s="17" t="str">
        <x:v>I don't have an additional preference for category.</x:v>
      </x:c>
      <x:c r="I181" s="17" t="str"/>
    </x:row>
    <x:row r="182">
      <x:c r="A182" t="str">
        <x:v>public_0017</x:v>
      </x:c>
      <x:c r="B182" t="str">
        <x:v>buying</x:v>
      </x:c>
      <x:c r="C182" t="str">
        <x:v>easy</x:v>
      </x:c>
      <x:c r="D182" s="17" t="str">
        <x:v>next ask before hit/override</x:v>
      </x:c>
      <x:c r="E182" s="17" t="str">
        <x:v>material</x:v>
      </x:c>
      <x:c r="F182" s="17" t="str">
        <x:v>constraint revealed</x:v>
      </x:c>
      <x:c r="G182" s="17" t="str">
        <x:v>Leather | Leather lining</x:v>
      </x:c>
      <x:c r="H182" s="17" t="str">
        <x:v>For that, what matters is: Leather; Leather lining.</x:v>
      </x:c>
      <x:c r="I182" s="17" t="str"/>
    </x:row>
    <x:row r="183">
      <x:c r="A183" t="str">
        <x:v>public_0017</x:v>
      </x:c>
      <x:c r="B183" t="str">
        <x:v>buying</x:v>
      </x:c>
      <x:c r="C183" t="str">
        <x:v>easy</x:v>
      </x:c>
      <x:c r="D183" s="17" t="str">
        <x:v>next ask before hit/override</x:v>
      </x:c>
      <x:c r="E183" s="17" t="str">
        <x:v>color</x:v>
      </x:c>
      <x:c r="F183" s="17" t="str">
        <x:v>constraint revealed</x:v>
      </x:c>
      <x:c r="G183" s="17" t="str">
        <x:v>color: red</x:v>
      </x:c>
      <x:c r="H183" s="17" t="str">
        <x:v>For that, what matters is: color: red.</x:v>
      </x:c>
      <x:c r="I183" s="17" t="str"/>
    </x:row>
    <x:row r="184">
      <x:c r="A184" t="str">
        <x:v>public_0017</x:v>
      </x:c>
      <x:c r="B184" t="str">
        <x:v>buying</x:v>
      </x:c>
      <x:c r="C184" t="str">
        <x:v>easy</x:v>
      </x:c>
      <x:c r="D184" s="17" t="str">
        <x:v>next ask before hit/override</x:v>
      </x:c>
      <x:c r="E184" s="17" t="str">
        <x:v>size</x:v>
      </x:c>
      <x:c r="F184" s="17" t="str">
        <x:v>no new constraint</x:v>
      </x:c>
      <x:c r="G184" s="17" t="str"/>
      <x:c r="H184" s="17" t="str">
        <x:v>I don't have an additional preference for size.</x:v>
      </x:c>
      <x:c r="I184" s="17" t="str"/>
    </x:row>
    <x:row r="185">
      <x:c r="A185" t="str">
        <x:v>public_0017</x:v>
      </x:c>
      <x:c r="B185" t="str">
        <x:v>buying</x:v>
      </x:c>
      <x:c r="C185" t="str">
        <x:v>easy</x:v>
      </x:c>
      <x:c r="D185" s="17" t="str">
        <x:v>next ask before hit/override</x:v>
      </x:c>
      <x:c r="E185" s="17" t="str">
        <x:v>style</x:v>
      </x:c>
      <x:c r="F185" s="17" t="str">
        <x:v>no new constraint</x:v>
      </x:c>
      <x:c r="G185" s="17" t="str"/>
      <x:c r="H185" s="17" t="str">
        <x:v>I don't have an additional preference for style.</x:v>
      </x:c>
      <x:c r="I185" s="17" t="str"/>
    </x:row>
    <x:row r="186">
      <x:c r="A186" t="str">
        <x:v>public_0017</x:v>
      </x:c>
      <x:c r="B186" t="str">
        <x:v>buying</x:v>
      </x:c>
      <x:c r="C186" t="str">
        <x:v>easy</x:v>
      </x:c>
      <x:c r="D186" s="17" t="str">
        <x:v>next ask before hit/override</x:v>
      </x:c>
      <x:c r="E186" s="17" t="str">
        <x:v>brand</x:v>
      </x:c>
      <x:c r="F186" s="17" t="str">
        <x:v>no new constraint</x:v>
      </x:c>
      <x:c r="G186" s="17" t="str"/>
      <x:c r="H186" s="17" t="str">
        <x:v>I don't have an additional preference for brand.</x:v>
      </x:c>
      <x:c r="I186" s="17" t="str"/>
    </x:row>
    <x:row r="187">
      <x:c r="A187" t="str">
        <x:v>public_0017</x:v>
      </x:c>
      <x:c r="B187" t="str">
        <x:v>buying</x:v>
      </x:c>
      <x:c r="C187" t="str">
        <x:v>easy</x:v>
      </x:c>
      <x:c r="D187" s="17" t="str">
        <x:v>next ask before hit/override</x:v>
      </x:c>
      <x:c r="E187" s="17" t="str">
        <x:v>budget</x:v>
      </x:c>
      <x:c r="F187" s="17" t="str">
        <x:v>no new constraint</x:v>
      </x:c>
      <x:c r="G187" s="17" t="str"/>
      <x:c r="H187" s="17" t="str">
        <x:v>I don't have an additional preference for budget.</x:v>
      </x:c>
      <x:c r="I187" s="17" t="str"/>
    </x:row>
    <x:row r="188">
      <x:c r="A188" t="str">
        <x:v>public_0017</x:v>
      </x:c>
      <x:c r="B188" t="str">
        <x:v>buying</x:v>
      </x:c>
      <x:c r="C188" t="str">
        <x:v>easy</x:v>
      </x:c>
      <x:c r="D188" s="17" t="str">
        <x:v>next ask before hit/override</x:v>
      </x:c>
      <x:c r="E188" s="17" t="str">
        <x:v>feature</x:v>
      </x:c>
      <x:c r="F188" s="17" t="str">
        <x:v>no new constraint</x:v>
      </x:c>
      <x:c r="G188" s="17" t="str"/>
      <x:c r="H188" s="17" t="str">
        <x:v>I don't have an additional preference for feature.</x:v>
      </x:c>
      <x:c r="I188" s="17" t="str"/>
    </x:row>
    <x:row r="189">
      <x:c r="A189" t="str">
        <x:v>public_0017</x:v>
      </x:c>
      <x:c r="B189" t="str">
        <x:v>buying</x:v>
      </x:c>
      <x:c r="C189" t="str">
        <x:v>easy</x:v>
      </x:c>
      <x:c r="D189" s="17" t="str">
        <x:v>next ask before hit/override</x:v>
      </x:c>
      <x:c r="E189" s="17" t="str">
        <x:v>use_case</x:v>
      </x:c>
      <x:c r="F189" s="17" t="str">
        <x:v>no new constraint</x:v>
      </x:c>
      <x:c r="G189" s="17" t="str"/>
      <x:c r="H189" s="17" t="str">
        <x:v>I don't have an additional preference for use_case.</x:v>
      </x:c>
      <x:c r="I189" s="17" t="str"/>
    </x:row>
    <x:row r="190">
      <x:c r="A190" t="str">
        <x:v>public_0017</x:v>
      </x:c>
      <x:c r="B190" t="str">
        <x:v>buying</x:v>
      </x:c>
      <x:c r="C190" t="str">
        <x:v>easy</x:v>
      </x:c>
      <x:c r="D190" s="17" t="str">
        <x:v>next ask before hit/override</x:v>
      </x:c>
      <x:c r="E190" s="17" t="str">
        <x:v>other</x:v>
      </x:c>
      <x:c r="F190" s="17" t="str">
        <x:v>constraint revealed</x:v>
      </x:c>
      <x:c r="G190" s="17" t="str">
        <x:v>color: red | Leather</x:v>
      </x:c>
      <x:c r="H190" s="17" t="str">
        <x:v>For that, what matters is: color: red; Leather.</x:v>
      </x:c>
      <x:c r="I190" s="17" t="str"/>
    </x:row>
    <x:row r="191">
      <x:c r="A191" t="str">
        <x:v>public_0017</x:v>
      </x:c>
      <x:c r="B191" t="str">
        <x:v>buying</x:v>
      </x:c>
      <x:c r="C191" t="str">
        <x:v>easy</x:v>
      </x:c>
      <x:c r="D191" s="17" t="str">
        <x:v>next ask before hit/override</x:v>
      </x:c>
      <x:c r="E191" s="17" t="str">
        <x:v>(no ask_attribute)</x:v>
      </x:c>
      <x:c r="F191" s="17" t="str">
        <x:v>agent did not ask</x:v>
      </x:c>
      <x:c r="G191" s="17" t="str"/>
      <x:c r="H191" s="17" t="str">
        <x:v>Those options are not quite right yet. Ask me about one specific attribute.</x:v>
      </x:c>
      <x:c r="I191" s="17" t="str"/>
    </x:row>
    <x:row r="192">
      <x:c r="A192" t="str">
        <x:v>public_0018</x:v>
      </x:c>
      <x:c r="B192" t="str">
        <x:v>buying</x:v>
      </x:c>
      <x:c r="C192" t="str">
        <x:v>easy</x:v>
      </x:c>
      <x:c r="D192" s="17" t="str">
        <x:v>next ask before hit/override</x:v>
      </x:c>
      <x:c r="E192" s="17" t="str">
        <x:v>category</x:v>
      </x:c>
      <x:c r="F192" s="17" t="str">
        <x:v>no new constraint</x:v>
      </x:c>
      <x:c r="G192" s="17" t="str"/>
      <x:c r="H192" s="17" t="str">
        <x:v>I don't have an additional preference for category.</x:v>
      </x:c>
      <x:c r="I192" s="17" t="str"/>
    </x:row>
    <x:row r="193">
      <x:c r="A193" t="str">
        <x:v>public_0018</x:v>
      </x:c>
      <x:c r="B193" t="str">
        <x:v>buying</x:v>
      </x:c>
      <x:c r="C193" t="str">
        <x:v>easy</x:v>
      </x:c>
      <x:c r="D193" s="17" t="str">
        <x:v>next ask before hit/override</x:v>
      </x:c>
      <x:c r="E193" s="17" t="str">
        <x:v>material</x:v>
      </x:c>
      <x:c r="F193" s="17" t="str">
        <x:v>constraint revealed</x:v>
      </x:c>
      <x:c r="G193" s="17" t="str">
        <x:v>Modal,Polyester,Cotton | Material: 95%Cotton &amp; 5%Polyester - Made of Superior Quality Modal Fiber, Ultra Light-Weight, Soft &amp; Smooth, Feels Really Comfortable, Which Keep You Cool &amp; Dry All Day Long</x:v>
      </x:c>
      <x:c r="H193" s="17" t="str">
        <x:v>For that, what matters is: Modal,Polyester,Cotton; Material: 95%Cotton &amp; 5%Polyester - Made of Superior Quality Modal Fiber, Ultra Light-Weight, Soft &amp; Smooth, Feels Really Comfortable, Which Keep You Cool &amp; Dry All Day Long.</x:v>
      </x:c>
      <x:c r="I193" s="17" t="str"/>
    </x:row>
    <x:row r="194">
      <x:c r="A194" t="str">
        <x:v>public_0018</x:v>
      </x:c>
      <x:c r="B194" t="str">
        <x:v>buying</x:v>
      </x:c>
      <x:c r="C194" t="str">
        <x:v>easy</x:v>
      </x:c>
      <x:c r="D194" s="17" t="str">
        <x:v>next ask before hit/override</x:v>
      </x:c>
      <x:c r="E194" s="17" t="str">
        <x:v>color</x:v>
      </x:c>
      <x:c r="F194" s="17" t="str">
        <x:v>no new constraint</x:v>
      </x:c>
      <x:c r="G194" s="17" t="str"/>
      <x:c r="H194" s="17" t="str">
        <x:v>I don't have an additional preference for color.</x:v>
      </x:c>
      <x:c r="I194" s="17" t="str"/>
    </x:row>
    <x:row r="195">
      <x:c r="A195" t="str">
        <x:v>public_0018</x:v>
      </x:c>
      <x:c r="B195" t="str">
        <x:v>buying</x:v>
      </x:c>
      <x:c r="C195" t="str">
        <x:v>easy</x:v>
      </x:c>
      <x:c r="D195" s="17" t="str">
        <x:v>next ask before hit/override</x:v>
      </x:c>
      <x:c r="E195" s="17" t="str">
        <x:v>size</x:v>
      </x:c>
      <x:c r="F195" s="17" t="str">
        <x:v>no new constraint</x:v>
      </x:c>
      <x:c r="G195" s="17" t="str"/>
      <x:c r="H195" s="17" t="str">
        <x:v>I don't have an additional preference for size.</x:v>
      </x:c>
      <x:c r="I195" s="17" t="str"/>
    </x:row>
    <x:row r="196">
      <x:c r="A196" t="str">
        <x:v>public_0018</x:v>
      </x:c>
      <x:c r="B196" t="str">
        <x:v>buying</x:v>
      </x:c>
      <x:c r="C196" t="str">
        <x:v>easy</x:v>
      </x:c>
      <x:c r="D196" s="17" t="str">
        <x:v>next ask before hit/override</x:v>
      </x:c>
      <x:c r="E196" s="17" t="str">
        <x:v>style</x:v>
      </x:c>
      <x:c r="F196" s="17" t="str">
        <x:v>no new constraint</x:v>
      </x:c>
      <x:c r="G196" s="17" t="str"/>
      <x:c r="H196" s="17" t="str">
        <x:v>I don't have an additional preference for style.</x:v>
      </x:c>
      <x:c r="I196" s="17" t="str"/>
    </x:row>
    <x:row r="197">
      <x:c r="A197" t="str">
        <x:v>public_0018</x:v>
      </x:c>
      <x:c r="B197" t="str">
        <x:v>buying</x:v>
      </x:c>
      <x:c r="C197" t="str">
        <x:v>easy</x:v>
      </x:c>
      <x:c r="D197" s="17" t="str">
        <x:v>next ask before hit/override</x:v>
      </x:c>
      <x:c r="E197" s="17" t="str">
        <x:v>brand</x:v>
      </x:c>
      <x:c r="F197" s="17" t="str">
        <x:v>no new constraint</x:v>
      </x:c>
      <x:c r="G197" s="17" t="str"/>
      <x:c r="H197" s="17" t="str">
        <x:v>I don't have an additional preference for brand.</x:v>
      </x:c>
      <x:c r="I197" s="17" t="str"/>
    </x:row>
    <x:row r="198">
      <x:c r="A198" t="str">
        <x:v>public_0018</x:v>
      </x:c>
      <x:c r="B198" t="str">
        <x:v>buying</x:v>
      </x:c>
      <x:c r="C198" t="str">
        <x:v>easy</x:v>
      </x:c>
      <x:c r="D198" s="17" t="str">
        <x:v>next ask before hit/override</x:v>
      </x:c>
      <x:c r="E198" s="17" t="str">
        <x:v>budget</x:v>
      </x:c>
      <x:c r="F198" s="17" t="str">
        <x:v>no new constraint</x:v>
      </x:c>
      <x:c r="G198" s="17" t="str"/>
      <x:c r="H198" s="17" t="str">
        <x:v>I don't have an additional preference for budget.</x:v>
      </x:c>
      <x:c r="I198" s="17" t="str"/>
    </x:row>
    <x:row r="199">
      <x:c r="A199" t="str">
        <x:v>public_0018</x:v>
      </x:c>
      <x:c r="B199" t="str">
        <x:v>buying</x:v>
      </x:c>
      <x:c r="C199" t="str">
        <x:v>easy</x:v>
      </x:c>
      <x:c r="D199" s="17" t="str">
        <x:v>next ask before hit/override</x:v>
      </x:c>
      <x:c r="E199" s="17" t="str">
        <x:v>feature</x:v>
      </x:c>
      <x:c r="F199" s="17" t="str">
        <x:v>constraint revealed</x:v>
      </x:c>
      <x:c r="G199" s="17" t="str">
        <x:v>Pull On closure</x:v>
      </x:c>
      <x:c r="H199" s="17" t="str">
        <x:v>For that, what matters is: Pull On closure.</x:v>
      </x:c>
      <x:c r="I199" s="17" t="str"/>
    </x:row>
    <x:row r="200">
      <x:c r="A200" t="str">
        <x:v>public_0018</x:v>
      </x:c>
      <x:c r="B200" t="str">
        <x:v>buying</x:v>
      </x:c>
      <x:c r="C200" t="str">
        <x:v>easy</x:v>
      </x:c>
      <x:c r="D200" s="17" t="str">
        <x:v>next ask before hit/override</x:v>
      </x:c>
      <x:c r="E200" s="17" t="str">
        <x:v>use_case</x:v>
      </x:c>
      <x:c r="F200" s="17" t="str">
        <x:v>no new constraint</x:v>
      </x:c>
      <x:c r="G200" s="17" t="str"/>
      <x:c r="H200" s="17" t="str">
        <x:v>I don't have an additional preference for use_case.</x:v>
      </x:c>
      <x:c r="I200" s="17" t="str"/>
    </x:row>
    <x:row r="201">
      <x:c r="A201" t="str">
        <x:v>public_0018</x:v>
      </x:c>
      <x:c r="B201" t="str">
        <x:v>buying</x:v>
      </x:c>
      <x:c r="C201" t="str">
        <x:v>easy</x:v>
      </x:c>
      <x:c r="D201" s="17" t="str">
        <x:v>next ask before hit/override</x:v>
      </x:c>
      <x:c r="E201" s="17" t="str">
        <x:v>other</x:v>
      </x:c>
      <x:c r="F201" s="17" t="str">
        <x:v>constraint revealed</x:v>
      </x:c>
      <x:c r="G201" s="17" t="str">
        <x:v>Modal,Polyester,Cotton | Pull On closure</x:v>
      </x:c>
      <x:c r="H201" s="17" t="str">
        <x:v>For that, what matters is: Modal,Polyester,Cotton; Pull On closure.</x:v>
      </x:c>
      <x:c r="I201" s="17" t="str"/>
    </x:row>
    <x:row r="202">
      <x:c r="A202" t="str">
        <x:v>public_0018</x:v>
      </x:c>
      <x:c r="B202" t="str">
        <x:v>buying</x:v>
      </x:c>
      <x:c r="C202" t="str">
        <x:v>easy</x:v>
      </x:c>
      <x:c r="D202" s="17" t="str">
        <x:v>next ask before hit/override</x:v>
      </x:c>
      <x:c r="E202" s="17" t="str">
        <x:v>(no ask_attribute)</x:v>
      </x:c>
      <x:c r="F202" s="17" t="str">
        <x:v>agent did not ask</x:v>
      </x:c>
      <x:c r="G202" s="17" t="str"/>
      <x:c r="H202" s="17" t="str">
        <x:v>Those options are not quite right yet. Ask me about one specific attribute.</x:v>
      </x:c>
      <x:c r="I202" s="17" t="str"/>
    </x:row>
    <x:row r="203">
      <x:c r="A203" t="str">
        <x:v>public_0019</x:v>
      </x:c>
      <x:c r="B203" t="str">
        <x:v>browsing</x:v>
      </x:c>
      <x:c r="C203" t="str">
        <x:v>medium</x:v>
      </x:c>
      <x:c r="D203" s="17" t="str">
        <x:v>next ask before hit/override</x:v>
      </x:c>
      <x:c r="E203" s="17" t="str">
        <x:v>category</x:v>
      </x:c>
      <x:c r="F203" s="17" t="str">
        <x:v>no new constraint</x:v>
      </x:c>
      <x:c r="G203" s="17" t="str"/>
      <x:c r="H203" s="17" t="str">
        <x:v>I don't have an additional preference for category.</x:v>
      </x:c>
      <x:c r="I203" s="17" t="str"/>
    </x:row>
    <x:row r="204">
      <x:c r="A204" t="str">
        <x:v>public_0019</x:v>
      </x:c>
      <x:c r="B204" t="str">
        <x:v>browsing</x:v>
      </x:c>
      <x:c r="C204" t="str">
        <x:v>medium</x:v>
      </x:c>
      <x:c r="D204" s="17" t="str">
        <x:v>next ask before hit/override</x:v>
      </x:c>
      <x:c r="E204" s="17" t="str">
        <x:v>material</x:v>
      </x:c>
      <x:c r="F204" s="17" t="str">
        <x:v>no new constraint</x:v>
      </x:c>
      <x:c r="G204" s="17" t="str"/>
      <x:c r="H204" s="17" t="str">
        <x:v>I don't have an additional preference for material.</x:v>
      </x:c>
      <x:c r="I204" s="17" t="str"/>
    </x:row>
    <x:row r="205">
      <x:c r="A205" t="str">
        <x:v>public_0019</x:v>
      </x:c>
      <x:c r="B205" t="str">
        <x:v>browsing</x:v>
      </x:c>
      <x:c r="C205" t="str">
        <x:v>medium</x:v>
      </x:c>
      <x:c r="D205" s="17" t="str">
        <x:v>next ask before hit/override</x:v>
      </x:c>
      <x:c r="E205" s="17" t="str">
        <x:v>color</x:v>
      </x:c>
      <x:c r="F205" s="17" t="str">
        <x:v>no new constraint</x:v>
      </x:c>
      <x:c r="G205" s="17" t="str"/>
      <x:c r="H205" s="17" t="str">
        <x:v>I don't have an additional preference for color.</x:v>
      </x:c>
      <x:c r="I205" s="17" t="str"/>
    </x:row>
    <x:row r="206">
      <x:c r="A206" t="str">
        <x:v>public_0019</x:v>
      </x:c>
      <x:c r="B206" t="str">
        <x:v>browsing</x:v>
      </x:c>
      <x:c r="C206" t="str">
        <x:v>medium</x:v>
      </x:c>
      <x:c r="D206" s="17" t="str">
        <x:v>next ask before hit/override</x:v>
      </x:c>
      <x:c r="E206" s="17" t="str">
        <x:v>size</x:v>
      </x:c>
      <x:c r="F206" s="17" t="str">
        <x:v>no new constraint</x:v>
      </x:c>
      <x:c r="G206" s="17" t="str"/>
      <x:c r="H206" s="17" t="str">
        <x:v>I don't have an additional preference for size.</x:v>
      </x:c>
      <x:c r="I206" s="17" t="str"/>
    </x:row>
    <x:row r="207">
      <x:c r="A207" t="str">
        <x:v>public_0019</x:v>
      </x:c>
      <x:c r="B207" t="str">
        <x:v>browsing</x:v>
      </x:c>
      <x:c r="C207" t="str">
        <x:v>medium</x:v>
      </x:c>
      <x:c r="D207" s="17" t="str">
        <x:v>next ask before hit/override</x:v>
      </x:c>
      <x:c r="E207" s="17" t="str">
        <x:v>style</x:v>
      </x:c>
      <x:c r="F207" s="17" t="str">
        <x:v>no new constraint</x:v>
      </x:c>
      <x:c r="G207" s="17" t="str"/>
      <x:c r="H207" s="17" t="str">
        <x:v>I don't have an additional preference for style.</x:v>
      </x:c>
      <x:c r="I207" s="17" t="str"/>
    </x:row>
    <x:row r="208">
      <x:c r="A208" t="str">
        <x:v>public_0019</x:v>
      </x:c>
      <x:c r="B208" t="str">
        <x:v>browsing</x:v>
      </x:c>
      <x:c r="C208" t="str">
        <x:v>medium</x:v>
      </x:c>
      <x:c r="D208" s="17" t="str">
        <x:v>next ask before hit/override</x:v>
      </x:c>
      <x:c r="E208" s="17" t="str">
        <x:v>brand</x:v>
      </x:c>
      <x:c r="F208" s="17" t="str">
        <x:v>no new constraint</x:v>
      </x:c>
      <x:c r="G208" s="17" t="str"/>
      <x:c r="H208" s="17" t="str">
        <x:v>I don't have an additional preference for brand.</x:v>
      </x:c>
      <x:c r="I208" s="17" t="str"/>
    </x:row>
    <x:row r="209">
      <x:c r="A209" t="str">
        <x:v>public_0019</x:v>
      </x:c>
      <x:c r="B209" t="str">
        <x:v>browsing</x:v>
      </x:c>
      <x:c r="C209" t="str">
        <x:v>medium</x:v>
      </x:c>
      <x:c r="D209" s="17" t="str">
        <x:v>next ask before hit/override</x:v>
      </x:c>
      <x:c r="E209" s="17" t="str">
        <x:v>budget</x:v>
      </x:c>
      <x:c r="F209" s="17" t="str">
        <x:v>no new constraint</x:v>
      </x:c>
      <x:c r="G209" s="17" t="str"/>
      <x:c r="H209" s="17" t="str">
        <x:v>I don't have an additional preference for budget.</x:v>
      </x:c>
      <x:c r="I209" s="17" t="str"/>
    </x:row>
    <x:row r="210">
      <x:c r="A210" t="str">
        <x:v>public_0019</x:v>
      </x:c>
      <x:c r="B210" t="str">
        <x:v>browsing</x:v>
      </x:c>
      <x:c r="C210" t="str">
        <x:v>medium</x:v>
      </x:c>
      <x:c r="D210" s="17" t="str">
        <x:v>next ask before hit/override</x:v>
      </x:c>
      <x:c r="E210" s="17" t="str">
        <x:v>feature</x:v>
      </x:c>
      <x:c r="F210" s="17" t="str">
        <x:v>constraint revealed</x:v>
      </x:c>
      <x:c r="G210" s="17" t="str">
        <x:v>Rubber sole | Shaft measures approximately 5.5" from arch</x:v>
      </x:c>
      <x:c r="H210" s="17" t="str">
        <x:v>For that, what matters is: Rubber sole; Shaft measures approximately 5.5" from arch.</x:v>
      </x:c>
      <x:c r="I210" s="17" t="str"/>
    </x:row>
    <x:row r="211">
      <x:c r="A211" t="str">
        <x:v>public_0019</x:v>
      </x:c>
      <x:c r="B211" t="str">
        <x:v>browsing</x:v>
      </x:c>
      <x:c r="C211" t="str">
        <x:v>medium</x:v>
      </x:c>
      <x:c r="D211" s="17" t="str">
        <x:v>next ask before hit/override</x:v>
      </x:c>
      <x:c r="E211" s="17" t="str">
        <x:v>use_case</x:v>
      </x:c>
      <x:c r="F211" s="17" t="str">
        <x:v>no new constraint</x:v>
      </x:c>
      <x:c r="G211" s="17" t="str"/>
      <x:c r="H211" s="17" t="str">
        <x:v>I don't have an additional preference for use_case.</x:v>
      </x:c>
      <x:c r="I211" s="17" t="str"/>
    </x:row>
    <x:row r="212">
      <x:c r="A212" t="str">
        <x:v>public_0019</x:v>
      </x:c>
      <x:c r="B212" t="str">
        <x:v>browsing</x:v>
      </x:c>
      <x:c r="C212" t="str">
        <x:v>medium</x:v>
      </x:c>
      <x:c r="D212" s="17" t="str">
        <x:v>next ask before hit/override</x:v>
      </x:c>
      <x:c r="E212" s="17" t="str">
        <x:v>other</x:v>
      </x:c>
      <x:c r="F212" s="17" t="str">
        <x:v>constraint revealed</x:v>
      </x:c>
      <x:c r="G212" s="17" t="str">
        <x:v>Rubber sole | Shaft measures approximately 5.5" from arch</x:v>
      </x:c>
      <x:c r="H212" s="17" t="str">
        <x:v>For that, what matters is: Rubber sole; Shaft measures approximately 5.5" from arch.</x:v>
      </x:c>
      <x:c r="I212" s="17" t="str"/>
    </x:row>
    <x:row r="213">
      <x:c r="A213" t="str">
        <x:v>public_0019</x:v>
      </x:c>
      <x:c r="B213" t="str">
        <x:v>browsing</x:v>
      </x:c>
      <x:c r="C213" t="str">
        <x:v>medium</x:v>
      </x:c>
      <x:c r="D213" s="17" t="str">
        <x:v>next ask before hit/override</x:v>
      </x:c>
      <x:c r="E213" s="17" t="str">
        <x:v>(no ask_attribute)</x:v>
      </x:c>
      <x:c r="F213" s="17" t="str">
        <x:v>agent did not ask</x:v>
      </x:c>
      <x:c r="G213" s="17" t="str"/>
      <x:c r="H213" s="17" t="str">
        <x:v>Those options are not quite right yet. Ask me about one specific attribute.</x:v>
      </x:c>
      <x:c r="I213" s="17" t="str"/>
    </x:row>
    <x:row r="214">
      <x:c r="A214" t="str">
        <x:v>public_0020</x:v>
      </x:c>
      <x:c r="B214" t="str">
        <x:v>buying</x:v>
      </x:c>
      <x:c r="C214" t="str">
        <x:v>easy</x:v>
      </x:c>
      <x:c r="D214" s="17" t="str">
        <x:v>next ask before hit/override</x:v>
      </x:c>
      <x:c r="E214" s="17" t="str">
        <x:v>category</x:v>
      </x:c>
      <x:c r="F214" s="17" t="str">
        <x:v>no new constraint</x:v>
      </x:c>
      <x:c r="G214" s="17" t="str"/>
      <x:c r="H214" s="17" t="str">
        <x:v>I don't have an additional preference for category.</x:v>
      </x:c>
      <x:c r="I214" s="17" t="str"/>
    </x:row>
    <x:row r="215">
      <x:c r="A215" t="str">
        <x:v>public_0020</x:v>
      </x:c>
      <x:c r="B215" t="str">
        <x:v>buying</x:v>
      </x:c>
      <x:c r="C215" t="str">
        <x:v>easy</x:v>
      </x:c>
      <x:c r="D215" s="17" t="str">
        <x:v>next ask before hit/override</x:v>
      </x:c>
      <x:c r="E215" s="17" t="str">
        <x:v>material</x:v>
      </x:c>
      <x:c r="F215" s="17" t="str">
        <x:v>constraint revealed</x:v>
      </x:c>
      <x:c r="G215" s="17" t="str">
        <x:v>Solid colors: 100% Cotton; Heather Grey: 90% Cotton, 10% Polyester; All Other Heathers: 50% Cotton, 50% Polyester</x:v>
      </x:c>
      <x:c r="H215" s="17" t="str">
        <x:v>For that, what matters is: Solid colors: 100% Cotton; Heather Grey: 90% Cotton, 10% Polyester; All Other Heathers: 50% Cotton, 50% Polyester.</x:v>
      </x:c>
      <x:c r="I215" s="17" t="str"/>
    </x:row>
    <x:row r="216">
      <x:c r="A216" t="str">
        <x:v>public_0020</x:v>
      </x:c>
      <x:c r="B216" t="str">
        <x:v>buying</x:v>
      </x:c>
      <x:c r="C216" t="str">
        <x:v>easy</x:v>
      </x:c>
      <x:c r="D216" s="17" t="str">
        <x:v>next ask before hit/override</x:v>
      </x:c>
      <x:c r="E216" s="17" t="str">
        <x:v>color</x:v>
      </x:c>
      <x:c r="F216" s="17" t="str">
        <x:v>constraint revealed</x:v>
      </x:c>
      <x:c r="G216" s="17" t="str">
        <x:v>color: grey</x:v>
      </x:c>
      <x:c r="H216" s="17" t="str">
        <x:v>For that, what matters is: color: grey.</x:v>
      </x:c>
      <x:c r="I216" s="17" t="str"/>
    </x:row>
    <x:row r="217">
      <x:c r="A217" t="str">
        <x:v>public_0020</x:v>
      </x:c>
      <x:c r="B217" t="str">
        <x:v>buying</x:v>
      </x:c>
      <x:c r="C217" t="str">
        <x:v>easy</x:v>
      </x:c>
      <x:c r="D217" s="17" t="str">
        <x:v>next ask before hit/override</x:v>
      </x:c>
      <x:c r="E217" s="17" t="str">
        <x:v>size</x:v>
      </x:c>
      <x:c r="F217" s="17" t="str">
        <x:v>no new constraint</x:v>
      </x:c>
      <x:c r="G217" s="17" t="str"/>
      <x:c r="H217" s="17" t="str">
        <x:v>I don't have an additional preference for size.</x:v>
      </x:c>
      <x:c r="I217" s="17" t="str"/>
    </x:row>
    <x:row r="218">
      <x:c r="A218" t="str">
        <x:v>public_0020</x:v>
      </x:c>
      <x:c r="B218" t="str">
        <x:v>buying</x:v>
      </x:c>
      <x:c r="C218" t="str">
        <x:v>easy</x:v>
      </x:c>
      <x:c r="D218" s="17" t="str">
        <x:v>next ask before hit/override</x:v>
      </x:c>
      <x:c r="E218" s="17" t="str">
        <x:v>style</x:v>
      </x:c>
      <x:c r="F218" s="17" t="str">
        <x:v>no new constraint</x:v>
      </x:c>
      <x:c r="G218" s="17" t="str"/>
      <x:c r="H218" s="17" t="str">
        <x:v>I don't have an additional preference for style.</x:v>
      </x:c>
      <x:c r="I218" s="17" t="str"/>
    </x:row>
    <x:row r="219">
      <x:c r="A219" t="str">
        <x:v>public_0020</x:v>
      </x:c>
      <x:c r="B219" t="str">
        <x:v>buying</x:v>
      </x:c>
      <x:c r="C219" t="str">
        <x:v>easy</x:v>
      </x:c>
      <x:c r="D219" s="17" t="str">
        <x:v>next ask before hit/override</x:v>
      </x:c>
      <x:c r="E219" s="17" t="str">
        <x:v>brand</x:v>
      </x:c>
      <x:c r="F219" s="17" t="str">
        <x:v>no new constraint</x:v>
      </x:c>
      <x:c r="G219" s="17" t="str"/>
      <x:c r="H219" s="17" t="str">
        <x:v>I don't have an additional preference for brand.</x:v>
      </x:c>
      <x:c r="I219" s="17" t="str"/>
    </x:row>
    <x:row r="220">
      <x:c r="A220" t="str">
        <x:v>public_0020</x:v>
      </x:c>
      <x:c r="B220" t="str">
        <x:v>buying</x:v>
      </x:c>
      <x:c r="C220" t="str">
        <x:v>easy</x:v>
      </x:c>
      <x:c r="D220" s="17" t="str">
        <x:v>next ask before hit/override</x:v>
      </x:c>
      <x:c r="E220" s="17" t="str">
        <x:v>budget</x:v>
      </x:c>
      <x:c r="F220" s="17" t="str">
        <x:v>no new constraint</x:v>
      </x:c>
      <x:c r="G220" s="17" t="str"/>
      <x:c r="H220" s="17" t="str">
        <x:v>I don't have an additional preference for budget.</x:v>
      </x:c>
      <x:c r="I220" s="17" t="str"/>
    </x:row>
    <x:row r="221">
      <x:c r="A221" t="str">
        <x:v>public_0020</x:v>
      </x:c>
      <x:c r="B221" t="str">
        <x:v>buying</x:v>
      </x:c>
      <x:c r="C221" t="str">
        <x:v>easy</x:v>
      </x:c>
      <x:c r="D221" s="17" t="str">
        <x:v>next ask before hit/override</x:v>
      </x:c>
      <x:c r="E221" s="17" t="str">
        <x:v>feature</x:v>
      </x:c>
      <x:c r="F221" s="17" t="str">
        <x:v>constraint revealed</x:v>
      </x:c>
      <x:c r="G221" s="17" t="str">
        <x:v>Imported</x:v>
      </x:c>
      <x:c r="H221" s="17" t="str">
        <x:v>For that, what matters is: Imported.</x:v>
      </x:c>
      <x:c r="I221" s="17" t="str"/>
    </x:row>
    <x:row r="222">
      <x:c r="A222" t="str">
        <x:v>public_0020</x:v>
      </x:c>
      <x:c r="B222" t="str">
        <x:v>buying</x:v>
      </x:c>
      <x:c r="C222" t="str">
        <x:v>easy</x:v>
      </x:c>
      <x:c r="D222" s="17" t="str">
        <x:v>next ask before hit/override</x:v>
      </x:c>
      <x:c r="E222" s="17" t="str">
        <x:v>use_case</x:v>
      </x:c>
      <x:c r="F222" s="17" t="str">
        <x:v>no new constraint</x:v>
      </x:c>
      <x:c r="G222" s="17" t="str"/>
      <x:c r="H222" s="17" t="str">
        <x:v>I don't have an additional preference for use_case.</x:v>
      </x:c>
      <x:c r="I222" s="17" t="str"/>
    </x:row>
    <x:row r="223">
      <x:c r="A223" t="str">
        <x:v>public_0020</x:v>
      </x:c>
      <x:c r="B223" t="str">
        <x:v>buying</x:v>
      </x:c>
      <x:c r="C223" t="str">
        <x:v>easy</x:v>
      </x:c>
      <x:c r="D223" s="17" t="str">
        <x:v>next ask before hit/override</x:v>
      </x:c>
      <x:c r="E223" s="17" t="str">
        <x:v>other</x:v>
      </x:c>
      <x:c r="F223" s="17" t="str">
        <x:v>constraint revealed</x:v>
      </x:c>
      <x:c r="G223" s="17" t="str">
        <x:v>color: grey | Solid colors: 100% Cotton; Heather Grey: 90% Cotton, 10% Polyester; All Other Heathers: 50% Cotton, 50% Polyester</x:v>
      </x:c>
      <x:c r="H223" s="17" t="str">
        <x:v>For that, what matters is: color: grey; Solid colors: 100% Cotton; Heather Grey: 90% Cotton, 10% Polyester; All Other Heathers: 50% Cotton, 50% Polyester.</x:v>
      </x:c>
      <x:c r="I223" s="17" t="str"/>
    </x:row>
    <x:row r="224">
      <x:c r="A224" t="str">
        <x:v>public_0020</x:v>
      </x:c>
      <x:c r="B224" t="str">
        <x:v>buying</x:v>
      </x:c>
      <x:c r="C224" t="str">
        <x:v>easy</x:v>
      </x:c>
      <x:c r="D224" s="17" t="str">
        <x:v>next ask before hit/override</x:v>
      </x:c>
      <x:c r="E224" s="17" t="str">
        <x:v>(no ask_attribute)</x:v>
      </x:c>
      <x:c r="F224" s="17" t="str">
        <x:v>agent did not ask</x:v>
      </x:c>
      <x:c r="G224" s="17" t="str"/>
      <x:c r="H224" s="17" t="str">
        <x:v>Those options are not quite right yet. Ask me about one specific attribute.</x:v>
      </x:c>
      <x:c r="I224" s="17" t="str"/>
    </x:row>
    <x:row r="225">
      <x:c r="A225" t="str">
        <x:v>public_0021</x:v>
      </x:c>
      <x:c r="B225" t="str">
        <x:v>browsing</x:v>
      </x:c>
      <x:c r="C225" t="str">
        <x:v>medium</x:v>
      </x:c>
      <x:c r="D225" s="17" t="str">
        <x:v>next ask before hit/override</x:v>
      </x:c>
      <x:c r="E225" s="17" t="str">
        <x:v>category</x:v>
      </x:c>
      <x:c r="F225" s="17" t="str">
        <x:v>no new constraint</x:v>
      </x:c>
      <x:c r="G225" s="17" t="str"/>
      <x:c r="H225" s="17" t="str">
        <x:v>I don't have an additional preference for category.</x:v>
      </x:c>
      <x:c r="I225" s="17" t="str"/>
    </x:row>
    <x:row r="226">
      <x:c r="A226" t="str">
        <x:v>public_0021</x:v>
      </x:c>
      <x:c r="B226" t="str">
        <x:v>browsing</x:v>
      </x:c>
      <x:c r="C226" t="str">
        <x:v>medium</x:v>
      </x:c>
      <x:c r="D226" s="17" t="str">
        <x:v>next ask before hit/override</x:v>
      </x:c>
      <x:c r="E226" s="17" t="str">
        <x:v>material</x:v>
      </x:c>
      <x:c r="F226" s="17" t="str">
        <x:v>constraint revealed</x:v>
      </x:c>
      <x:c r="G226" s="17" t="str">
        <x:v>polyester | 98% Polyester, 2% Spandex</x:v>
      </x:c>
      <x:c r="H226" s="17" t="str">
        <x:v>For that, what matters is: polyester; 98% Polyester, 2% Spandex.</x:v>
      </x:c>
      <x:c r="I226" s="17" t="str"/>
    </x:row>
    <x:row r="227">
      <x:c r="A227" t="str">
        <x:v>public_0021</x:v>
      </x:c>
      <x:c r="B227" t="str">
        <x:v>browsing</x:v>
      </x:c>
      <x:c r="C227" t="str">
        <x:v>medium</x:v>
      </x:c>
      <x:c r="D227" s="17" t="str">
        <x:v>next ask before hit/override</x:v>
      </x:c>
      <x:c r="E227" s="17" t="str">
        <x:v>color</x:v>
      </x:c>
      <x:c r="F227" s="17" t="str">
        <x:v>no new constraint</x:v>
      </x:c>
      <x:c r="G227" s="17" t="str"/>
      <x:c r="H227" s="17" t="str">
        <x:v>I don't have an additional preference for color.</x:v>
      </x:c>
      <x:c r="I227" s="17" t="str"/>
    </x:row>
    <x:row r="228">
      <x:c r="A228" t="str">
        <x:v>public_0021</x:v>
      </x:c>
      <x:c r="B228" t="str">
        <x:v>browsing</x:v>
      </x:c>
      <x:c r="C228" t="str">
        <x:v>medium</x:v>
      </x:c>
      <x:c r="D228" s="17" t="str">
        <x:v>next ask before hit/override</x:v>
      </x:c>
      <x:c r="E228" s="17" t="str">
        <x:v>size</x:v>
      </x:c>
      <x:c r="F228" s="17" t="str">
        <x:v>no new constraint</x:v>
      </x:c>
      <x:c r="G228" s="17" t="str"/>
      <x:c r="H228" s="17" t="str">
        <x:v>I don't have an additional preference for size.</x:v>
      </x:c>
      <x:c r="I228" s="17" t="str"/>
    </x:row>
    <x:row r="229">
      <x:c r="A229" t="str">
        <x:v>public_0021</x:v>
      </x:c>
      <x:c r="B229" t="str">
        <x:v>browsing</x:v>
      </x:c>
      <x:c r="C229" t="str">
        <x:v>medium</x:v>
      </x:c>
      <x:c r="D229" s="17" t="str">
        <x:v>next ask before hit/override</x:v>
      </x:c>
      <x:c r="E229" s="17" t="str">
        <x:v>style</x:v>
      </x:c>
      <x:c r="F229" s="17" t="str">
        <x:v>no new constraint</x:v>
      </x:c>
      <x:c r="G229" s="17" t="str"/>
      <x:c r="H229" s="17" t="str">
        <x:v>I don't have an additional preference for style.</x:v>
      </x:c>
      <x:c r="I229" s="17" t="str"/>
    </x:row>
    <x:row r="230">
      <x:c r="A230" t="str">
        <x:v>public_0021</x:v>
      </x:c>
      <x:c r="B230" t="str">
        <x:v>browsing</x:v>
      </x:c>
      <x:c r="C230" t="str">
        <x:v>medium</x:v>
      </x:c>
      <x:c r="D230" s="17" t="str">
        <x:v>next ask before hit/override</x:v>
      </x:c>
      <x:c r="E230" s="17" t="str">
        <x:v>brand</x:v>
      </x:c>
      <x:c r="F230" s="17" t="str">
        <x:v>no new constraint</x:v>
      </x:c>
      <x:c r="G230" s="17" t="str"/>
      <x:c r="H230" s="17" t="str">
        <x:v>I don't have an additional preference for brand.</x:v>
      </x:c>
      <x:c r="I230" s="17" t="str"/>
    </x:row>
    <x:row r="231">
      <x:c r="A231" t="str">
        <x:v>public_0021</x:v>
      </x:c>
      <x:c r="B231" t="str">
        <x:v>browsing</x:v>
      </x:c>
      <x:c r="C231" t="str">
        <x:v>medium</x:v>
      </x:c>
      <x:c r="D231" s="17" t="str">
        <x:v>next ask before hit/override</x:v>
      </x:c>
      <x:c r="E231" s="17" t="str">
        <x:v>budget</x:v>
      </x:c>
      <x:c r="F231" s="17" t="str">
        <x:v>no new constraint</x:v>
      </x:c>
      <x:c r="G231" s="17" t="str"/>
      <x:c r="H231" s="17" t="str">
        <x:v>I don't have an additional preference for budget.</x:v>
      </x:c>
      <x:c r="I231" s="17" t="str"/>
    </x:row>
    <x:row r="232">
      <x:c r="A232" t="str">
        <x:v>public_0021</x:v>
      </x:c>
      <x:c r="B232" t="str">
        <x:v>browsing</x:v>
      </x:c>
      <x:c r="C232" t="str">
        <x:v>medium</x:v>
      </x:c>
      <x:c r="D232" s="17" t="str">
        <x:v>next ask before hit/override</x:v>
      </x:c>
      <x:c r="E232" s="17" t="str">
        <x:v>feature</x:v>
      </x:c>
      <x:c r="F232" s="17" t="str">
        <x:v>constraint revealed</x:v>
      </x:c>
      <x:c r="G232" s="17" t="str">
        <x:v>Imported | Zipper closure</x:v>
      </x:c>
      <x:c r="H232" s="17" t="str">
        <x:v>For that, what matters is: Imported; Zipper closure.</x:v>
      </x:c>
      <x:c r="I232" s="17" t="str"/>
    </x:row>
    <x:row r="233">
      <x:c r="A233" t="str">
        <x:v>public_0021</x:v>
      </x:c>
      <x:c r="B233" t="str">
        <x:v>browsing</x:v>
      </x:c>
      <x:c r="C233" t="str">
        <x:v>medium</x:v>
      </x:c>
      <x:c r="D233" s="17" t="str">
        <x:v>next ask before hit/override</x:v>
      </x:c>
      <x:c r="E233" s="17" t="str">
        <x:v>use_case</x:v>
      </x:c>
      <x:c r="F233" s="17" t="str">
        <x:v>no new constraint</x:v>
      </x:c>
      <x:c r="G233" s="17" t="str"/>
      <x:c r="H233" s="17" t="str">
        <x:v>I don't have an additional preference for use_case.</x:v>
      </x:c>
      <x:c r="I233" s="17" t="str"/>
    </x:row>
    <x:row r="234">
      <x:c r="A234" t="str">
        <x:v>public_0021</x:v>
      </x:c>
      <x:c r="B234" t="str">
        <x:v>browsing</x:v>
      </x:c>
      <x:c r="C234" t="str">
        <x:v>medium</x:v>
      </x:c>
      <x:c r="D234" s="17" t="str">
        <x:v>next ask before hit/override</x:v>
      </x:c>
      <x:c r="E234" s="17" t="str">
        <x:v>other</x:v>
      </x:c>
      <x:c r="F234" s="17" t="str">
        <x:v>constraint revealed</x:v>
      </x:c>
      <x:c r="G234" s="17" t="str">
        <x:v>polyester | 98% Polyester, 2% Spandex</x:v>
      </x:c>
      <x:c r="H234" s="17" t="str">
        <x:v>For that, what matters is: polyester; 98% Polyester, 2% Spandex.</x:v>
      </x:c>
      <x:c r="I234" s="17" t="str"/>
    </x:row>
    <x:row r="235">
      <x:c r="A235" t="str">
        <x:v>public_0021</x:v>
      </x:c>
      <x:c r="B235" t="str">
        <x:v>browsing</x:v>
      </x:c>
      <x:c r="C235" t="str">
        <x:v>medium</x:v>
      </x:c>
      <x:c r="D235" s="17" t="str">
        <x:v>next ask before hit/override</x:v>
      </x:c>
      <x:c r="E235" s="17" t="str">
        <x:v>(no ask_attribute)</x:v>
      </x:c>
      <x:c r="F235" s="17" t="str">
        <x:v>agent did not ask</x:v>
      </x:c>
      <x:c r="G235" s="17" t="str"/>
      <x:c r="H235" s="17" t="str">
        <x:v>Those options are not quite right yet. Ask me about one specific attribute.</x:v>
      </x:c>
      <x:c r="I235" s="17" t="str"/>
    </x:row>
    <x:row r="236">
      <x:c r="A236" t="str">
        <x:v>public_0022</x:v>
      </x:c>
      <x:c r="B236" t="str">
        <x:v>buying</x:v>
      </x:c>
      <x:c r="C236" t="str">
        <x:v>easy</x:v>
      </x:c>
      <x:c r="D236" s="17" t="str">
        <x:v>next ask before hit/override</x:v>
      </x:c>
      <x:c r="E236" s="17" t="str">
        <x:v>category</x:v>
      </x:c>
      <x:c r="F236" s="17" t="str">
        <x:v>no new constraint</x:v>
      </x:c>
      <x:c r="G236" s="17" t="str"/>
      <x:c r="H236" s="17" t="str">
        <x:v>I don't have an additional preference for category.</x:v>
      </x:c>
      <x:c r="I236" s="17" t="str"/>
    </x:row>
    <x:row r="237">
      <x:c r="A237" t="str">
        <x:v>public_0022</x:v>
      </x:c>
      <x:c r="B237" t="str">
        <x:v>buying</x:v>
      </x:c>
      <x:c r="C237" t="str">
        <x:v>easy</x:v>
      </x:c>
      <x:c r="D237" s="17" t="str">
        <x:v>next ask before hit/override</x:v>
      </x:c>
      <x:c r="E237" s="17" t="str">
        <x:v>material</x:v>
      </x:c>
      <x:c r="F237" s="17" t="str">
        <x:v>constraint revealed</x:v>
      </x:c>
      <x:c r="G237" s="17" t="str">
        <x:v>Fabric: 100% Cotton, Soft, Comfy, Breathable and keep you cool</x:v>
      </x:c>
      <x:c r="H237" s="17" t="str">
        <x:v>For that, what matters is: Fabric: 100% Cotton, Soft, Comfy, Breathable and keep you cool.</x:v>
      </x:c>
      <x:c r="I237" s="17" t="str"/>
    </x:row>
    <x:row r="238">
      <x:c r="A238" t="str">
        <x:v>public_0022</x:v>
      </x:c>
      <x:c r="B238" t="str">
        <x:v>buying</x:v>
      </x:c>
      <x:c r="C238" t="str">
        <x:v>easy</x:v>
      </x:c>
      <x:c r="D238" s="17" t="str">
        <x:v>next ask before hit/override</x:v>
      </x:c>
      <x:c r="E238" s="17" t="str">
        <x:v>color</x:v>
      </x:c>
      <x:c r="F238" s="17" t="str">
        <x:v>no new constraint</x:v>
      </x:c>
      <x:c r="G238" s="17" t="str"/>
      <x:c r="H238" s="17" t="str">
        <x:v>I don't have an additional preference for color.</x:v>
      </x:c>
      <x:c r="I238" s="17" t="str"/>
    </x:row>
    <x:row r="239">
      <x:c r="A239" t="str">
        <x:v>public_0022</x:v>
      </x:c>
      <x:c r="B239" t="str">
        <x:v>buying</x:v>
      </x:c>
      <x:c r="C239" t="str">
        <x:v>easy</x:v>
      </x:c>
      <x:c r="D239" s="17" t="str">
        <x:v>next ask before hit/override</x:v>
      </x:c>
      <x:c r="E239" s="17" t="str">
        <x:v>size</x:v>
      </x:c>
      <x:c r="F239" s="17" t="str">
        <x:v>no new constraint</x:v>
      </x:c>
      <x:c r="G239" s="17" t="str"/>
      <x:c r="H239" s="17" t="str">
        <x:v>I don't have an additional preference for size.</x:v>
      </x:c>
      <x:c r="I239" s="17" t="str"/>
    </x:row>
    <x:row r="240">
      <x:c r="A240" t="str">
        <x:v>public_0022</x:v>
      </x:c>
      <x:c r="B240" t="str">
        <x:v>buying</x:v>
      </x:c>
      <x:c r="C240" t="str">
        <x:v>easy</x:v>
      </x:c>
      <x:c r="D240" s="17" t="str">
        <x:v>next ask before hit/override</x:v>
      </x:c>
      <x:c r="E240" s="17" t="str">
        <x:v>style</x:v>
      </x:c>
      <x:c r="F240" s="17" t="str">
        <x:v>no new constraint</x:v>
      </x:c>
      <x:c r="G240" s="17" t="str"/>
      <x:c r="H240" s="17" t="str">
        <x:v>I don't have an additional preference for style.</x:v>
      </x:c>
      <x:c r="I240" s="17" t="str"/>
    </x:row>
    <x:row r="241">
      <x:c r="A241" t="str">
        <x:v>public_0022</x:v>
      </x:c>
      <x:c r="B241" t="str">
        <x:v>buying</x:v>
      </x:c>
      <x:c r="C241" t="str">
        <x:v>easy</x:v>
      </x:c>
      <x:c r="D241" s="17" t="str">
        <x:v>next ask before hit/override</x:v>
      </x:c>
      <x:c r="E241" s="17" t="str">
        <x:v>brand</x:v>
      </x:c>
      <x:c r="F241" s="17" t="str">
        <x:v>no new constraint</x:v>
      </x:c>
      <x:c r="G241" s="17" t="str"/>
      <x:c r="H241" s="17" t="str">
        <x:v>I don't have an additional preference for brand.</x:v>
      </x:c>
      <x:c r="I241" s="17" t="str"/>
    </x:row>
    <x:row r="242">
      <x:c r="A242" t="str">
        <x:v>public_0022</x:v>
      </x:c>
      <x:c r="B242" t="str">
        <x:v>buying</x:v>
      </x:c>
      <x:c r="C242" t="str">
        <x:v>easy</x:v>
      </x:c>
      <x:c r="D242" s="17" t="str">
        <x:v>next ask before hit/override</x:v>
      </x:c>
      <x:c r="E242" s="17" t="str">
        <x:v>budget</x:v>
      </x:c>
      <x:c r="F242" s="17" t="str">
        <x:v>no new constraint</x:v>
      </x:c>
      <x:c r="G242" s="17" t="str"/>
      <x:c r="H242" s="17" t="str">
        <x:v>I don't have an additional preference for budget.</x:v>
      </x:c>
      <x:c r="I242" s="17" t="str"/>
    </x:row>
    <x:row r="243">
      <x:c r="A243" t="str">
        <x:v>public_0022</x:v>
      </x:c>
      <x:c r="B243" t="str">
        <x:v>buying</x:v>
      </x:c>
      <x:c r="C243" t="str">
        <x:v>easy</x:v>
      </x:c>
      <x:c r="D243" s="17" t="str">
        <x:v>next ask before hit/override</x:v>
      </x:c>
      <x:c r="E243" s="17" t="str">
        <x:v>feature</x:v>
      </x:c>
      <x:c r="F243" s="17" t="str">
        <x:v>constraint revealed</x:v>
      </x:c>
      <x:c r="G243" s="17" t="str">
        <x:v>Imported | Pull On closure</x:v>
      </x:c>
      <x:c r="H243" s="17" t="str">
        <x:v>For that, what matters is: Imported; Pull On closure.</x:v>
      </x:c>
      <x:c r="I243" s="17" t="str"/>
    </x:row>
    <x:row r="244">
      <x:c r="A244" t="str">
        <x:v>public_0022</x:v>
      </x:c>
      <x:c r="B244" t="str">
        <x:v>buying</x:v>
      </x:c>
      <x:c r="C244" t="str">
        <x:v>easy</x:v>
      </x:c>
      <x:c r="D244" s="17" t="str">
        <x:v>next ask before hit/override</x:v>
      </x:c>
      <x:c r="E244" s="17" t="str">
        <x:v>use_case</x:v>
      </x:c>
      <x:c r="F244" s="17" t="str">
        <x:v>no new constraint</x:v>
      </x:c>
      <x:c r="G244" s="17" t="str"/>
      <x:c r="H244" s="17" t="str">
        <x:v>I don't have an additional preference for use_case.</x:v>
      </x:c>
      <x:c r="I244" s="17" t="str"/>
    </x:row>
    <x:row r="245">
      <x:c r="A245" t="str">
        <x:v>public_0022</x:v>
      </x:c>
      <x:c r="B245" t="str">
        <x:v>buying</x:v>
      </x:c>
      <x:c r="C245" t="str">
        <x:v>easy</x:v>
      </x:c>
      <x:c r="D245" s="17" t="str">
        <x:v>next ask before hit/override</x:v>
      </x:c>
      <x:c r="E245" s="17" t="str">
        <x:v>other</x:v>
      </x:c>
      <x:c r="F245" s="17" t="str">
        <x:v>constraint revealed</x:v>
      </x:c>
      <x:c r="G245" s="17" t="str">
        <x:v>Fabric: 100% Cotton, Soft, Comfy, Breathable and keep you cool | Imported</x:v>
      </x:c>
      <x:c r="H245" s="17" t="str">
        <x:v>For that, what matters is: Fabric: 100% Cotton, Soft, Comfy, Breathable and keep you cool; Imported.</x:v>
      </x:c>
      <x:c r="I245" s="17" t="str"/>
    </x:row>
    <x:row r="246">
      <x:c r="A246" t="str">
        <x:v>public_0022</x:v>
      </x:c>
      <x:c r="B246" t="str">
        <x:v>buying</x:v>
      </x:c>
      <x:c r="C246" t="str">
        <x:v>easy</x:v>
      </x:c>
      <x:c r="D246" s="17" t="str">
        <x:v>next ask before hit/override</x:v>
      </x:c>
      <x:c r="E246" s="17" t="str">
        <x:v>(no ask_attribute)</x:v>
      </x:c>
      <x:c r="F246" s="17" t="str">
        <x:v>agent did not ask</x:v>
      </x:c>
      <x:c r="G246" s="17" t="str"/>
      <x:c r="H246" s="17" t="str">
        <x:v>Those options are not quite right yet. Ask me about one specific attribute.</x:v>
      </x:c>
      <x:c r="I246" s="17" t="str"/>
    </x:row>
    <x:row r="247">
      <x:c r="A247" t="str">
        <x:v>public_0023</x:v>
      </x:c>
      <x:c r="B247" t="str">
        <x:v>intent_override</x:v>
      </x:c>
      <x:c r="C247" t="str">
        <x:v>hard</x:v>
      </x:c>
      <x:c r="D247" s="17" t="str">
        <x:v>next ask before hit/override</x:v>
      </x:c>
      <x:c r="E247" s="17" t="str">
        <x:v>category</x:v>
      </x:c>
      <x:c r="F247" s="17" t="str">
        <x:v>no new constraint</x:v>
      </x:c>
      <x:c r="G247" s="17" t="str"/>
      <x:c r="H247" s="17" t="str">
        <x:v>I don't have an additional preference for category.</x:v>
      </x:c>
      <x:c r="I247" s="17" t="str">
        <x:v>Override message occurs automatically on turn 3 or 4 before this reply when scheduled.</x:v>
      </x:c>
    </x:row>
    <x:row r="248">
      <x:c r="A248" t="str">
        <x:v>public_0023</x:v>
      </x:c>
      <x:c r="B248" t="str">
        <x:v>intent_override</x:v>
      </x:c>
      <x:c r="C248" t="str">
        <x:v>hard</x:v>
      </x:c>
      <x:c r="D248" s="17" t="str">
        <x:v>next ask before hit/override</x:v>
      </x:c>
      <x:c r="E248" s="17" t="str">
        <x:v>material</x:v>
      </x:c>
      <x:c r="F248" s="17" t="str">
        <x:v>no new constraint</x:v>
      </x:c>
      <x:c r="G248" s="17" t="str"/>
      <x:c r="H248" s="17" t="str">
        <x:v>I don't have an additional preference for material.</x:v>
      </x:c>
      <x:c r="I248" s="17" t="str">
        <x:v>Override message occurs automatically on turn 3 or 4 before this reply when scheduled.</x:v>
      </x:c>
    </x:row>
    <x:row r="249">
      <x:c r="A249" t="str">
        <x:v>public_0023</x:v>
      </x:c>
      <x:c r="B249" t="str">
        <x:v>intent_override</x:v>
      </x:c>
      <x:c r="C249" t="str">
        <x:v>hard</x:v>
      </x:c>
      <x:c r="D249" s="17" t="str">
        <x:v>next ask before hit/override</x:v>
      </x:c>
      <x:c r="E249" s="17" t="str">
        <x:v>color</x:v>
      </x:c>
      <x:c r="F249" s="17" t="str">
        <x:v>no new constraint</x:v>
      </x:c>
      <x:c r="G249" s="17" t="str"/>
      <x:c r="H249" s="17" t="str">
        <x:v>I don't have an additional preference for color.</x:v>
      </x:c>
      <x:c r="I249" s="17" t="str">
        <x:v>Override message occurs automatically on turn 3 or 4 before this reply when scheduled.</x:v>
      </x:c>
    </x:row>
    <x:row r="250">
      <x:c r="A250" t="str">
        <x:v>public_0023</x:v>
      </x:c>
      <x:c r="B250" t="str">
        <x:v>intent_override</x:v>
      </x:c>
      <x:c r="C250" t="str">
        <x:v>hard</x:v>
      </x:c>
      <x:c r="D250" s="17" t="str">
        <x:v>next ask before hit/override</x:v>
      </x:c>
      <x:c r="E250" s="17" t="str">
        <x:v>size</x:v>
      </x:c>
      <x:c r="F250" s="17" t="str">
        <x:v>no new constraint</x:v>
      </x:c>
      <x:c r="G250" s="17" t="str"/>
      <x:c r="H250" s="17" t="str">
        <x:v>I don't have an additional preference for size.</x:v>
      </x:c>
      <x:c r="I250" s="17" t="str">
        <x:v>Override message occurs automatically on turn 3 or 4 before this reply when scheduled.</x:v>
      </x:c>
    </x:row>
    <x:row r="251">
      <x:c r="A251" t="str">
        <x:v>public_0023</x:v>
      </x:c>
      <x:c r="B251" t="str">
        <x:v>intent_override</x:v>
      </x:c>
      <x:c r="C251" t="str">
        <x:v>hard</x:v>
      </x:c>
      <x:c r="D251" s="17" t="str">
        <x:v>next ask before hit/override</x:v>
      </x:c>
      <x:c r="E251" s="17" t="str">
        <x:v>style</x:v>
      </x:c>
      <x:c r="F251" s="17" t="str">
        <x:v>constraint revealed</x:v>
      </x:c>
      <x:c r="G251" s="17" t="str">
        <x:v>Department: Womens</x:v>
      </x:c>
      <x:c r="H251" s="17" t="str">
        <x:v>For that, what matters is: Department: Womens.</x:v>
      </x:c>
      <x:c r="I251" s="17" t="str">
        <x:v>Override message occurs automatically on turn 3 or 4 before this reply when scheduled.</x:v>
      </x:c>
    </x:row>
    <x:row r="252">
      <x:c r="A252" t="str">
        <x:v>public_0023</x:v>
      </x:c>
      <x:c r="B252" t="str">
        <x:v>intent_override</x:v>
      </x:c>
      <x:c r="C252" t="str">
        <x:v>hard</x:v>
      </x:c>
      <x:c r="D252" s="17" t="str">
        <x:v>next ask before hit/override</x:v>
      </x:c>
      <x:c r="E252" s="17" t="str">
        <x:v>brand</x:v>
      </x:c>
      <x:c r="F252" s="17" t="str">
        <x:v>no new constraint</x:v>
      </x:c>
      <x:c r="G252" s="17" t="str"/>
      <x:c r="H252" s="17" t="str">
        <x:v>I don't have an additional preference for brand.</x:v>
      </x:c>
      <x:c r="I252" s="17" t="str">
        <x:v>Override message occurs automatically on turn 3 or 4 before this reply when scheduled.</x:v>
      </x:c>
    </x:row>
    <x:row r="253">
      <x:c r="A253" t="str">
        <x:v>public_0023</x:v>
      </x:c>
      <x:c r="B253" t="str">
        <x:v>intent_override</x:v>
      </x:c>
      <x:c r="C253" t="str">
        <x:v>hard</x:v>
      </x:c>
      <x:c r="D253" s="17" t="str">
        <x:v>next ask before hit/override</x:v>
      </x:c>
      <x:c r="E253" s="17" t="str">
        <x:v>budget</x:v>
      </x:c>
      <x:c r="F253" s="17" t="str">
        <x:v>no new constraint</x:v>
      </x:c>
      <x:c r="G253" s="17" t="str"/>
      <x:c r="H253" s="17" t="str">
        <x:v>I don't have an additional preference for budget.</x:v>
      </x:c>
      <x:c r="I253" s="17" t="str">
        <x:v>Override message occurs automatically on turn 3 or 4 before this reply when scheduled.</x:v>
      </x:c>
    </x:row>
    <x:row r="254">
      <x:c r="A254" t="str">
        <x:v>public_0023</x:v>
      </x:c>
      <x:c r="B254" t="str">
        <x:v>intent_override</x:v>
      </x:c>
      <x:c r="C254" t="str">
        <x:v>hard</x:v>
      </x:c>
      <x:c r="D254" s="17" t="str">
        <x:v>next ask before hit/override</x:v>
      </x:c>
      <x:c r="E254" s="17" t="str">
        <x:v>feature</x:v>
      </x:c>
      <x:c r="F254" s="17" t="str">
        <x:v>constraint revealed</x:v>
      </x:c>
      <x:c r="G254" s="17" t="str">
        <x:v>Hand Wash Only | Item model number: G796</x:v>
      </x:c>
      <x:c r="H254" s="17" t="str">
        <x:v>For that, what matters is: Hand Wash Only; Item model number: G796.</x:v>
      </x:c>
      <x:c r="I254" s="17" t="str">
        <x:v>Override message occurs automatically on turn 3 or 4 before this reply when scheduled.</x:v>
      </x:c>
    </x:row>
    <x:row r="255">
      <x:c r="A255" t="str">
        <x:v>public_0023</x:v>
      </x:c>
      <x:c r="B255" t="str">
        <x:v>intent_override</x:v>
      </x:c>
      <x:c r="C255" t="str">
        <x:v>hard</x:v>
      </x:c>
      <x:c r="D255" s="17" t="str">
        <x:v>next ask before hit/override</x:v>
      </x:c>
      <x:c r="E255" s="17" t="str">
        <x:v>use_case</x:v>
      </x:c>
      <x:c r="F255" s="17" t="str">
        <x:v>no new constraint</x:v>
      </x:c>
      <x:c r="G255" s="17" t="str"/>
      <x:c r="H255" s="17" t="str">
        <x:v>I don't have an additional preference for use_case.</x:v>
      </x:c>
      <x:c r="I255" s="17" t="str">
        <x:v>Override message occurs automatically on turn 3 or 4 before this reply when scheduled.</x:v>
      </x:c>
    </x:row>
    <x:row r="256">
      <x:c r="A256" t="str">
        <x:v>public_0023</x:v>
      </x:c>
      <x:c r="B256" t="str">
        <x:v>intent_override</x:v>
      </x:c>
      <x:c r="C256" t="str">
        <x:v>hard</x:v>
      </x:c>
      <x:c r="D256" s="17" t="str">
        <x:v>next ask before hit/override</x:v>
      </x:c>
      <x:c r="E256" s="17" t="str">
        <x:v>other</x:v>
      </x:c>
      <x:c r="F256" s="17" t="str">
        <x:v>constraint revealed</x:v>
      </x:c>
      <x:c r="G256" s="17" t="str">
        <x:v>Hand Wash Only | Item model number: G796</x:v>
      </x:c>
      <x:c r="H256" s="17" t="str">
        <x:v>For that, what matters is: Hand Wash Only; Item model number: G796.</x:v>
      </x:c>
      <x:c r="I256" s="17" t="str">
        <x:v>Override message occurs automatically on turn 3 or 4 before this reply when scheduled.</x:v>
      </x:c>
    </x:row>
    <x:row r="257">
      <x:c r="A257" t="str">
        <x:v>public_0023</x:v>
      </x:c>
      <x:c r="B257" t="str">
        <x:v>intent_override</x:v>
      </x:c>
      <x:c r="C257" t="str">
        <x:v>hard</x:v>
      </x:c>
      <x:c r="D257" s="17" t="str">
        <x:v>next ask before hit/override</x:v>
      </x:c>
      <x:c r="E257" s="17" t="str">
        <x:v>(no ask_attribute)</x:v>
      </x:c>
      <x:c r="F257" s="17" t="str">
        <x:v>agent did not ask</x:v>
      </x:c>
      <x:c r="G257" s="17" t="str"/>
      <x:c r="H257" s="17" t="str">
        <x:v>Those options are not quite right yet. Ask me about one specific attribute.</x:v>
      </x:c>
      <x:c r="I257" s="17" t="str">
        <x:v>Override message occurs automatically on turn 3 or 4 before this reply when scheduled.</x:v>
      </x:c>
    </x:row>
    <x:row r="258">
      <x:c r="A258" t="str">
        <x:v>public_0024</x:v>
      </x:c>
      <x:c r="B258" t="str">
        <x:v>buying</x:v>
      </x:c>
      <x:c r="C258" t="str">
        <x:v>easy</x:v>
      </x:c>
      <x:c r="D258" s="17" t="str">
        <x:v>next ask before hit/override</x:v>
      </x:c>
      <x:c r="E258" s="17" t="str">
        <x:v>category</x:v>
      </x:c>
      <x:c r="F258" s="17" t="str">
        <x:v>no new constraint</x:v>
      </x:c>
      <x:c r="G258" s="17" t="str"/>
      <x:c r="H258" s="17" t="str">
        <x:v>I don't have an additional preference for category.</x:v>
      </x:c>
      <x:c r="I258" s="17" t="str"/>
    </x:row>
    <x:row r="259">
      <x:c r="A259" t="str">
        <x:v>public_0024</x:v>
      </x:c>
      <x:c r="B259" t="str">
        <x:v>buying</x:v>
      </x:c>
      <x:c r="C259" t="str">
        <x:v>easy</x:v>
      </x:c>
      <x:c r="D259" s="17" t="str">
        <x:v>next ask before hit/override</x:v>
      </x:c>
      <x:c r="E259" s="17" t="str">
        <x:v>material</x:v>
      </x:c>
      <x:c r="F259" s="17" t="str">
        <x:v>constraint revealed</x:v>
      </x:c>
      <x:c r="G259" s="17" t="str">
        <x:v>100 rayon</x:v>
      </x:c>
      <x:c r="H259" s="17" t="str">
        <x:v>For that, what matters is: 100 rayon.</x:v>
      </x:c>
      <x:c r="I259" s="17" t="str"/>
    </x:row>
    <x:row r="260">
      <x:c r="A260" t="str">
        <x:v>public_0024</x:v>
      </x:c>
      <x:c r="B260" t="str">
        <x:v>buying</x:v>
      </x:c>
      <x:c r="C260" t="str">
        <x:v>easy</x:v>
      </x:c>
      <x:c r="D260" s="17" t="str">
        <x:v>next ask before hit/override</x:v>
      </x:c>
      <x:c r="E260" s="17" t="str">
        <x:v>color</x:v>
      </x:c>
      <x:c r="F260" s="17" t="str">
        <x:v>no new constraint</x:v>
      </x:c>
      <x:c r="G260" s="17" t="str"/>
      <x:c r="H260" s="17" t="str">
        <x:v>I don't have an additional preference for color.</x:v>
      </x:c>
      <x:c r="I260" s="17" t="str"/>
    </x:row>
    <x:row r="261">
      <x:c r="A261" t="str">
        <x:v>public_0024</x:v>
      </x:c>
      <x:c r="B261" t="str">
        <x:v>buying</x:v>
      </x:c>
      <x:c r="C261" t="str">
        <x:v>easy</x:v>
      </x:c>
      <x:c r="D261" s="17" t="str">
        <x:v>next ask before hit/override</x:v>
      </x:c>
      <x:c r="E261" s="17" t="str">
        <x:v>size</x:v>
      </x:c>
      <x:c r="F261" s="17" t="str">
        <x:v>no new constraint</x:v>
      </x:c>
      <x:c r="G261" s="17" t="str"/>
      <x:c r="H261" s="17" t="str">
        <x:v>I don't have an additional preference for size.</x:v>
      </x:c>
      <x:c r="I261" s="17" t="str"/>
    </x:row>
    <x:row r="262">
      <x:c r="A262" t="str">
        <x:v>public_0024</x:v>
      </x:c>
      <x:c r="B262" t="str">
        <x:v>buying</x:v>
      </x:c>
      <x:c r="C262" t="str">
        <x:v>easy</x:v>
      </x:c>
      <x:c r="D262" s="17" t="str">
        <x:v>next ask before hit/override</x:v>
      </x:c>
      <x:c r="E262" s="17" t="str">
        <x:v>style</x:v>
      </x:c>
      <x:c r="F262" s="17" t="str">
        <x:v>constraint revealed</x:v>
      </x:c>
      <x:c r="G262" s="17" t="str">
        <x:v>BOHOSTYLE: Your womens off shoulder jumpsuit has an exaggerated loose fit with beautiful embroidery. It is perfect if you want to keep up with the latest trends without sacrificing</x:v>
      </x:c>
      <x:c r="H262" s="17" t="str">
        <x:v>For that, what matters is: BOHOSTYLE: Your womens off shoulder jumpsuit has an exaggerated loose fit with beautiful embroidery. It is perfect if you want to keep up with the latest trends without sacrificing.</x:v>
      </x:c>
      <x:c r="I262" s="17" t="str"/>
    </x:row>
    <x:row r="263">
      <x:c r="A263" t="str">
        <x:v>public_0024</x:v>
      </x:c>
      <x:c r="B263" t="str">
        <x:v>buying</x:v>
      </x:c>
      <x:c r="C263" t="str">
        <x:v>easy</x:v>
      </x:c>
      <x:c r="D263" s="17" t="str">
        <x:v>next ask before hit/override</x:v>
      </x:c>
      <x:c r="E263" s="17" t="str">
        <x:v>brand</x:v>
      </x:c>
      <x:c r="F263" s="17" t="str">
        <x:v>no new constraint</x:v>
      </x:c>
      <x:c r="G263" s="17" t="str"/>
      <x:c r="H263" s="17" t="str">
        <x:v>I don't have an additional preference for brand.</x:v>
      </x:c>
      <x:c r="I263" s="17" t="str"/>
    </x:row>
    <x:row r="264">
      <x:c r="A264" t="str">
        <x:v>public_0024</x:v>
      </x:c>
      <x:c r="B264" t="str">
        <x:v>buying</x:v>
      </x:c>
      <x:c r="C264" t="str">
        <x:v>easy</x:v>
      </x:c>
      <x:c r="D264" s="17" t="str">
        <x:v>next ask before hit/override</x:v>
      </x:c>
      <x:c r="E264" s="17" t="str">
        <x:v>budget</x:v>
      </x:c>
      <x:c r="F264" s="17" t="str">
        <x:v>no new constraint</x:v>
      </x:c>
      <x:c r="G264" s="17" t="str"/>
      <x:c r="H264" s="17" t="str">
        <x:v>I don't have an additional preference for budget.</x:v>
      </x:c>
      <x:c r="I264" s="17" t="str"/>
    </x:row>
    <x:row r="265">
      <x:c r="A265" t="str">
        <x:v>public_0024</x:v>
      </x:c>
      <x:c r="B265" t="str">
        <x:v>buying</x:v>
      </x:c>
      <x:c r="C265" t="str">
        <x:v>easy</x:v>
      </x:c>
      <x:c r="D265" s="17" t="str">
        <x:v>next ask before hit/override</x:v>
      </x:c>
      <x:c r="E265" s="17" t="str">
        <x:v>feature</x:v>
      </x:c>
      <x:c r="F265" s="17" t="str">
        <x:v>constraint revealed</x:v>
      </x:c>
      <x:c r="G265" s="17" t="str">
        <x:v>Machine Wash</x:v>
      </x:c>
      <x:c r="H265" s="17" t="str">
        <x:v>For that, what matters is: Machine Wash.</x:v>
      </x:c>
      <x:c r="I265" s="17" t="str"/>
    </x:row>
    <x:row r="266">
      <x:c r="A266" t="str">
        <x:v>public_0024</x:v>
      </x:c>
      <x:c r="B266" t="str">
        <x:v>buying</x:v>
      </x:c>
      <x:c r="C266" t="str">
        <x:v>easy</x:v>
      </x:c>
      <x:c r="D266" s="17" t="str">
        <x:v>next ask before hit/override</x:v>
      </x:c>
      <x:c r="E266" s="17" t="str">
        <x:v>use_case</x:v>
      </x:c>
      <x:c r="F266" s="17" t="str">
        <x:v>no new constraint</x:v>
      </x:c>
      <x:c r="G266" s="17" t="str"/>
      <x:c r="H266" s="17" t="str">
        <x:v>I don't have an additional preference for use_case.</x:v>
      </x:c>
      <x:c r="I266" s="17" t="str"/>
    </x:row>
    <x:row r="267">
      <x:c r="A267" t="str">
        <x:v>public_0024</x:v>
      </x:c>
      <x:c r="B267" t="str">
        <x:v>buying</x:v>
      </x:c>
      <x:c r="C267" t="str">
        <x:v>easy</x:v>
      </x:c>
      <x:c r="D267" s="17" t="str">
        <x:v>next ask before hit/override</x:v>
      </x:c>
      <x:c r="E267" s="17" t="str">
        <x:v>other</x:v>
      </x:c>
      <x:c r="F267" s="17" t="str">
        <x:v>constraint revealed</x:v>
      </x:c>
      <x:c r="G267" s="17" t="str">
        <x:v>100 rayon | Machine Wash</x:v>
      </x:c>
      <x:c r="H267" s="17" t="str">
        <x:v>For that, what matters is: 100 rayon; Machine Wash.</x:v>
      </x:c>
      <x:c r="I267" s="17" t="str"/>
    </x:row>
    <x:row r="268">
      <x:c r="A268" t="str">
        <x:v>public_0024</x:v>
      </x:c>
      <x:c r="B268" t="str">
        <x:v>buying</x:v>
      </x:c>
      <x:c r="C268" t="str">
        <x:v>easy</x:v>
      </x:c>
      <x:c r="D268" s="17" t="str">
        <x:v>next ask before hit/override</x:v>
      </x:c>
      <x:c r="E268" s="17" t="str">
        <x:v>(no ask_attribute)</x:v>
      </x:c>
      <x:c r="F268" s="17" t="str">
        <x:v>agent did not ask</x:v>
      </x:c>
      <x:c r="G268" s="17" t="str"/>
      <x:c r="H268" s="17" t="str">
        <x:v>Those options are not quite right yet. Ask me about one specific attribute.</x:v>
      </x:c>
      <x:c r="I268" s="17" t="str"/>
    </x:row>
    <x:row r="269">
      <x:c r="A269" t="str">
        <x:v>public_0025</x:v>
      </x:c>
      <x:c r="B269" t="str">
        <x:v>browsing</x:v>
      </x:c>
      <x:c r="C269" t="str">
        <x:v>medium</x:v>
      </x:c>
      <x:c r="D269" s="17" t="str">
        <x:v>next ask before hit/override</x:v>
      </x:c>
      <x:c r="E269" s="17" t="str">
        <x:v>category</x:v>
      </x:c>
      <x:c r="F269" s="17" t="str">
        <x:v>no new constraint</x:v>
      </x:c>
      <x:c r="G269" s="17" t="str"/>
      <x:c r="H269" s="17" t="str">
        <x:v>I don't have an additional preference for category.</x:v>
      </x:c>
      <x:c r="I269" s="17" t="str"/>
    </x:row>
    <x:row r="270">
      <x:c r="A270" t="str">
        <x:v>public_0025</x:v>
      </x:c>
      <x:c r="B270" t="str">
        <x:v>browsing</x:v>
      </x:c>
      <x:c r="C270" t="str">
        <x:v>medium</x:v>
      </x:c>
      <x:c r="D270" s="17" t="str">
        <x:v>next ask before hit/override</x:v>
      </x:c>
      <x:c r="E270" s="17" t="str">
        <x:v>material</x:v>
      </x:c>
      <x:c r="F270" s="17" t="str">
        <x:v>constraint revealed</x:v>
      </x:c>
      <x:c r="G270" s="17" t="str">
        <x:v>spandex | 65%Polyester30%Viscose5%Spandex</x:v>
      </x:c>
      <x:c r="H270" s="17" t="str">
        <x:v>For that, what matters is: spandex; 65%Polyester30%Viscose5%Spandex.</x:v>
      </x:c>
      <x:c r="I270" s="17" t="str"/>
    </x:row>
    <x:row r="271">
      <x:c r="A271" t="str">
        <x:v>public_0025</x:v>
      </x:c>
      <x:c r="B271" t="str">
        <x:v>browsing</x:v>
      </x:c>
      <x:c r="C271" t="str">
        <x:v>medium</x:v>
      </x:c>
      <x:c r="D271" s="17" t="str">
        <x:v>next ask before hit/override</x:v>
      </x:c>
      <x:c r="E271" s="17" t="str">
        <x:v>color</x:v>
      </x:c>
      <x:c r="F271" s="17" t="str">
        <x:v>no new constraint</x:v>
      </x:c>
      <x:c r="G271" s="17" t="str"/>
      <x:c r="H271" s="17" t="str">
        <x:v>I don't have an additional preference for color.</x:v>
      </x:c>
      <x:c r="I271" s="17" t="str"/>
    </x:row>
    <x:row r="272">
      <x:c r="A272" t="str">
        <x:v>public_0025</x:v>
      </x:c>
      <x:c r="B272" t="str">
        <x:v>browsing</x:v>
      </x:c>
      <x:c r="C272" t="str">
        <x:v>medium</x:v>
      </x:c>
      <x:c r="D272" s="17" t="str">
        <x:v>next ask before hit/override</x:v>
      </x:c>
      <x:c r="E272" s="17" t="str">
        <x:v>size</x:v>
      </x:c>
      <x:c r="F272" s="17" t="str">
        <x:v>no new constraint</x:v>
      </x:c>
      <x:c r="G272" s="17" t="str"/>
      <x:c r="H272" s="17" t="str">
        <x:v>I don't have an additional preference for size.</x:v>
      </x:c>
      <x:c r="I272" s="17" t="str"/>
    </x:row>
    <x:row r="273">
      <x:c r="A273" t="str">
        <x:v>public_0025</x:v>
      </x:c>
      <x:c r="B273" t="str">
        <x:v>browsing</x:v>
      </x:c>
      <x:c r="C273" t="str">
        <x:v>medium</x:v>
      </x:c>
      <x:c r="D273" s="17" t="str">
        <x:v>next ask before hit/override</x:v>
      </x:c>
      <x:c r="E273" s="17" t="str">
        <x:v>style</x:v>
      </x:c>
      <x:c r="F273" s="17" t="str">
        <x:v>no new constraint</x:v>
      </x:c>
      <x:c r="G273" s="17" t="str"/>
      <x:c r="H273" s="17" t="str">
        <x:v>I don't have an additional preference for style.</x:v>
      </x:c>
      <x:c r="I273" s="17" t="str"/>
    </x:row>
    <x:row r="274">
      <x:c r="A274" t="str">
        <x:v>public_0025</x:v>
      </x:c>
      <x:c r="B274" t="str">
        <x:v>browsing</x:v>
      </x:c>
      <x:c r="C274" t="str">
        <x:v>medium</x:v>
      </x:c>
      <x:c r="D274" s="17" t="str">
        <x:v>next ask before hit/override</x:v>
      </x:c>
      <x:c r="E274" s="17" t="str">
        <x:v>brand</x:v>
      </x:c>
      <x:c r="F274" s="17" t="str">
        <x:v>no new constraint</x:v>
      </x:c>
      <x:c r="G274" s="17" t="str"/>
      <x:c r="H274" s="17" t="str">
        <x:v>I don't have an additional preference for brand.</x:v>
      </x:c>
      <x:c r="I274" s="17" t="str"/>
    </x:row>
    <x:row r="275">
      <x:c r="A275" t="str">
        <x:v>public_0025</x:v>
      </x:c>
      <x:c r="B275" t="str">
        <x:v>browsing</x:v>
      </x:c>
      <x:c r="C275" t="str">
        <x:v>medium</x:v>
      </x:c>
      <x:c r="D275" s="17" t="str">
        <x:v>next ask before hit/override</x:v>
      </x:c>
      <x:c r="E275" s="17" t="str">
        <x:v>budget</x:v>
      </x:c>
      <x:c r="F275" s="17" t="str">
        <x:v>no new constraint</x:v>
      </x:c>
      <x:c r="G275" s="17" t="str"/>
      <x:c r="H275" s="17" t="str">
        <x:v>I don't have an additional preference for budget.</x:v>
      </x:c>
      <x:c r="I275" s="17" t="str"/>
    </x:row>
    <x:row r="276">
      <x:c r="A276" t="str">
        <x:v>public_0025</x:v>
      </x:c>
      <x:c r="B276" t="str">
        <x:v>browsing</x:v>
      </x:c>
      <x:c r="C276" t="str">
        <x:v>medium</x:v>
      </x:c>
      <x:c r="D276" s="17" t="str">
        <x:v>next ask before hit/override</x:v>
      </x:c>
      <x:c r="E276" s="17" t="str">
        <x:v>feature</x:v>
      </x:c>
      <x:c r="F276" s="17" t="str">
        <x:v>constraint revealed</x:v>
      </x:c>
      <x:c r="G276" s="17" t="str">
        <x:v>Imported | Hook and Eye closure</x:v>
      </x:c>
      <x:c r="H276" s="17" t="str">
        <x:v>For that, what matters is: Imported; Hook and Eye closure.</x:v>
      </x:c>
      <x:c r="I276" s="17" t="str"/>
    </x:row>
    <x:row r="277">
      <x:c r="A277" t="str">
        <x:v>public_0025</x:v>
      </x:c>
      <x:c r="B277" t="str">
        <x:v>browsing</x:v>
      </x:c>
      <x:c r="C277" t="str">
        <x:v>medium</x:v>
      </x:c>
      <x:c r="D277" s="17" t="str">
        <x:v>next ask before hit/override</x:v>
      </x:c>
      <x:c r="E277" s="17" t="str">
        <x:v>use_case</x:v>
      </x:c>
      <x:c r="F277" s="17" t="str">
        <x:v>no new constraint</x:v>
      </x:c>
      <x:c r="G277" s="17" t="str"/>
      <x:c r="H277" s="17" t="str">
        <x:v>I don't have an additional preference for use_case.</x:v>
      </x:c>
      <x:c r="I277" s="17" t="str"/>
    </x:row>
    <x:row r="278">
      <x:c r="A278" t="str">
        <x:v>public_0025</x:v>
      </x:c>
      <x:c r="B278" t="str">
        <x:v>browsing</x:v>
      </x:c>
      <x:c r="C278" t="str">
        <x:v>medium</x:v>
      </x:c>
      <x:c r="D278" s="17" t="str">
        <x:v>next ask before hit/override</x:v>
      </x:c>
      <x:c r="E278" s="17" t="str">
        <x:v>other</x:v>
      </x:c>
      <x:c r="F278" s="17" t="str">
        <x:v>constraint revealed</x:v>
      </x:c>
      <x:c r="G278" s="17" t="str">
        <x:v>spandex | 65%Polyester30%Viscose5%Spandex</x:v>
      </x:c>
      <x:c r="H278" s="17" t="str">
        <x:v>For that, what matters is: spandex; 65%Polyester30%Viscose5%Spandex.</x:v>
      </x:c>
      <x:c r="I278" s="17" t="str"/>
    </x:row>
    <x:row r="279">
      <x:c r="A279" t="str">
        <x:v>public_0025</x:v>
      </x:c>
      <x:c r="B279" t="str">
        <x:v>browsing</x:v>
      </x:c>
      <x:c r="C279" t="str">
        <x:v>medium</x:v>
      </x:c>
      <x:c r="D279" s="17" t="str">
        <x:v>next ask before hit/override</x:v>
      </x:c>
      <x:c r="E279" s="17" t="str">
        <x:v>(no ask_attribute)</x:v>
      </x:c>
      <x:c r="F279" s="17" t="str">
        <x:v>agent did not ask</x:v>
      </x:c>
      <x:c r="G279" s="17" t="str"/>
      <x:c r="H279" s="17" t="str">
        <x:v>Those options are not quite right yet. Ask me about one specific attribute.</x:v>
      </x:c>
      <x:c r="I279" s="17" t="str"/>
    </x:row>
    <x:row r="280">
      <x:c r="A280" t="str">
        <x:v>public_0026</x:v>
      </x:c>
      <x:c r="B280" t="str">
        <x:v>buying</x:v>
      </x:c>
      <x:c r="C280" t="str">
        <x:v>easy</x:v>
      </x:c>
      <x:c r="D280" s="17" t="str">
        <x:v>next ask before hit/override</x:v>
      </x:c>
      <x:c r="E280" s="17" t="str">
        <x:v>category</x:v>
      </x:c>
      <x:c r="F280" s="17" t="str">
        <x:v>no new constraint</x:v>
      </x:c>
      <x:c r="G280" s="17" t="str"/>
      <x:c r="H280" s="17" t="str">
        <x:v>I don't have an additional preference for category.</x:v>
      </x:c>
      <x:c r="I280" s="17" t="str"/>
    </x:row>
    <x:row r="281">
      <x:c r="A281" t="str">
        <x:v>public_0026</x:v>
      </x:c>
      <x:c r="B281" t="str">
        <x:v>buying</x:v>
      </x:c>
      <x:c r="C281" t="str">
        <x:v>easy</x:v>
      </x:c>
      <x:c r="D281" s="17" t="str">
        <x:v>next ask before hit/override</x:v>
      </x:c>
      <x:c r="E281" s="17" t="str">
        <x:v>material</x:v>
      </x:c>
      <x:c r="F281" s="17" t="str">
        <x:v>no new constraint</x:v>
      </x:c>
      <x:c r="G281" s="17" t="str"/>
      <x:c r="H281" s="17" t="str">
        <x:v>I don't have an additional preference for material.</x:v>
      </x:c>
      <x:c r="I281" s="17" t="str"/>
    </x:row>
    <x:row r="282">
      <x:c r="A282" t="str">
        <x:v>public_0026</x:v>
      </x:c>
      <x:c r="B282" t="str">
        <x:v>buying</x:v>
      </x:c>
      <x:c r="C282" t="str">
        <x:v>easy</x:v>
      </x:c>
      <x:c r="D282" s="17" t="str">
        <x:v>next ask before hit/override</x:v>
      </x:c>
      <x:c r="E282" s="17" t="str">
        <x:v>color</x:v>
      </x:c>
      <x:c r="F282" s="17" t="str">
        <x:v>no new constraint</x:v>
      </x:c>
      <x:c r="G282" s="17" t="str"/>
      <x:c r="H282" s="17" t="str">
        <x:v>I don't have an additional preference for color.</x:v>
      </x:c>
      <x:c r="I282" s="17" t="str"/>
    </x:row>
    <x:row r="283">
      <x:c r="A283" t="str">
        <x:v>public_0026</x:v>
      </x:c>
      <x:c r="B283" t="str">
        <x:v>buying</x:v>
      </x:c>
      <x:c r="C283" t="str">
        <x:v>easy</x:v>
      </x:c>
      <x:c r="D283" s="17" t="str">
        <x:v>next ask before hit/override</x:v>
      </x:c>
      <x:c r="E283" s="17" t="str">
        <x:v>size</x:v>
      </x:c>
      <x:c r="F283" s="17" t="str">
        <x:v>no new constraint</x:v>
      </x:c>
      <x:c r="G283" s="17" t="str"/>
      <x:c r="H283" s="17" t="str">
        <x:v>I don't have an additional preference for size.</x:v>
      </x:c>
      <x:c r="I283" s="17" t="str"/>
    </x:row>
    <x:row r="284">
      <x:c r="A284" t="str">
        <x:v>public_0026</x:v>
      </x:c>
      <x:c r="B284" t="str">
        <x:v>buying</x:v>
      </x:c>
      <x:c r="C284" t="str">
        <x:v>easy</x:v>
      </x:c>
      <x:c r="D284" s="17" t="str">
        <x:v>next ask before hit/override</x:v>
      </x:c>
      <x:c r="E284" s="17" t="str">
        <x:v>style</x:v>
      </x:c>
      <x:c r="F284" s="17" t="str">
        <x:v>no new constraint</x:v>
      </x:c>
      <x:c r="G284" s="17" t="str"/>
      <x:c r="H284" s="17" t="str">
        <x:v>I don't have an additional preference for style.</x:v>
      </x:c>
      <x:c r="I284" s="17" t="str"/>
    </x:row>
    <x:row r="285">
      <x:c r="A285" t="str">
        <x:v>public_0026</x:v>
      </x:c>
      <x:c r="B285" t="str">
        <x:v>buying</x:v>
      </x:c>
      <x:c r="C285" t="str">
        <x:v>easy</x:v>
      </x:c>
      <x:c r="D285" s="17" t="str">
        <x:v>next ask before hit/override</x:v>
      </x:c>
      <x:c r="E285" s="17" t="str">
        <x:v>brand</x:v>
      </x:c>
      <x:c r="F285" s="17" t="str">
        <x:v>no new constraint</x:v>
      </x:c>
      <x:c r="G285" s="17" t="str"/>
      <x:c r="H285" s="17" t="str">
        <x:v>I don't have an additional preference for brand.</x:v>
      </x:c>
      <x:c r="I285" s="17" t="str"/>
    </x:row>
    <x:row r="286">
      <x:c r="A286" t="str">
        <x:v>public_0026</x:v>
      </x:c>
      <x:c r="B286" t="str">
        <x:v>buying</x:v>
      </x:c>
      <x:c r="C286" t="str">
        <x:v>easy</x:v>
      </x:c>
      <x:c r="D286" s="17" t="str">
        <x:v>next ask before hit/override</x:v>
      </x:c>
      <x:c r="E286" s="17" t="str">
        <x:v>budget</x:v>
      </x:c>
      <x:c r="F286" s="17" t="str">
        <x:v>no new constraint</x:v>
      </x:c>
      <x:c r="G286" s="17" t="str"/>
      <x:c r="H286" s="17" t="str">
        <x:v>I don't have an additional preference for budget.</x:v>
      </x:c>
      <x:c r="I286" s="17" t="str"/>
    </x:row>
    <x:row r="287">
      <x:c r="A287" t="str">
        <x:v>public_0026</x:v>
      </x:c>
      <x:c r="B287" t="str">
        <x:v>buying</x:v>
      </x:c>
      <x:c r="C287" t="str">
        <x:v>easy</x:v>
      </x:c>
      <x:c r="D287" s="17" t="str">
        <x:v>next ask before hit/override</x:v>
      </x:c>
      <x:c r="E287" s="17" t="str">
        <x:v>feature</x:v>
      </x:c>
      <x:c r="F287" s="17" t="str">
        <x:v>constraint revealed</x:v>
      </x:c>
      <x:c r="G287" s="17" t="str">
        <x:v>Imported | Rubber sole</x:v>
      </x:c>
      <x:c r="H287" s="17" t="str">
        <x:v>For that, what matters is: Imported; Rubber sole.</x:v>
      </x:c>
      <x:c r="I287" s="17" t="str"/>
    </x:row>
    <x:row r="288">
      <x:c r="A288" t="str">
        <x:v>public_0026</x:v>
      </x:c>
      <x:c r="B288" t="str">
        <x:v>buying</x:v>
      </x:c>
      <x:c r="C288" t="str">
        <x:v>easy</x:v>
      </x:c>
      <x:c r="D288" s="17" t="str">
        <x:v>next ask before hit/override</x:v>
      </x:c>
      <x:c r="E288" s="17" t="str">
        <x:v>use_case</x:v>
      </x:c>
      <x:c r="F288" s="17" t="str">
        <x:v>no new constraint</x:v>
      </x:c>
      <x:c r="G288" s="17" t="str"/>
      <x:c r="H288" s="17" t="str">
        <x:v>I don't have an additional preference for use_case.</x:v>
      </x:c>
      <x:c r="I288" s="17" t="str"/>
    </x:row>
    <x:row r="289">
      <x:c r="A289" t="str">
        <x:v>public_0026</x:v>
      </x:c>
      <x:c r="B289" t="str">
        <x:v>buying</x:v>
      </x:c>
      <x:c r="C289" t="str">
        <x:v>easy</x:v>
      </x:c>
      <x:c r="D289" s="17" t="str">
        <x:v>next ask before hit/override</x:v>
      </x:c>
      <x:c r="E289" s="17" t="str">
        <x:v>other</x:v>
      </x:c>
      <x:c r="F289" s="17" t="str">
        <x:v>constraint revealed</x:v>
      </x:c>
      <x:c r="G289" s="17" t="str">
        <x:v>Imported | Rubber sole</x:v>
      </x:c>
      <x:c r="H289" s="17" t="str">
        <x:v>For that, what matters is: Imported; Rubber sole.</x:v>
      </x:c>
      <x:c r="I289" s="17" t="str"/>
    </x:row>
    <x:row r="290">
      <x:c r="A290" t="str">
        <x:v>public_0026</x:v>
      </x:c>
      <x:c r="B290" t="str">
        <x:v>buying</x:v>
      </x:c>
      <x:c r="C290" t="str">
        <x:v>easy</x:v>
      </x:c>
      <x:c r="D290" s="17" t="str">
        <x:v>next ask before hit/override</x:v>
      </x:c>
      <x:c r="E290" s="17" t="str">
        <x:v>(no ask_attribute)</x:v>
      </x:c>
      <x:c r="F290" s="17" t="str">
        <x:v>agent did not ask</x:v>
      </x:c>
      <x:c r="G290" s="17" t="str"/>
      <x:c r="H290" s="17" t="str">
        <x:v>Those options are not quite right yet. Ask me about one specific attribute.</x:v>
      </x:c>
      <x:c r="I290" s="17" t="str"/>
    </x:row>
    <x:row r="291">
      <x:c r="A291" t="str">
        <x:v>public_0027</x:v>
      </x:c>
      <x:c r="B291" t="str">
        <x:v>buying</x:v>
      </x:c>
      <x:c r="C291" t="str">
        <x:v>easy</x:v>
      </x:c>
      <x:c r="D291" s="17" t="str">
        <x:v>next ask before hit/override</x:v>
      </x:c>
      <x:c r="E291" s="17" t="str">
        <x:v>category</x:v>
      </x:c>
      <x:c r="F291" s="17" t="str">
        <x:v>no new constraint</x:v>
      </x:c>
      <x:c r="G291" s="17" t="str"/>
      <x:c r="H291" s="17" t="str">
        <x:v>I don't have an additional preference for category.</x:v>
      </x:c>
      <x:c r="I291" s="17" t="str"/>
    </x:row>
    <x:row r="292">
      <x:c r="A292" t="str">
        <x:v>public_0027</x:v>
      </x:c>
      <x:c r="B292" t="str">
        <x:v>buying</x:v>
      </x:c>
      <x:c r="C292" t="str">
        <x:v>easy</x:v>
      </x:c>
      <x:c r="D292" s="17" t="str">
        <x:v>next ask before hit/override</x:v>
      </x:c>
      <x:c r="E292" s="17" t="str">
        <x:v>material</x:v>
      </x:c>
      <x:c r="F292" s="17" t="str">
        <x:v>constraint revealed</x:v>
      </x:c>
      <x:c r="G292" s="17" t="str">
        <x:v>73% Cotton, 25% Polyester, 2% Spandex</x:v>
      </x:c>
      <x:c r="H292" s="17" t="str">
        <x:v>For that, what matters is: 73% Cotton, 25% Polyester, 2% Spandex.</x:v>
      </x:c>
      <x:c r="I292" s="17" t="str"/>
    </x:row>
    <x:row r="293">
      <x:c r="A293" t="str">
        <x:v>public_0027</x:v>
      </x:c>
      <x:c r="B293" t="str">
        <x:v>buying</x:v>
      </x:c>
      <x:c r="C293" t="str">
        <x:v>easy</x:v>
      </x:c>
      <x:c r="D293" s="17" t="str">
        <x:v>next ask before hit/override</x:v>
      </x:c>
      <x:c r="E293" s="17" t="str">
        <x:v>color</x:v>
      </x:c>
      <x:c r="F293" s="17" t="str">
        <x:v>no new constraint</x:v>
      </x:c>
      <x:c r="G293" s="17" t="str"/>
      <x:c r="H293" s="17" t="str">
        <x:v>I don't have an additional preference for color.</x:v>
      </x:c>
      <x:c r="I293" s="17" t="str"/>
    </x:row>
    <x:row r="294">
      <x:c r="A294" t="str">
        <x:v>public_0027</x:v>
      </x:c>
      <x:c r="B294" t="str">
        <x:v>buying</x:v>
      </x:c>
      <x:c r="C294" t="str">
        <x:v>easy</x:v>
      </x:c>
      <x:c r="D294" s="17" t="str">
        <x:v>next ask before hit/override</x:v>
      </x:c>
      <x:c r="E294" s="17" t="str">
        <x:v>size</x:v>
      </x:c>
      <x:c r="F294" s="17" t="str">
        <x:v>no new constraint</x:v>
      </x:c>
      <x:c r="G294" s="17" t="str"/>
      <x:c r="H294" s="17" t="str">
        <x:v>I don't have an additional preference for size.</x:v>
      </x:c>
      <x:c r="I294" s="17" t="str"/>
    </x:row>
    <x:row r="295">
      <x:c r="A295" t="str">
        <x:v>public_0027</x:v>
      </x:c>
      <x:c r="B295" t="str">
        <x:v>buying</x:v>
      </x:c>
      <x:c r="C295" t="str">
        <x:v>easy</x:v>
      </x:c>
      <x:c r="D295" s="17" t="str">
        <x:v>next ask before hit/override</x:v>
      </x:c>
      <x:c r="E295" s="17" t="str">
        <x:v>style</x:v>
      </x:c>
      <x:c r="F295" s="17" t="str">
        <x:v>no new constraint</x:v>
      </x:c>
      <x:c r="G295" s="17" t="str"/>
      <x:c r="H295" s="17" t="str">
        <x:v>I don't have an additional preference for style.</x:v>
      </x:c>
      <x:c r="I295" s="17" t="str"/>
    </x:row>
    <x:row r="296">
      <x:c r="A296" t="str">
        <x:v>public_0027</x:v>
      </x:c>
      <x:c r="B296" t="str">
        <x:v>buying</x:v>
      </x:c>
      <x:c r="C296" t="str">
        <x:v>easy</x:v>
      </x:c>
      <x:c r="D296" s="17" t="str">
        <x:v>next ask before hit/override</x:v>
      </x:c>
      <x:c r="E296" s="17" t="str">
        <x:v>brand</x:v>
      </x:c>
      <x:c r="F296" s="17" t="str">
        <x:v>no new constraint</x:v>
      </x:c>
      <x:c r="G296" s="17" t="str"/>
      <x:c r="H296" s="17" t="str">
        <x:v>I don't have an additional preference for brand.</x:v>
      </x:c>
      <x:c r="I296" s="17" t="str"/>
    </x:row>
    <x:row r="297">
      <x:c r="A297" t="str">
        <x:v>public_0027</x:v>
      </x:c>
      <x:c r="B297" t="str">
        <x:v>buying</x:v>
      </x:c>
      <x:c r="C297" t="str">
        <x:v>easy</x:v>
      </x:c>
      <x:c r="D297" s="17" t="str">
        <x:v>next ask before hit/override</x:v>
      </x:c>
      <x:c r="E297" s="17" t="str">
        <x:v>budget</x:v>
      </x:c>
      <x:c r="F297" s="17" t="str">
        <x:v>no new constraint</x:v>
      </x:c>
      <x:c r="G297" s="17" t="str"/>
      <x:c r="H297" s="17" t="str">
        <x:v>I don't have an additional preference for budget.</x:v>
      </x:c>
      <x:c r="I297" s="17" t="str"/>
    </x:row>
    <x:row r="298">
      <x:c r="A298" t="str">
        <x:v>public_0027</x:v>
      </x:c>
      <x:c r="B298" t="str">
        <x:v>buying</x:v>
      </x:c>
      <x:c r="C298" t="str">
        <x:v>easy</x:v>
      </x:c>
      <x:c r="D298" s="17" t="str">
        <x:v>next ask before hit/override</x:v>
      </x:c>
      <x:c r="E298" s="17" t="str">
        <x:v>feature</x:v>
      </x:c>
      <x:c r="F298" s="17" t="str">
        <x:v>constraint revealed</x:v>
      </x:c>
      <x:c r="G298" s="17" t="str">
        <x:v>Imported | Zipper fly with button closure</x:v>
      </x:c>
      <x:c r="H298" s="17" t="str">
        <x:v>For that, what matters is: Imported; Zipper fly with button closure.</x:v>
      </x:c>
      <x:c r="I298" s="17" t="str"/>
    </x:row>
    <x:row r="299">
      <x:c r="A299" t="str">
        <x:v>public_0027</x:v>
      </x:c>
      <x:c r="B299" t="str">
        <x:v>buying</x:v>
      </x:c>
      <x:c r="C299" t="str">
        <x:v>easy</x:v>
      </x:c>
      <x:c r="D299" s="17" t="str">
        <x:v>next ask before hit/override</x:v>
      </x:c>
      <x:c r="E299" s="17" t="str">
        <x:v>use_case</x:v>
      </x:c>
      <x:c r="F299" s="17" t="str">
        <x:v>no new constraint</x:v>
      </x:c>
      <x:c r="G299" s="17" t="str"/>
      <x:c r="H299" s="17" t="str">
        <x:v>I don't have an additional preference for use_case.</x:v>
      </x:c>
      <x:c r="I299" s="17" t="str"/>
    </x:row>
    <x:row r="300">
      <x:c r="A300" t="str">
        <x:v>public_0027</x:v>
      </x:c>
      <x:c r="B300" t="str">
        <x:v>buying</x:v>
      </x:c>
      <x:c r="C300" t="str">
        <x:v>easy</x:v>
      </x:c>
      <x:c r="D300" s="17" t="str">
        <x:v>next ask before hit/override</x:v>
      </x:c>
      <x:c r="E300" s="17" t="str">
        <x:v>other</x:v>
      </x:c>
      <x:c r="F300" s="17" t="str">
        <x:v>constraint revealed</x:v>
      </x:c>
      <x:c r="G300" s="17" t="str">
        <x:v>73% Cotton, 25% Polyester, 2% Spandex | Imported</x:v>
      </x:c>
      <x:c r="H300" s="17" t="str">
        <x:v>For that, what matters is: 73% Cotton, 25% Polyester, 2% Spandex; Imported.</x:v>
      </x:c>
      <x:c r="I300" s="17" t="str"/>
    </x:row>
    <x:row r="301">
      <x:c r="A301" t="str">
        <x:v>public_0027</x:v>
      </x:c>
      <x:c r="B301" t="str">
        <x:v>buying</x:v>
      </x:c>
      <x:c r="C301" t="str">
        <x:v>easy</x:v>
      </x:c>
      <x:c r="D301" s="17" t="str">
        <x:v>next ask before hit/override</x:v>
      </x:c>
      <x:c r="E301" s="17" t="str">
        <x:v>(no ask_attribute)</x:v>
      </x:c>
      <x:c r="F301" s="17" t="str">
        <x:v>agent did not ask</x:v>
      </x:c>
      <x:c r="G301" s="17" t="str"/>
      <x:c r="H301" s="17" t="str">
        <x:v>Those options are not quite right yet. Ask me about one specific attribute.</x:v>
      </x:c>
      <x:c r="I301" s="17" t="str"/>
    </x:row>
    <x:row r="302">
      <x:c r="A302" t="str">
        <x:v>public_0028</x:v>
      </x:c>
      <x:c r="B302" t="str">
        <x:v>buying</x:v>
      </x:c>
      <x:c r="C302" t="str">
        <x:v>easy</x:v>
      </x:c>
      <x:c r="D302" s="17" t="str">
        <x:v>next ask before hit/override</x:v>
      </x:c>
      <x:c r="E302" s="17" t="str">
        <x:v>category</x:v>
      </x:c>
      <x:c r="F302" s="17" t="str">
        <x:v>no new constraint</x:v>
      </x:c>
      <x:c r="G302" s="17" t="str"/>
      <x:c r="H302" s="17" t="str">
        <x:v>I don't have an additional preference for category.</x:v>
      </x:c>
      <x:c r="I302" s="17" t="str"/>
    </x:row>
    <x:row r="303">
      <x:c r="A303" t="str">
        <x:v>public_0028</x:v>
      </x:c>
      <x:c r="B303" t="str">
        <x:v>buying</x:v>
      </x:c>
      <x:c r="C303" t="str">
        <x:v>easy</x:v>
      </x:c>
      <x:c r="D303" s="17" t="str">
        <x:v>next ask before hit/override</x:v>
      </x:c>
      <x:c r="E303" s="17" t="str">
        <x:v>material</x:v>
      </x:c>
      <x:c r="F303" s="17" t="str">
        <x:v>constraint revealed</x:v>
      </x:c>
      <x:c r="G303" s="17" t="str">
        <x:v>Leather | Polyester lining</x:v>
      </x:c>
      <x:c r="H303" s="17" t="str">
        <x:v>For that, what matters is: Leather; Polyester lining.</x:v>
      </x:c>
      <x:c r="I303" s="17" t="str"/>
    </x:row>
    <x:row r="304">
      <x:c r="A304" t="str">
        <x:v>public_0028</x:v>
      </x:c>
      <x:c r="B304" t="str">
        <x:v>buying</x:v>
      </x:c>
      <x:c r="C304" t="str">
        <x:v>easy</x:v>
      </x:c>
      <x:c r="D304" s="17" t="str">
        <x:v>next ask before hit/override</x:v>
      </x:c>
      <x:c r="E304" s="17" t="str">
        <x:v>color</x:v>
      </x:c>
      <x:c r="F304" s="17" t="str">
        <x:v>constraint revealed</x:v>
      </x:c>
      <x:c r="G304" s="17" t="str">
        <x:v>color: black</x:v>
      </x:c>
      <x:c r="H304" s="17" t="str">
        <x:v>For that, what matters is: color: black.</x:v>
      </x:c>
      <x:c r="I304" s="17" t="str"/>
    </x:row>
    <x:row r="305">
      <x:c r="A305" t="str">
        <x:v>public_0028</x:v>
      </x:c>
      <x:c r="B305" t="str">
        <x:v>buying</x:v>
      </x:c>
      <x:c r="C305" t="str">
        <x:v>easy</x:v>
      </x:c>
      <x:c r="D305" s="17" t="str">
        <x:v>next ask before hit/override</x:v>
      </x:c>
      <x:c r="E305" s="17" t="str">
        <x:v>size</x:v>
      </x:c>
      <x:c r="F305" s="17" t="str">
        <x:v>no new constraint</x:v>
      </x:c>
      <x:c r="G305" s="17" t="str"/>
      <x:c r="H305" s="17" t="str">
        <x:v>I don't have an additional preference for size.</x:v>
      </x:c>
      <x:c r="I305" s="17" t="str"/>
    </x:row>
    <x:row r="306">
      <x:c r="A306" t="str">
        <x:v>public_0028</x:v>
      </x:c>
      <x:c r="B306" t="str">
        <x:v>buying</x:v>
      </x:c>
      <x:c r="C306" t="str">
        <x:v>easy</x:v>
      </x:c>
      <x:c r="D306" s="17" t="str">
        <x:v>next ask before hit/override</x:v>
      </x:c>
      <x:c r="E306" s="17" t="str">
        <x:v>style</x:v>
      </x:c>
      <x:c r="F306" s="17" t="str">
        <x:v>no new constraint</x:v>
      </x:c>
      <x:c r="G306" s="17" t="str"/>
      <x:c r="H306" s="17" t="str">
        <x:v>I don't have an additional preference for style.</x:v>
      </x:c>
      <x:c r="I306" s="17" t="str"/>
    </x:row>
    <x:row r="307">
      <x:c r="A307" t="str">
        <x:v>public_0028</x:v>
      </x:c>
      <x:c r="B307" t="str">
        <x:v>buying</x:v>
      </x:c>
      <x:c r="C307" t="str">
        <x:v>easy</x:v>
      </x:c>
      <x:c r="D307" s="17" t="str">
        <x:v>next ask before hit/override</x:v>
      </x:c>
      <x:c r="E307" s="17" t="str">
        <x:v>brand</x:v>
      </x:c>
      <x:c r="F307" s="17" t="str">
        <x:v>no new constraint</x:v>
      </x:c>
      <x:c r="G307" s="17" t="str"/>
      <x:c r="H307" s="17" t="str">
        <x:v>I don't have an additional preference for brand.</x:v>
      </x:c>
      <x:c r="I307" s="17" t="str"/>
    </x:row>
    <x:row r="308">
      <x:c r="A308" t="str">
        <x:v>public_0028</x:v>
      </x:c>
      <x:c r="B308" t="str">
        <x:v>buying</x:v>
      </x:c>
      <x:c r="C308" t="str">
        <x:v>easy</x:v>
      </x:c>
      <x:c r="D308" s="17" t="str">
        <x:v>next ask before hit/override</x:v>
      </x:c>
      <x:c r="E308" s="17" t="str">
        <x:v>budget</x:v>
      </x:c>
      <x:c r="F308" s="17" t="str">
        <x:v>no new constraint</x:v>
      </x:c>
      <x:c r="G308" s="17" t="str"/>
      <x:c r="H308" s="17" t="str">
        <x:v>I don't have an additional preference for budget.</x:v>
      </x:c>
      <x:c r="I308" s="17" t="str"/>
    </x:row>
    <x:row r="309">
      <x:c r="A309" t="str">
        <x:v>public_0028</x:v>
      </x:c>
      <x:c r="B309" t="str">
        <x:v>buying</x:v>
      </x:c>
      <x:c r="C309" t="str">
        <x:v>easy</x:v>
      </x:c>
      <x:c r="D309" s="17" t="str">
        <x:v>next ask before hit/override</x:v>
      </x:c>
      <x:c r="E309" s="17" t="str">
        <x:v>feature</x:v>
      </x:c>
      <x:c r="F309" s="17" t="str">
        <x:v>no new constraint</x:v>
      </x:c>
      <x:c r="G309" s="17" t="str"/>
      <x:c r="H309" s="17" t="str">
        <x:v>I don't have an additional preference for feature.</x:v>
      </x:c>
      <x:c r="I309" s="17" t="str"/>
    </x:row>
    <x:row r="310">
      <x:c r="A310" t="str">
        <x:v>public_0028</x:v>
      </x:c>
      <x:c r="B310" t="str">
        <x:v>buying</x:v>
      </x:c>
      <x:c r="C310" t="str">
        <x:v>easy</x:v>
      </x:c>
      <x:c r="D310" s="17" t="str">
        <x:v>next ask before hit/override</x:v>
      </x:c>
      <x:c r="E310" s="17" t="str">
        <x:v>use_case</x:v>
      </x:c>
      <x:c r="F310" s="17" t="str">
        <x:v>no new constraint</x:v>
      </x:c>
      <x:c r="G310" s="17" t="str"/>
      <x:c r="H310" s="17" t="str">
        <x:v>I don't have an additional preference for use_case.</x:v>
      </x:c>
      <x:c r="I310" s="17" t="str"/>
    </x:row>
    <x:row r="311">
      <x:c r="A311" t="str">
        <x:v>public_0028</x:v>
      </x:c>
      <x:c r="B311" t="str">
        <x:v>buying</x:v>
      </x:c>
      <x:c r="C311" t="str">
        <x:v>easy</x:v>
      </x:c>
      <x:c r="D311" s="17" t="str">
        <x:v>next ask before hit/override</x:v>
      </x:c>
      <x:c r="E311" s="17" t="str">
        <x:v>other</x:v>
      </x:c>
      <x:c r="F311" s="17" t="str">
        <x:v>constraint revealed</x:v>
      </x:c>
      <x:c r="G311" s="17" t="str">
        <x:v>color: black | Leather</x:v>
      </x:c>
      <x:c r="H311" s="17" t="str">
        <x:v>For that, what matters is: color: black; Leather.</x:v>
      </x:c>
      <x:c r="I311" s="17" t="str"/>
    </x:row>
    <x:row r="312">
      <x:c r="A312" t="str">
        <x:v>public_0028</x:v>
      </x:c>
      <x:c r="B312" t="str">
        <x:v>buying</x:v>
      </x:c>
      <x:c r="C312" t="str">
        <x:v>easy</x:v>
      </x:c>
      <x:c r="D312" s="17" t="str">
        <x:v>next ask before hit/override</x:v>
      </x:c>
      <x:c r="E312" s="17" t="str">
        <x:v>(no ask_attribute)</x:v>
      </x:c>
      <x:c r="F312" s="17" t="str">
        <x:v>agent did not ask</x:v>
      </x:c>
      <x:c r="G312" s="17" t="str"/>
      <x:c r="H312" s="17" t="str">
        <x:v>Those options are not quite right yet. Ask me about one specific attribute.</x:v>
      </x:c>
      <x:c r="I312" s="17" t="str"/>
    </x:row>
    <x:row r="313">
      <x:c r="A313" t="str">
        <x:v>public_0029</x:v>
      </x:c>
      <x:c r="B313" t="str">
        <x:v>buying</x:v>
      </x:c>
      <x:c r="C313" t="str">
        <x:v>easy</x:v>
      </x:c>
      <x:c r="D313" s="17" t="str">
        <x:v>next ask before hit/override</x:v>
      </x:c>
      <x:c r="E313" s="17" t="str">
        <x:v>category</x:v>
      </x:c>
      <x:c r="F313" s="17" t="str">
        <x:v>no new constraint</x:v>
      </x:c>
      <x:c r="G313" s="17" t="str"/>
      <x:c r="H313" s="17" t="str">
        <x:v>I don't have an additional preference for category.</x:v>
      </x:c>
      <x:c r="I313" s="17" t="str"/>
    </x:row>
    <x:row r="314">
      <x:c r="A314" t="str">
        <x:v>public_0029</x:v>
      </x:c>
      <x:c r="B314" t="str">
        <x:v>buying</x:v>
      </x:c>
      <x:c r="C314" t="str">
        <x:v>easy</x:v>
      </x:c>
      <x:c r="D314" s="17" t="str">
        <x:v>next ask before hit/override</x:v>
      </x:c>
      <x:c r="E314" s="17" t="str">
        <x:v>material</x:v>
      </x:c>
      <x:c r="F314" s="17" t="str">
        <x:v>no new constraint</x:v>
      </x:c>
      <x:c r="G314" s="17" t="str"/>
      <x:c r="H314" s="17" t="str">
        <x:v>I don't have an additional preference for material.</x:v>
      </x:c>
      <x:c r="I314" s="17" t="str"/>
    </x:row>
    <x:row r="315">
      <x:c r="A315" t="str">
        <x:v>public_0029</x:v>
      </x:c>
      <x:c r="B315" t="str">
        <x:v>buying</x:v>
      </x:c>
      <x:c r="C315" t="str">
        <x:v>easy</x:v>
      </x:c>
      <x:c r="D315" s="17" t="str">
        <x:v>next ask before hit/override</x:v>
      </x:c>
      <x:c r="E315" s="17" t="str">
        <x:v>color</x:v>
      </x:c>
      <x:c r="F315" s="17" t="str">
        <x:v>no new constraint</x:v>
      </x:c>
      <x:c r="G315" s="17" t="str"/>
      <x:c r="H315" s="17" t="str">
        <x:v>I don't have an additional preference for color.</x:v>
      </x:c>
      <x:c r="I315" s="17" t="str"/>
    </x:row>
    <x:row r="316">
      <x:c r="A316" t="str">
        <x:v>public_0029</x:v>
      </x:c>
      <x:c r="B316" t="str">
        <x:v>buying</x:v>
      </x:c>
      <x:c r="C316" t="str">
        <x:v>easy</x:v>
      </x:c>
      <x:c r="D316" s="17" t="str">
        <x:v>next ask before hit/override</x:v>
      </x:c>
      <x:c r="E316" s="17" t="str">
        <x:v>size</x:v>
      </x:c>
      <x:c r="F316" s="17" t="str">
        <x:v>no new constraint</x:v>
      </x:c>
      <x:c r="G316" s="17" t="str"/>
      <x:c r="H316" s="17" t="str">
        <x:v>I don't have an additional preference for size.</x:v>
      </x:c>
      <x:c r="I316" s="17" t="str"/>
    </x:row>
    <x:row r="317">
      <x:c r="A317" t="str">
        <x:v>public_0029</x:v>
      </x:c>
      <x:c r="B317" t="str">
        <x:v>buying</x:v>
      </x:c>
      <x:c r="C317" t="str">
        <x:v>easy</x:v>
      </x:c>
      <x:c r="D317" s="17" t="str">
        <x:v>next ask before hit/override</x:v>
      </x:c>
      <x:c r="E317" s="17" t="str">
        <x:v>style</x:v>
      </x:c>
      <x:c r="F317" s="17" t="str">
        <x:v>no new constraint</x:v>
      </x:c>
      <x:c r="G317" s="17" t="str"/>
      <x:c r="H317" s="17" t="str">
        <x:v>I don't have an additional preference for style.</x:v>
      </x:c>
      <x:c r="I317" s="17" t="str"/>
    </x:row>
    <x:row r="318">
      <x:c r="A318" t="str">
        <x:v>public_0029</x:v>
      </x:c>
      <x:c r="B318" t="str">
        <x:v>buying</x:v>
      </x:c>
      <x:c r="C318" t="str">
        <x:v>easy</x:v>
      </x:c>
      <x:c r="D318" s="17" t="str">
        <x:v>next ask before hit/override</x:v>
      </x:c>
      <x:c r="E318" s="17" t="str">
        <x:v>brand</x:v>
      </x:c>
      <x:c r="F318" s="17" t="str">
        <x:v>no new constraint</x:v>
      </x:c>
      <x:c r="G318" s="17" t="str"/>
      <x:c r="H318" s="17" t="str">
        <x:v>I don't have an additional preference for brand.</x:v>
      </x:c>
      <x:c r="I318" s="17" t="str"/>
    </x:row>
    <x:row r="319">
      <x:c r="A319" t="str">
        <x:v>public_0029</x:v>
      </x:c>
      <x:c r="B319" t="str">
        <x:v>buying</x:v>
      </x:c>
      <x:c r="C319" t="str">
        <x:v>easy</x:v>
      </x:c>
      <x:c r="D319" s="17" t="str">
        <x:v>next ask before hit/override</x:v>
      </x:c>
      <x:c r="E319" s="17" t="str">
        <x:v>budget</x:v>
      </x:c>
      <x:c r="F319" s="17" t="str">
        <x:v>no new constraint</x:v>
      </x:c>
      <x:c r="G319" s="17" t="str"/>
      <x:c r="H319" s="17" t="str">
        <x:v>I don't have an additional preference for budget.</x:v>
      </x:c>
      <x:c r="I319" s="17" t="str"/>
    </x:row>
    <x:row r="320">
      <x:c r="A320" t="str">
        <x:v>public_0029</x:v>
      </x:c>
      <x:c r="B320" t="str">
        <x:v>buying</x:v>
      </x:c>
      <x:c r="C320" t="str">
        <x:v>easy</x:v>
      </x:c>
      <x:c r="D320" s="17" t="str">
        <x:v>next ask before hit/override</x:v>
      </x:c>
      <x:c r="E320" s="17" t="str">
        <x:v>feature</x:v>
      </x:c>
      <x:c r="F320" s="17" t="str">
        <x:v>constraint revealed</x:v>
      </x:c>
      <x:c r="G320" s="17" t="str">
        <x:v>Back for a second time, it's the ever comfy, ever stylish Yoga Sling 2 sandal from Sanuk®. A sandal that's a flexible as you—win! | New lightweight, two-way stretch knit upper with sling comfort construction</x:v>
      </x:c>
      <x:c r="H320" s="17" t="str">
        <x:v>For that, what matters is: Back for a second time, it's the ever comfy, ever stylish Yoga Sling 2 sandal from Sanuk®. A sandal that's a flexible as you—win!; New lightweight, two-way stretch knit upper with sling comfort construction.</x:v>
      </x:c>
      <x:c r="I320" s="17" t="str"/>
    </x:row>
    <x:row r="321">
      <x:c r="A321" t="str">
        <x:v>public_0029</x:v>
      </x:c>
      <x:c r="B321" t="str">
        <x:v>buying</x:v>
      </x:c>
      <x:c r="C321" t="str">
        <x:v>easy</x:v>
      </x:c>
      <x:c r="D321" s="17" t="str">
        <x:v>next ask before hit/override</x:v>
      </x:c>
      <x:c r="E321" s="17" t="str">
        <x:v>use_case</x:v>
      </x:c>
      <x:c r="F321" s="17" t="str">
        <x:v>no new constraint</x:v>
      </x:c>
      <x:c r="G321" s="17" t="str"/>
      <x:c r="H321" s="17" t="str">
        <x:v>I don't have an additional preference for use_case.</x:v>
      </x:c>
      <x:c r="I321" s="17" t="str"/>
    </x:row>
    <x:row r="322">
      <x:c r="A322" t="str">
        <x:v>public_0029</x:v>
      </x:c>
      <x:c r="B322" t="str">
        <x:v>buying</x:v>
      </x:c>
      <x:c r="C322" t="str">
        <x:v>easy</x:v>
      </x:c>
      <x:c r="D322" s="17" t="str">
        <x:v>next ask before hit/override</x:v>
      </x:c>
      <x:c r="E322" s="17" t="str">
        <x:v>other</x:v>
      </x:c>
      <x:c r="F322" s="17" t="str">
        <x:v>constraint revealed</x:v>
      </x:c>
      <x:c r="G322" s="17" t="str">
        <x:v>Back for a second time, it's the ever comfy, ever stylish Yoga Sling 2 sandal from Sanuk®. A sandal that's a flexible as you—win! | New lightweight, two-way stretch knit upper with sling comfort construction</x:v>
      </x:c>
      <x:c r="H322" s="17" t="str">
        <x:v>For that, what matters is: Back for a second time, it's the ever comfy, ever stylish Yoga Sling 2 sandal from Sanuk®. A sandal that's a flexible as you—win!; New lightweight, two-way stretch knit upper with sling comfort construction.</x:v>
      </x:c>
      <x:c r="I322" s="17" t="str"/>
    </x:row>
    <x:row r="323">
      <x:c r="A323" t="str">
        <x:v>public_0029</x:v>
      </x:c>
      <x:c r="B323" t="str">
        <x:v>buying</x:v>
      </x:c>
      <x:c r="C323" t="str">
        <x:v>easy</x:v>
      </x:c>
      <x:c r="D323" s="17" t="str">
        <x:v>next ask before hit/override</x:v>
      </x:c>
      <x:c r="E323" s="17" t="str">
        <x:v>(no ask_attribute)</x:v>
      </x:c>
      <x:c r="F323" s="17" t="str">
        <x:v>agent did not ask</x:v>
      </x:c>
      <x:c r="G323" s="17" t="str"/>
      <x:c r="H323" s="17" t="str">
        <x:v>Those options are not quite right yet. Ask me about one specific attribute.</x:v>
      </x:c>
      <x:c r="I323" s="17" t="str"/>
    </x:row>
    <x:row r="324">
      <x:c r="A324" t="str">
        <x:v>public_0030</x:v>
      </x:c>
      <x:c r="B324" t="str">
        <x:v>buying</x:v>
      </x:c>
      <x:c r="C324" t="str">
        <x:v>easy</x:v>
      </x:c>
      <x:c r="D324" s="17" t="str">
        <x:v>next ask before hit/override</x:v>
      </x:c>
      <x:c r="E324" s="17" t="str">
        <x:v>category</x:v>
      </x:c>
      <x:c r="F324" s="17" t="str">
        <x:v>no new constraint</x:v>
      </x:c>
      <x:c r="G324" s="17" t="str"/>
      <x:c r="H324" s="17" t="str">
        <x:v>I don't have an additional preference for category.</x:v>
      </x:c>
      <x:c r="I324" s="17" t="str"/>
    </x:row>
    <x:row r="325">
      <x:c r="A325" t="str">
        <x:v>public_0030</x:v>
      </x:c>
      <x:c r="B325" t="str">
        <x:v>buying</x:v>
      </x:c>
      <x:c r="C325" t="str">
        <x:v>easy</x:v>
      </x:c>
      <x:c r="D325" s="17" t="str">
        <x:v>next ask before hit/override</x:v>
      </x:c>
      <x:c r="E325" s="17" t="str">
        <x:v>material</x:v>
      </x:c>
      <x:c r="F325" s="17" t="str">
        <x:v>constraint revealed</x:v>
      </x:c>
      <x:c r="G325" s="17" t="str">
        <x:v>Polyester,Polar Fleece</x:v>
      </x:c>
      <x:c r="H325" s="17" t="str">
        <x:v>For that, what matters is: Polyester,Polar Fleece.</x:v>
      </x:c>
      <x:c r="I325" s="17" t="str"/>
    </x:row>
    <x:row r="326">
      <x:c r="A326" t="str">
        <x:v>public_0030</x:v>
      </x:c>
      <x:c r="B326" t="str">
        <x:v>buying</x:v>
      </x:c>
      <x:c r="C326" t="str">
        <x:v>easy</x:v>
      </x:c>
      <x:c r="D326" s="17" t="str">
        <x:v>next ask before hit/override</x:v>
      </x:c>
      <x:c r="E326" s="17" t="str">
        <x:v>color</x:v>
      </x:c>
      <x:c r="F326" s="17" t="str">
        <x:v>no new constraint</x:v>
      </x:c>
      <x:c r="G326" s="17" t="str"/>
      <x:c r="H326" s="17" t="str">
        <x:v>I don't have an additional preference for color.</x:v>
      </x:c>
      <x:c r="I326" s="17" t="str"/>
    </x:row>
    <x:row r="327">
      <x:c r="A327" t="str">
        <x:v>public_0030</x:v>
      </x:c>
      <x:c r="B327" t="str">
        <x:v>buying</x:v>
      </x:c>
      <x:c r="C327" t="str">
        <x:v>easy</x:v>
      </x:c>
      <x:c r="D327" s="17" t="str">
        <x:v>next ask before hit/override</x:v>
      </x:c>
      <x:c r="E327" s="17" t="str">
        <x:v>size</x:v>
      </x:c>
      <x:c r="F327" s="17" t="str">
        <x:v>no new constraint</x:v>
      </x:c>
      <x:c r="G327" s="17" t="str"/>
      <x:c r="H327" s="17" t="str">
        <x:v>I don't have an additional preference for size.</x:v>
      </x:c>
      <x:c r="I327" s="17" t="str"/>
    </x:row>
    <x:row r="328">
      <x:c r="A328" t="str">
        <x:v>public_0030</x:v>
      </x:c>
      <x:c r="B328" t="str">
        <x:v>buying</x:v>
      </x:c>
      <x:c r="C328" t="str">
        <x:v>easy</x:v>
      </x:c>
      <x:c r="D328" s="17" t="str">
        <x:v>next ask before hit/override</x:v>
      </x:c>
      <x:c r="E328" s="17" t="str">
        <x:v>style</x:v>
      </x:c>
      <x:c r="F328" s="17" t="str">
        <x:v>no new constraint</x:v>
      </x:c>
      <x:c r="G328" s="17" t="str"/>
      <x:c r="H328" s="17" t="str">
        <x:v>I don't have an additional preference for style.</x:v>
      </x:c>
      <x:c r="I328" s="17" t="str"/>
    </x:row>
    <x:row r="329">
      <x:c r="A329" t="str">
        <x:v>public_0030</x:v>
      </x:c>
      <x:c r="B329" t="str">
        <x:v>buying</x:v>
      </x:c>
      <x:c r="C329" t="str">
        <x:v>easy</x:v>
      </x:c>
      <x:c r="D329" s="17" t="str">
        <x:v>next ask before hit/override</x:v>
      </x:c>
      <x:c r="E329" s="17" t="str">
        <x:v>brand</x:v>
      </x:c>
      <x:c r="F329" s="17" t="str">
        <x:v>no new constraint</x:v>
      </x:c>
      <x:c r="G329" s="17" t="str"/>
      <x:c r="H329" s="17" t="str">
        <x:v>I don't have an additional preference for brand.</x:v>
      </x:c>
      <x:c r="I329" s="17" t="str"/>
    </x:row>
    <x:row r="330">
      <x:c r="A330" t="str">
        <x:v>public_0030</x:v>
      </x:c>
      <x:c r="B330" t="str">
        <x:v>buying</x:v>
      </x:c>
      <x:c r="C330" t="str">
        <x:v>easy</x:v>
      </x:c>
      <x:c r="D330" s="17" t="str">
        <x:v>next ask before hit/override</x:v>
      </x:c>
      <x:c r="E330" s="17" t="str">
        <x:v>budget</x:v>
      </x:c>
      <x:c r="F330" s="17" t="str">
        <x:v>no new constraint</x:v>
      </x:c>
      <x:c r="G330" s="17" t="str"/>
      <x:c r="H330" s="17" t="str">
        <x:v>I don't have an additional preference for budget.</x:v>
      </x:c>
      <x:c r="I330" s="17" t="str"/>
    </x:row>
    <x:row r="331">
      <x:c r="A331" t="str">
        <x:v>public_0030</x:v>
      </x:c>
      <x:c r="B331" t="str">
        <x:v>buying</x:v>
      </x:c>
      <x:c r="C331" t="str">
        <x:v>easy</x:v>
      </x:c>
      <x:c r="D331" s="17" t="str">
        <x:v>next ask before hit/override</x:v>
      </x:c>
      <x:c r="E331" s="17" t="str">
        <x:v>feature</x:v>
      </x:c>
      <x:c r="F331" s="17" t="str">
        <x:v>constraint revealed</x:v>
      </x:c>
      <x:c r="G331" s="17" t="str">
        <x:v>Button closure | Hand Wash Only</x:v>
      </x:c>
      <x:c r="H331" s="17" t="str">
        <x:v>For that, what matters is: Button closure; Hand Wash Only.</x:v>
      </x:c>
      <x:c r="I331" s="17" t="str"/>
    </x:row>
    <x:row r="332">
      <x:c r="A332" t="str">
        <x:v>public_0030</x:v>
      </x:c>
      <x:c r="B332" t="str">
        <x:v>buying</x:v>
      </x:c>
      <x:c r="C332" t="str">
        <x:v>easy</x:v>
      </x:c>
      <x:c r="D332" s="17" t="str">
        <x:v>next ask before hit/override</x:v>
      </x:c>
      <x:c r="E332" s="17" t="str">
        <x:v>use_case</x:v>
      </x:c>
      <x:c r="F332" s="17" t="str">
        <x:v>no new constraint</x:v>
      </x:c>
      <x:c r="G332" s="17" t="str"/>
      <x:c r="H332" s="17" t="str">
        <x:v>I don't have an additional preference for use_case.</x:v>
      </x:c>
      <x:c r="I332" s="17" t="str"/>
    </x:row>
    <x:row r="333">
      <x:c r="A333" t="str">
        <x:v>public_0030</x:v>
      </x:c>
      <x:c r="B333" t="str">
        <x:v>buying</x:v>
      </x:c>
      <x:c r="C333" t="str">
        <x:v>easy</x:v>
      </x:c>
      <x:c r="D333" s="17" t="str">
        <x:v>next ask before hit/override</x:v>
      </x:c>
      <x:c r="E333" s="17" t="str">
        <x:v>other</x:v>
      </x:c>
      <x:c r="F333" s="17" t="str">
        <x:v>constraint revealed</x:v>
      </x:c>
      <x:c r="G333" s="17" t="str">
        <x:v>Polyester,Polar Fleece | Button closure</x:v>
      </x:c>
      <x:c r="H333" s="17" t="str">
        <x:v>For that, what matters is: Polyester,Polar Fleece; Button closure.</x:v>
      </x:c>
      <x:c r="I333" s="17" t="str"/>
    </x:row>
    <x:row r="334">
      <x:c r="A334" t="str">
        <x:v>public_0030</x:v>
      </x:c>
      <x:c r="B334" t="str">
        <x:v>buying</x:v>
      </x:c>
      <x:c r="C334" t="str">
        <x:v>easy</x:v>
      </x:c>
      <x:c r="D334" s="17" t="str">
        <x:v>next ask before hit/override</x:v>
      </x:c>
      <x:c r="E334" s="17" t="str">
        <x:v>(no ask_attribute)</x:v>
      </x:c>
      <x:c r="F334" s="17" t="str">
        <x:v>agent did not ask</x:v>
      </x:c>
      <x:c r="G334" s="17" t="str"/>
      <x:c r="H334" s="17" t="str">
        <x:v>Those options are not quite right yet. Ask me about one specific attribute.</x:v>
      </x:c>
      <x:c r="I334" s="17" t="str"/>
    </x:row>
    <x:row r="335">
      <x:c r="A335" t="str">
        <x:v>public_0031</x:v>
      </x:c>
      <x:c r="B335" t="str">
        <x:v>buying</x:v>
      </x:c>
      <x:c r="C335" t="str">
        <x:v>easy</x:v>
      </x:c>
      <x:c r="D335" s="17" t="str">
        <x:v>next ask before hit/override</x:v>
      </x:c>
      <x:c r="E335" s="17" t="str">
        <x:v>category</x:v>
      </x:c>
      <x:c r="F335" s="17" t="str">
        <x:v>no new constraint</x:v>
      </x:c>
      <x:c r="G335" s="17" t="str"/>
      <x:c r="H335" s="17" t="str">
        <x:v>I don't have an additional preference for category.</x:v>
      </x:c>
      <x:c r="I335" s="17" t="str"/>
    </x:row>
    <x:row r="336">
      <x:c r="A336" t="str">
        <x:v>public_0031</x:v>
      </x:c>
      <x:c r="B336" t="str">
        <x:v>buying</x:v>
      </x:c>
      <x:c r="C336" t="str">
        <x:v>easy</x:v>
      </x:c>
      <x:c r="D336" s="17" t="str">
        <x:v>next ask before hit/override</x:v>
      </x:c>
      <x:c r="E336" s="17" t="str">
        <x:v>material</x:v>
      </x:c>
      <x:c r="F336" s="17" t="str">
        <x:v>constraint revealed</x:v>
      </x:c>
      <x:c r="G336" s="17" t="str">
        <x:v>78% Cotton, 20% Polyester, 2% Elastane</x:v>
      </x:c>
      <x:c r="H336" s="17" t="str">
        <x:v>For that, what matters is: 78% Cotton, 20% Polyester, 2% Elastane.</x:v>
      </x:c>
      <x:c r="I336" s="17" t="str"/>
    </x:row>
    <x:row r="337">
      <x:c r="A337" t="str">
        <x:v>public_0031</x:v>
      </x:c>
      <x:c r="B337" t="str">
        <x:v>buying</x:v>
      </x:c>
      <x:c r="C337" t="str">
        <x:v>easy</x:v>
      </x:c>
      <x:c r="D337" s="17" t="str">
        <x:v>next ask before hit/override</x:v>
      </x:c>
      <x:c r="E337" s="17" t="str">
        <x:v>color</x:v>
      </x:c>
      <x:c r="F337" s="17" t="str">
        <x:v>no new constraint</x:v>
      </x:c>
      <x:c r="G337" s="17" t="str"/>
      <x:c r="H337" s="17" t="str">
        <x:v>I don't have an additional preference for color.</x:v>
      </x:c>
      <x:c r="I337" s="17" t="str"/>
    </x:row>
    <x:row r="338">
      <x:c r="A338" t="str">
        <x:v>public_0031</x:v>
      </x:c>
      <x:c r="B338" t="str">
        <x:v>buying</x:v>
      </x:c>
      <x:c r="C338" t="str">
        <x:v>easy</x:v>
      </x:c>
      <x:c r="D338" s="17" t="str">
        <x:v>next ask before hit/override</x:v>
      </x:c>
      <x:c r="E338" s="17" t="str">
        <x:v>size</x:v>
      </x:c>
      <x:c r="F338" s="17" t="str">
        <x:v>no new constraint</x:v>
      </x:c>
      <x:c r="G338" s="17" t="str"/>
      <x:c r="H338" s="17" t="str">
        <x:v>I don't have an additional preference for size.</x:v>
      </x:c>
      <x:c r="I338" s="17" t="str"/>
    </x:row>
    <x:row r="339">
      <x:c r="A339" t="str">
        <x:v>public_0031</x:v>
      </x:c>
      <x:c r="B339" t="str">
        <x:v>buying</x:v>
      </x:c>
      <x:c r="C339" t="str">
        <x:v>easy</x:v>
      </x:c>
      <x:c r="D339" s="17" t="str">
        <x:v>next ask before hit/override</x:v>
      </x:c>
      <x:c r="E339" s="17" t="str">
        <x:v>style</x:v>
      </x:c>
      <x:c r="F339" s="17" t="str">
        <x:v>no new constraint</x:v>
      </x:c>
      <x:c r="G339" s="17" t="str"/>
      <x:c r="H339" s="17" t="str">
        <x:v>I don't have an additional preference for style.</x:v>
      </x:c>
      <x:c r="I339" s="17" t="str"/>
    </x:row>
    <x:row r="340">
      <x:c r="A340" t="str">
        <x:v>public_0031</x:v>
      </x:c>
      <x:c r="B340" t="str">
        <x:v>buying</x:v>
      </x:c>
      <x:c r="C340" t="str">
        <x:v>easy</x:v>
      </x:c>
      <x:c r="D340" s="17" t="str">
        <x:v>next ask before hit/override</x:v>
      </x:c>
      <x:c r="E340" s="17" t="str">
        <x:v>brand</x:v>
      </x:c>
      <x:c r="F340" s="17" t="str">
        <x:v>no new constraint</x:v>
      </x:c>
      <x:c r="G340" s="17" t="str"/>
      <x:c r="H340" s="17" t="str">
        <x:v>I don't have an additional preference for brand.</x:v>
      </x:c>
      <x:c r="I340" s="17" t="str"/>
    </x:row>
    <x:row r="341">
      <x:c r="A341" t="str">
        <x:v>public_0031</x:v>
      </x:c>
      <x:c r="B341" t="str">
        <x:v>buying</x:v>
      </x:c>
      <x:c r="C341" t="str">
        <x:v>easy</x:v>
      </x:c>
      <x:c r="D341" s="17" t="str">
        <x:v>next ask before hit/override</x:v>
      </x:c>
      <x:c r="E341" s="17" t="str">
        <x:v>budget</x:v>
      </x:c>
      <x:c r="F341" s="17" t="str">
        <x:v>no new constraint</x:v>
      </x:c>
      <x:c r="G341" s="17" t="str"/>
      <x:c r="H341" s="17" t="str">
        <x:v>I don't have an additional preference for budget.</x:v>
      </x:c>
      <x:c r="I341" s="17" t="str"/>
    </x:row>
    <x:row r="342">
      <x:c r="A342" t="str">
        <x:v>public_0031</x:v>
      </x:c>
      <x:c r="B342" t="str">
        <x:v>buying</x:v>
      </x:c>
      <x:c r="C342" t="str">
        <x:v>easy</x:v>
      </x:c>
      <x:c r="D342" s="17" t="str">
        <x:v>next ask before hit/override</x:v>
      </x:c>
      <x:c r="E342" s="17" t="str">
        <x:v>feature</x:v>
      </x:c>
      <x:c r="F342" s="17" t="str">
        <x:v>constraint revealed</x:v>
      </x:c>
      <x:c r="G342" s="17" t="str">
        <x:v>Imported | Zipper closure</x:v>
      </x:c>
      <x:c r="H342" s="17" t="str">
        <x:v>For that, what matters is: Imported; Zipper closure.</x:v>
      </x:c>
      <x:c r="I342" s="17" t="str"/>
    </x:row>
    <x:row r="343">
      <x:c r="A343" t="str">
        <x:v>public_0031</x:v>
      </x:c>
      <x:c r="B343" t="str">
        <x:v>buying</x:v>
      </x:c>
      <x:c r="C343" t="str">
        <x:v>easy</x:v>
      </x:c>
      <x:c r="D343" s="17" t="str">
        <x:v>next ask before hit/override</x:v>
      </x:c>
      <x:c r="E343" s="17" t="str">
        <x:v>use_case</x:v>
      </x:c>
      <x:c r="F343" s="17" t="str">
        <x:v>no new constraint</x:v>
      </x:c>
      <x:c r="G343" s="17" t="str"/>
      <x:c r="H343" s="17" t="str">
        <x:v>I don't have an additional preference for use_case.</x:v>
      </x:c>
      <x:c r="I343" s="17" t="str"/>
    </x:row>
    <x:row r="344">
      <x:c r="A344" t="str">
        <x:v>public_0031</x:v>
      </x:c>
      <x:c r="B344" t="str">
        <x:v>buying</x:v>
      </x:c>
      <x:c r="C344" t="str">
        <x:v>easy</x:v>
      </x:c>
      <x:c r="D344" s="17" t="str">
        <x:v>next ask before hit/override</x:v>
      </x:c>
      <x:c r="E344" s="17" t="str">
        <x:v>other</x:v>
      </x:c>
      <x:c r="F344" s="17" t="str">
        <x:v>constraint revealed</x:v>
      </x:c>
      <x:c r="G344" s="17" t="str">
        <x:v>78% Cotton, 20% Polyester, 2% Elastane | Imported</x:v>
      </x:c>
      <x:c r="H344" s="17" t="str">
        <x:v>For that, what matters is: 78% Cotton, 20% Polyester, 2% Elastane; Imported.</x:v>
      </x:c>
      <x:c r="I344" s="17" t="str"/>
    </x:row>
    <x:row r="345">
      <x:c r="A345" t="str">
        <x:v>public_0031</x:v>
      </x:c>
      <x:c r="B345" t="str">
        <x:v>buying</x:v>
      </x:c>
      <x:c r="C345" t="str">
        <x:v>easy</x:v>
      </x:c>
      <x:c r="D345" s="17" t="str">
        <x:v>next ask before hit/override</x:v>
      </x:c>
      <x:c r="E345" s="17" t="str">
        <x:v>(no ask_attribute)</x:v>
      </x:c>
      <x:c r="F345" s="17" t="str">
        <x:v>agent did not ask</x:v>
      </x:c>
      <x:c r="G345" s="17" t="str"/>
      <x:c r="H345" s="17" t="str">
        <x:v>Those options are not quite right yet. Ask me about one specific attribute.</x:v>
      </x:c>
      <x:c r="I345" s="17" t="str"/>
    </x:row>
    <x:row r="346">
      <x:c r="A346" t="str">
        <x:v>public_0032</x:v>
      </x:c>
      <x:c r="B346" t="str">
        <x:v>buying</x:v>
      </x:c>
      <x:c r="C346" t="str">
        <x:v>easy</x:v>
      </x:c>
      <x:c r="D346" s="17" t="str">
        <x:v>next ask before hit/override</x:v>
      </x:c>
      <x:c r="E346" s="17" t="str">
        <x:v>category</x:v>
      </x:c>
      <x:c r="F346" s="17" t="str">
        <x:v>no new constraint</x:v>
      </x:c>
      <x:c r="G346" s="17" t="str"/>
      <x:c r="H346" s="17" t="str">
        <x:v>I don't have an additional preference for category.</x:v>
      </x:c>
      <x:c r="I346" s="17" t="str"/>
    </x:row>
    <x:row r="347">
      <x:c r="A347" t="str">
        <x:v>public_0032</x:v>
      </x:c>
      <x:c r="B347" t="str">
        <x:v>buying</x:v>
      </x:c>
      <x:c r="C347" t="str">
        <x:v>easy</x:v>
      </x:c>
      <x:c r="D347" s="17" t="str">
        <x:v>next ask before hit/override</x:v>
      </x:c>
      <x:c r="E347" s="17" t="str">
        <x:v>material</x:v>
      </x:c>
      <x:c r="F347" s="17" t="str">
        <x:v>constraint revealed</x:v>
      </x:c>
      <x:c r="G347" s="17" t="str">
        <x:v>100% Cotton</x:v>
      </x:c>
      <x:c r="H347" s="17" t="str">
        <x:v>For that, what matters is: 100% Cotton.</x:v>
      </x:c>
      <x:c r="I347" s="17" t="str"/>
    </x:row>
    <x:row r="348">
      <x:c r="A348" t="str">
        <x:v>public_0032</x:v>
      </x:c>
      <x:c r="B348" t="str">
        <x:v>buying</x:v>
      </x:c>
      <x:c r="C348" t="str">
        <x:v>easy</x:v>
      </x:c>
      <x:c r="D348" s="17" t="str">
        <x:v>next ask before hit/override</x:v>
      </x:c>
      <x:c r="E348" s="17" t="str">
        <x:v>color</x:v>
      </x:c>
      <x:c r="F348" s="17" t="str">
        <x:v>no new constraint</x:v>
      </x:c>
      <x:c r="G348" s="17" t="str"/>
      <x:c r="H348" s="17" t="str">
        <x:v>I don't have an additional preference for color.</x:v>
      </x:c>
      <x:c r="I348" s="17" t="str"/>
    </x:row>
    <x:row r="349">
      <x:c r="A349" t="str">
        <x:v>public_0032</x:v>
      </x:c>
      <x:c r="B349" t="str">
        <x:v>buying</x:v>
      </x:c>
      <x:c r="C349" t="str">
        <x:v>easy</x:v>
      </x:c>
      <x:c r="D349" s="17" t="str">
        <x:v>next ask before hit/override</x:v>
      </x:c>
      <x:c r="E349" s="17" t="str">
        <x:v>size</x:v>
      </x:c>
      <x:c r="F349" s="17" t="str">
        <x:v>no new constraint</x:v>
      </x:c>
      <x:c r="G349" s="17" t="str"/>
      <x:c r="H349" s="17" t="str">
        <x:v>I don't have an additional preference for size.</x:v>
      </x:c>
      <x:c r="I349" s="17" t="str"/>
    </x:row>
    <x:row r="350">
      <x:c r="A350" t="str">
        <x:v>public_0032</x:v>
      </x:c>
      <x:c r="B350" t="str">
        <x:v>buying</x:v>
      </x:c>
      <x:c r="C350" t="str">
        <x:v>easy</x:v>
      </x:c>
      <x:c r="D350" s="17" t="str">
        <x:v>next ask before hit/override</x:v>
      </x:c>
      <x:c r="E350" s="17" t="str">
        <x:v>style</x:v>
      </x:c>
      <x:c r="F350" s="17" t="str">
        <x:v>no new constraint</x:v>
      </x:c>
      <x:c r="G350" s="17" t="str"/>
      <x:c r="H350" s="17" t="str">
        <x:v>I don't have an additional preference for style.</x:v>
      </x:c>
      <x:c r="I350" s="17" t="str"/>
    </x:row>
    <x:row r="351">
      <x:c r="A351" t="str">
        <x:v>public_0032</x:v>
      </x:c>
      <x:c r="B351" t="str">
        <x:v>buying</x:v>
      </x:c>
      <x:c r="C351" t="str">
        <x:v>easy</x:v>
      </x:c>
      <x:c r="D351" s="17" t="str">
        <x:v>next ask before hit/override</x:v>
      </x:c>
      <x:c r="E351" s="17" t="str">
        <x:v>brand</x:v>
      </x:c>
      <x:c r="F351" s="17" t="str">
        <x:v>no new constraint</x:v>
      </x:c>
      <x:c r="G351" s="17" t="str"/>
      <x:c r="H351" s="17" t="str">
        <x:v>I don't have an additional preference for brand.</x:v>
      </x:c>
      <x:c r="I351" s="17" t="str"/>
    </x:row>
    <x:row r="352">
      <x:c r="A352" t="str">
        <x:v>public_0032</x:v>
      </x:c>
      <x:c r="B352" t="str">
        <x:v>buying</x:v>
      </x:c>
      <x:c r="C352" t="str">
        <x:v>easy</x:v>
      </x:c>
      <x:c r="D352" s="17" t="str">
        <x:v>next ask before hit/override</x:v>
      </x:c>
      <x:c r="E352" s="17" t="str">
        <x:v>budget</x:v>
      </x:c>
      <x:c r="F352" s="17" t="str">
        <x:v>no new constraint</x:v>
      </x:c>
      <x:c r="G352" s="17" t="str"/>
      <x:c r="H352" s="17" t="str">
        <x:v>I don't have an additional preference for budget.</x:v>
      </x:c>
      <x:c r="I352" s="17" t="str"/>
    </x:row>
    <x:row r="353">
      <x:c r="A353" t="str">
        <x:v>public_0032</x:v>
      </x:c>
      <x:c r="B353" t="str">
        <x:v>buying</x:v>
      </x:c>
      <x:c r="C353" t="str">
        <x:v>easy</x:v>
      </x:c>
      <x:c r="D353" s="17" t="str">
        <x:v>next ask before hit/override</x:v>
      </x:c>
      <x:c r="E353" s="17" t="str">
        <x:v>feature</x:v>
      </x:c>
      <x:c r="F353" s="17" t="str">
        <x:v>constraint revealed</x:v>
      </x:c>
      <x:c r="G353" s="17" t="str">
        <x:v>Pull On closure | Hand Wash Only</x:v>
      </x:c>
      <x:c r="H353" s="17" t="str">
        <x:v>For that, what matters is: Pull On closure; Hand Wash Only.</x:v>
      </x:c>
      <x:c r="I353" s="17" t="str"/>
    </x:row>
    <x:row r="354">
      <x:c r="A354" t="str">
        <x:v>public_0032</x:v>
      </x:c>
      <x:c r="B354" t="str">
        <x:v>buying</x:v>
      </x:c>
      <x:c r="C354" t="str">
        <x:v>easy</x:v>
      </x:c>
      <x:c r="D354" s="17" t="str">
        <x:v>next ask before hit/override</x:v>
      </x:c>
      <x:c r="E354" s="17" t="str">
        <x:v>use_case</x:v>
      </x:c>
      <x:c r="F354" s="17" t="str">
        <x:v>no new constraint</x:v>
      </x:c>
      <x:c r="G354" s="17" t="str"/>
      <x:c r="H354" s="17" t="str">
        <x:v>I don't have an additional preference for use_case.</x:v>
      </x:c>
      <x:c r="I354" s="17" t="str"/>
    </x:row>
    <x:row r="355">
      <x:c r="A355" t="str">
        <x:v>public_0032</x:v>
      </x:c>
      <x:c r="B355" t="str">
        <x:v>buying</x:v>
      </x:c>
      <x:c r="C355" t="str">
        <x:v>easy</x:v>
      </x:c>
      <x:c r="D355" s="17" t="str">
        <x:v>next ask before hit/override</x:v>
      </x:c>
      <x:c r="E355" s="17" t="str">
        <x:v>other</x:v>
      </x:c>
      <x:c r="F355" s="17" t="str">
        <x:v>constraint revealed</x:v>
      </x:c>
      <x:c r="G355" s="17" t="str">
        <x:v>100% Cotton | Pull On closure</x:v>
      </x:c>
      <x:c r="H355" s="17" t="str">
        <x:v>For that, what matters is: 100% Cotton; Pull On closure.</x:v>
      </x:c>
      <x:c r="I355" s="17" t="str"/>
    </x:row>
    <x:row r="356">
      <x:c r="A356" t="str">
        <x:v>public_0032</x:v>
      </x:c>
      <x:c r="B356" t="str">
        <x:v>buying</x:v>
      </x:c>
      <x:c r="C356" t="str">
        <x:v>easy</x:v>
      </x:c>
      <x:c r="D356" s="17" t="str">
        <x:v>next ask before hit/override</x:v>
      </x:c>
      <x:c r="E356" s="17" t="str">
        <x:v>(no ask_attribute)</x:v>
      </x:c>
      <x:c r="F356" s="17" t="str">
        <x:v>agent did not ask</x:v>
      </x:c>
      <x:c r="G356" s="17" t="str"/>
      <x:c r="H356" s="17" t="str">
        <x:v>Those options are not quite right yet. Ask me about one specific attribute.</x:v>
      </x:c>
      <x:c r="I356" s="17" t="str"/>
    </x:row>
    <x:row r="357">
      <x:c r="A357" t="str">
        <x:v>public_0033</x:v>
      </x:c>
      <x:c r="B357" t="str">
        <x:v>browsing</x:v>
      </x:c>
      <x:c r="C357" t="str">
        <x:v>medium</x:v>
      </x:c>
      <x:c r="D357" s="17" t="str">
        <x:v>next ask before hit/override</x:v>
      </x:c>
      <x:c r="E357" s="17" t="str">
        <x:v>category</x:v>
      </x:c>
      <x:c r="F357" s="17" t="str">
        <x:v>no new constraint</x:v>
      </x:c>
      <x:c r="G357" s="17" t="str"/>
      <x:c r="H357" s="17" t="str">
        <x:v>I don't have an additional preference for category.</x:v>
      </x:c>
      <x:c r="I357" s="17" t="str"/>
    </x:row>
    <x:row r="358">
      <x:c r="A358" t="str">
        <x:v>public_0033</x:v>
      </x:c>
      <x:c r="B358" t="str">
        <x:v>browsing</x:v>
      </x:c>
      <x:c r="C358" t="str">
        <x:v>medium</x:v>
      </x:c>
      <x:c r="D358" s="17" t="str">
        <x:v>next ask before hit/override</x:v>
      </x:c>
      <x:c r="E358" s="17" t="str">
        <x:v>material</x:v>
      </x:c>
      <x:c r="F358" s="17" t="str">
        <x:v>constraint revealed</x:v>
      </x:c>
      <x:c r="G358" s="17" t="str">
        <x:v>fabric | Mesh Fabric</x:v>
      </x:c>
      <x:c r="H358" s="17" t="str">
        <x:v>For that, what matters is: fabric; Mesh Fabric.</x:v>
      </x:c>
      <x:c r="I358" s="17" t="str"/>
    </x:row>
    <x:row r="359">
      <x:c r="A359" t="str">
        <x:v>public_0033</x:v>
      </x:c>
      <x:c r="B359" t="str">
        <x:v>browsing</x:v>
      </x:c>
      <x:c r="C359" t="str">
        <x:v>medium</x:v>
      </x:c>
      <x:c r="D359" s="17" t="str">
        <x:v>next ask before hit/override</x:v>
      </x:c>
      <x:c r="E359" s="17" t="str">
        <x:v>color</x:v>
      </x:c>
      <x:c r="F359" s="17" t="str">
        <x:v>no new constraint</x:v>
      </x:c>
      <x:c r="G359" s="17" t="str"/>
      <x:c r="H359" s="17" t="str">
        <x:v>I don't have an additional preference for color.</x:v>
      </x:c>
      <x:c r="I359" s="17" t="str"/>
    </x:row>
    <x:row r="360">
      <x:c r="A360" t="str">
        <x:v>public_0033</x:v>
      </x:c>
      <x:c r="B360" t="str">
        <x:v>browsing</x:v>
      </x:c>
      <x:c r="C360" t="str">
        <x:v>medium</x:v>
      </x:c>
      <x:c r="D360" s="17" t="str">
        <x:v>next ask before hit/override</x:v>
      </x:c>
      <x:c r="E360" s="17" t="str">
        <x:v>size</x:v>
      </x:c>
      <x:c r="F360" s="17" t="str">
        <x:v>no new constraint</x:v>
      </x:c>
      <x:c r="G360" s="17" t="str"/>
      <x:c r="H360" s="17" t="str">
        <x:v>I don't have an additional preference for size.</x:v>
      </x:c>
      <x:c r="I360" s="17" t="str"/>
    </x:row>
    <x:row r="361">
      <x:c r="A361" t="str">
        <x:v>public_0033</x:v>
      </x:c>
      <x:c r="B361" t="str">
        <x:v>browsing</x:v>
      </x:c>
      <x:c r="C361" t="str">
        <x:v>medium</x:v>
      </x:c>
      <x:c r="D361" s="17" t="str">
        <x:v>next ask before hit/override</x:v>
      </x:c>
      <x:c r="E361" s="17" t="str">
        <x:v>style</x:v>
      </x:c>
      <x:c r="F361" s="17" t="str">
        <x:v>no new constraint</x:v>
      </x:c>
      <x:c r="G361" s="17" t="str"/>
      <x:c r="H361" s="17" t="str">
        <x:v>I don't have an additional preference for style.</x:v>
      </x:c>
      <x:c r="I361" s="17" t="str"/>
    </x:row>
    <x:row r="362">
      <x:c r="A362" t="str">
        <x:v>public_0033</x:v>
      </x:c>
      <x:c r="B362" t="str">
        <x:v>browsing</x:v>
      </x:c>
      <x:c r="C362" t="str">
        <x:v>medium</x:v>
      </x:c>
      <x:c r="D362" s="17" t="str">
        <x:v>next ask before hit/override</x:v>
      </x:c>
      <x:c r="E362" s="17" t="str">
        <x:v>brand</x:v>
      </x:c>
      <x:c r="F362" s="17" t="str">
        <x:v>no new constraint</x:v>
      </x:c>
      <x:c r="G362" s="17" t="str"/>
      <x:c r="H362" s="17" t="str">
        <x:v>I don't have an additional preference for brand.</x:v>
      </x:c>
      <x:c r="I362" s="17" t="str"/>
    </x:row>
    <x:row r="363">
      <x:c r="A363" t="str">
        <x:v>public_0033</x:v>
      </x:c>
      <x:c r="B363" t="str">
        <x:v>browsing</x:v>
      </x:c>
      <x:c r="C363" t="str">
        <x:v>medium</x:v>
      </x:c>
      <x:c r="D363" s="17" t="str">
        <x:v>next ask before hit/override</x:v>
      </x:c>
      <x:c r="E363" s="17" t="str">
        <x:v>budget</x:v>
      </x:c>
      <x:c r="F363" s="17" t="str">
        <x:v>no new constraint</x:v>
      </x:c>
      <x:c r="G363" s="17" t="str"/>
      <x:c r="H363" s="17" t="str">
        <x:v>I don't have an additional preference for budget.</x:v>
      </x:c>
      <x:c r="I363" s="17" t="str"/>
    </x:row>
    <x:row r="364">
      <x:c r="A364" t="str">
        <x:v>public_0033</x:v>
      </x:c>
      <x:c r="B364" t="str">
        <x:v>browsing</x:v>
      </x:c>
      <x:c r="C364" t="str">
        <x:v>medium</x:v>
      </x:c>
      <x:c r="D364" s="17" t="str">
        <x:v>next ask before hit/override</x:v>
      </x:c>
      <x:c r="E364" s="17" t="str">
        <x:v>feature</x:v>
      </x:c>
      <x:c r="F364" s="17" t="str">
        <x:v>constraint revealed</x:v>
      </x:c>
      <x:c r="G364" s="17" t="str">
        <x:v>Imported | MD + Air Cushion sole</x:v>
      </x:c>
      <x:c r="H364" s="17" t="str">
        <x:v>For that, what matters is: Imported; MD + Air Cushion sole.</x:v>
      </x:c>
      <x:c r="I364" s="17" t="str"/>
    </x:row>
    <x:row r="365">
      <x:c r="A365" t="str">
        <x:v>public_0033</x:v>
      </x:c>
      <x:c r="B365" t="str">
        <x:v>browsing</x:v>
      </x:c>
      <x:c r="C365" t="str">
        <x:v>medium</x:v>
      </x:c>
      <x:c r="D365" s="17" t="str">
        <x:v>next ask before hit/override</x:v>
      </x:c>
      <x:c r="E365" s="17" t="str">
        <x:v>use_case</x:v>
      </x:c>
      <x:c r="F365" s="17" t="str">
        <x:v>no new constraint</x:v>
      </x:c>
      <x:c r="G365" s="17" t="str"/>
      <x:c r="H365" s="17" t="str">
        <x:v>I don't have an additional preference for use_case.</x:v>
      </x:c>
      <x:c r="I365" s="17" t="str"/>
    </x:row>
    <x:row r="366">
      <x:c r="A366" t="str">
        <x:v>public_0033</x:v>
      </x:c>
      <x:c r="B366" t="str">
        <x:v>browsing</x:v>
      </x:c>
      <x:c r="C366" t="str">
        <x:v>medium</x:v>
      </x:c>
      <x:c r="D366" s="17" t="str">
        <x:v>next ask before hit/override</x:v>
      </x:c>
      <x:c r="E366" s="17" t="str">
        <x:v>other</x:v>
      </x:c>
      <x:c r="F366" s="17" t="str">
        <x:v>constraint revealed</x:v>
      </x:c>
      <x:c r="G366" s="17" t="str">
        <x:v>fabric | Mesh Fabric</x:v>
      </x:c>
      <x:c r="H366" s="17" t="str">
        <x:v>For that, what matters is: fabric; Mesh Fabric.</x:v>
      </x:c>
      <x:c r="I366" s="17" t="str"/>
    </x:row>
    <x:row r="367">
      <x:c r="A367" t="str">
        <x:v>public_0033</x:v>
      </x:c>
      <x:c r="B367" t="str">
        <x:v>browsing</x:v>
      </x:c>
      <x:c r="C367" t="str">
        <x:v>medium</x:v>
      </x:c>
      <x:c r="D367" s="17" t="str">
        <x:v>next ask before hit/override</x:v>
      </x:c>
      <x:c r="E367" s="17" t="str">
        <x:v>(no ask_attribute)</x:v>
      </x:c>
      <x:c r="F367" s="17" t="str">
        <x:v>agent did not ask</x:v>
      </x:c>
      <x:c r="G367" s="17" t="str"/>
      <x:c r="H367" s="17" t="str">
        <x:v>Those options are not quite right yet. Ask me about one specific attribute.</x:v>
      </x:c>
      <x:c r="I367" s="17" t="str"/>
    </x:row>
    <x:row r="368">
      <x:c r="A368" t="str">
        <x:v>public_0034</x:v>
      </x:c>
      <x:c r="B368" t="str">
        <x:v>intent_override</x:v>
      </x:c>
      <x:c r="C368" t="str">
        <x:v>hard</x:v>
      </x:c>
      <x:c r="D368" s="17" t="str">
        <x:v>next ask before hit/override</x:v>
      </x:c>
      <x:c r="E368" s="17" t="str">
        <x:v>category</x:v>
      </x:c>
      <x:c r="F368" s="17" t="str">
        <x:v>no new constraint</x:v>
      </x:c>
      <x:c r="G368" s="17" t="str"/>
      <x:c r="H368" s="17" t="str">
        <x:v>I don't have an additional preference for category.</x:v>
      </x:c>
      <x:c r="I368" s="17" t="str">
        <x:v>Override message occurs automatically on turn 3 or 4 before this reply when scheduled.</x:v>
      </x:c>
    </x:row>
    <x:row r="369">
      <x:c r="A369" t="str">
        <x:v>public_0034</x:v>
      </x:c>
      <x:c r="B369" t="str">
        <x:v>intent_override</x:v>
      </x:c>
      <x:c r="C369" t="str">
        <x:v>hard</x:v>
      </x:c>
      <x:c r="D369" s="17" t="str">
        <x:v>next ask before hit/override</x:v>
      </x:c>
      <x:c r="E369" s="17" t="str">
        <x:v>material</x:v>
      </x:c>
      <x:c r="F369" s="17" t="str">
        <x:v>constraint revealed</x:v>
      </x:c>
      <x:c r="G369" s="17" t="str">
        <x:v>leather | Cowhide Leather,Rubber Sole,Hand-Sewn Loafers for Women</x:v>
      </x:c>
      <x:c r="H369" s="17" t="str">
        <x:v>For that, what matters is: leather; Cowhide Leather,Rubber Sole,Hand-Sewn Loafers for Women.</x:v>
      </x:c>
      <x:c r="I369" s="17" t="str">
        <x:v>Override message occurs automatically on turn 3 or 4 before this reply when scheduled.</x:v>
      </x:c>
    </x:row>
    <x:row r="370">
      <x:c r="A370" t="str">
        <x:v>public_0034</x:v>
      </x:c>
      <x:c r="B370" t="str">
        <x:v>intent_override</x:v>
      </x:c>
      <x:c r="C370" t="str">
        <x:v>hard</x:v>
      </x:c>
      <x:c r="D370" s="17" t="str">
        <x:v>next ask before hit/override</x:v>
      </x:c>
      <x:c r="E370" s="17" t="str">
        <x:v>color</x:v>
      </x:c>
      <x:c r="F370" s="17" t="str">
        <x:v>no new constraint</x:v>
      </x:c>
      <x:c r="G370" s="17" t="str"/>
      <x:c r="H370" s="17" t="str">
        <x:v>I don't have an additional preference for color.</x:v>
      </x:c>
      <x:c r="I370" s="17" t="str">
        <x:v>Override message occurs automatically on turn 3 or 4 before this reply when scheduled.</x:v>
      </x:c>
    </x:row>
    <x:row r="371">
      <x:c r="A371" t="str">
        <x:v>public_0034</x:v>
      </x:c>
      <x:c r="B371" t="str">
        <x:v>intent_override</x:v>
      </x:c>
      <x:c r="C371" t="str">
        <x:v>hard</x:v>
      </x:c>
      <x:c r="D371" s="17" t="str">
        <x:v>next ask before hit/override</x:v>
      </x:c>
      <x:c r="E371" s="17" t="str">
        <x:v>size</x:v>
      </x:c>
      <x:c r="F371" s="17" t="str">
        <x:v>no new constraint</x:v>
      </x:c>
      <x:c r="G371" s="17" t="str"/>
      <x:c r="H371" s="17" t="str">
        <x:v>I don't have an additional preference for size.</x:v>
      </x:c>
      <x:c r="I371" s="17" t="str">
        <x:v>Override message occurs automatically on turn 3 or 4 before this reply when scheduled.</x:v>
      </x:c>
    </x:row>
    <x:row r="372">
      <x:c r="A372" t="str">
        <x:v>public_0034</x:v>
      </x:c>
      <x:c r="B372" t="str">
        <x:v>intent_override</x:v>
      </x:c>
      <x:c r="C372" t="str">
        <x:v>hard</x:v>
      </x:c>
      <x:c r="D372" s="17" t="str">
        <x:v>next ask before hit/override</x:v>
      </x:c>
      <x:c r="E372" s="17" t="str">
        <x:v>style</x:v>
      </x:c>
      <x:c r="F372" s="17" t="str">
        <x:v>no new constraint</x:v>
      </x:c>
      <x:c r="G372" s="17" t="str"/>
      <x:c r="H372" s="17" t="str">
        <x:v>I don't have an additional preference for style.</x:v>
      </x:c>
      <x:c r="I372" s="17" t="str">
        <x:v>Override message occurs automatically on turn 3 or 4 before this reply when scheduled.</x:v>
      </x:c>
    </x:row>
    <x:row r="373">
      <x:c r="A373" t="str">
        <x:v>public_0034</x:v>
      </x:c>
      <x:c r="B373" t="str">
        <x:v>intent_override</x:v>
      </x:c>
      <x:c r="C373" t="str">
        <x:v>hard</x:v>
      </x:c>
      <x:c r="D373" s="17" t="str">
        <x:v>next ask before hit/override</x:v>
      </x:c>
      <x:c r="E373" s="17" t="str">
        <x:v>brand</x:v>
      </x:c>
      <x:c r="F373" s="17" t="str">
        <x:v>no new constraint</x:v>
      </x:c>
      <x:c r="G373" s="17" t="str"/>
      <x:c r="H373" s="17" t="str">
        <x:v>I don't have an additional preference for brand.</x:v>
      </x:c>
      <x:c r="I373" s="17" t="str">
        <x:v>Override message occurs automatically on turn 3 or 4 before this reply when scheduled.</x:v>
      </x:c>
    </x:row>
    <x:row r="374">
      <x:c r="A374" t="str">
        <x:v>public_0034</x:v>
      </x:c>
      <x:c r="B374" t="str">
        <x:v>intent_override</x:v>
      </x:c>
      <x:c r="C374" t="str">
        <x:v>hard</x:v>
      </x:c>
      <x:c r="D374" s="17" t="str">
        <x:v>next ask before hit/override</x:v>
      </x:c>
      <x:c r="E374" s="17" t="str">
        <x:v>budget</x:v>
      </x:c>
      <x:c r="F374" s="17" t="str">
        <x:v>no new constraint</x:v>
      </x:c>
      <x:c r="G374" s="17" t="str"/>
      <x:c r="H374" s="17" t="str">
        <x:v>I don't have an additional preference for budget.</x:v>
      </x:c>
      <x:c r="I374" s="17" t="str">
        <x:v>Override message occurs automatically on turn 3 or 4 before this reply when scheduled.</x:v>
      </x:c>
    </x:row>
    <x:row r="375">
      <x:c r="A375" t="str">
        <x:v>public_0034</x:v>
      </x:c>
      <x:c r="B375" t="str">
        <x:v>intent_override</x:v>
      </x:c>
      <x:c r="C375" t="str">
        <x:v>hard</x:v>
      </x:c>
      <x:c r="D375" s="17" t="str">
        <x:v>next ask before hit/override</x:v>
      </x:c>
      <x:c r="E375" s="17" t="str">
        <x:v>feature</x:v>
      </x:c>
      <x:c r="F375" s="17" t="str">
        <x:v>constraint revealed</x:v>
      </x:c>
      <x:c r="G375" s="17" t="str">
        <x:v>Rubber sole</x:v>
      </x:c>
      <x:c r="H375" s="17" t="str">
        <x:v>For that, what matters is: Rubber sole.</x:v>
      </x:c>
      <x:c r="I375" s="17" t="str">
        <x:v>Override message occurs automatically on turn 3 or 4 before this reply when scheduled.</x:v>
      </x:c>
    </x:row>
    <x:row r="376">
      <x:c r="A376" t="str">
        <x:v>public_0034</x:v>
      </x:c>
      <x:c r="B376" t="str">
        <x:v>intent_override</x:v>
      </x:c>
      <x:c r="C376" t="str">
        <x:v>hard</x:v>
      </x:c>
      <x:c r="D376" s="17" t="str">
        <x:v>next ask before hit/override</x:v>
      </x:c>
      <x:c r="E376" s="17" t="str">
        <x:v>use_case</x:v>
      </x:c>
      <x:c r="F376" s="17" t="str">
        <x:v>no new constraint</x:v>
      </x:c>
      <x:c r="G376" s="17" t="str"/>
      <x:c r="H376" s="17" t="str">
        <x:v>I don't have an additional preference for use_case.</x:v>
      </x:c>
      <x:c r="I376" s="17" t="str">
        <x:v>Override message occurs automatically on turn 3 or 4 before this reply when scheduled.</x:v>
      </x:c>
    </x:row>
    <x:row r="377">
      <x:c r="A377" t="str">
        <x:v>public_0034</x:v>
      </x:c>
      <x:c r="B377" t="str">
        <x:v>intent_override</x:v>
      </x:c>
      <x:c r="C377" t="str">
        <x:v>hard</x:v>
      </x:c>
      <x:c r="D377" s="17" t="str">
        <x:v>next ask before hit/override</x:v>
      </x:c>
      <x:c r="E377" s="17" t="str">
        <x:v>other</x:v>
      </x:c>
      <x:c r="F377" s="17" t="str">
        <x:v>constraint revealed</x:v>
      </x:c>
      <x:c r="G377" s="17" t="str">
        <x:v>leather | Rubber sole</x:v>
      </x:c>
      <x:c r="H377" s="17" t="str">
        <x:v>For that, what matters is: leather; Rubber sole.</x:v>
      </x:c>
      <x:c r="I377" s="17" t="str">
        <x:v>Override message occurs automatically on turn 3 or 4 before this reply when scheduled.</x:v>
      </x:c>
    </x:row>
    <x:row r="378">
      <x:c r="A378" t="str">
        <x:v>public_0034</x:v>
      </x:c>
      <x:c r="B378" t="str">
        <x:v>intent_override</x:v>
      </x:c>
      <x:c r="C378" t="str">
        <x:v>hard</x:v>
      </x:c>
      <x:c r="D378" s="17" t="str">
        <x:v>next ask before hit/override</x:v>
      </x:c>
      <x:c r="E378" s="17" t="str">
        <x:v>(no ask_attribute)</x:v>
      </x:c>
      <x:c r="F378" s="17" t="str">
        <x:v>agent did not ask</x:v>
      </x:c>
      <x:c r="G378" s="17" t="str"/>
      <x:c r="H378" s="17" t="str">
        <x:v>Those options are not quite right yet. Ask me about one specific attribute.</x:v>
      </x:c>
      <x:c r="I378" s="17" t="str">
        <x:v>Override message occurs automatically on turn 3 or 4 before this reply when scheduled.</x:v>
      </x:c>
    </x:row>
    <x:row r="379">
      <x:c r="A379" t="str">
        <x:v>public_0035</x:v>
      </x:c>
      <x:c r="B379" t="str">
        <x:v>boundary</x:v>
      </x:c>
      <x:c r="C379" t="str">
        <x:v>medium</x:v>
      </x:c>
      <x:c r="D379" s="17" t="str">
        <x:v>first ask (boundary unused)</x:v>
      </x:c>
      <x:c r="E379" s="17" t="str">
        <x:v>category</x:v>
      </x:c>
      <x:c r="F379" s="17" t="str">
        <x:v>boundary no-preference</x:v>
      </x:c>
      <x:c r="G379" s="17" t="str"/>
      <x:c r="H379" s="17" t="str">
        <x:v>I don't have a preference for category; please use your judgment.</x:v>
      </x:c>
      <x:c r="I379" s="17" t="str"/>
    </x:row>
    <x:row r="380">
      <x:c r="A380" t="str">
        <x:v>public_0035</x:v>
      </x:c>
      <x:c r="B380" t="str">
        <x:v>boundary</x:v>
      </x:c>
      <x:c r="C380" t="str">
        <x:v>medium</x:v>
      </x:c>
      <x:c r="D380" s="17" t="str">
        <x:v>first ask (boundary unused)</x:v>
      </x:c>
      <x:c r="E380" s="17" t="str">
        <x:v>material</x:v>
      </x:c>
      <x:c r="F380" s="17" t="str">
        <x:v>boundary no-preference</x:v>
      </x:c>
      <x:c r="G380" s="17" t="str"/>
      <x:c r="H380" s="17" t="str">
        <x:v>I don't have a preference for material; please use your judgment.</x:v>
      </x:c>
      <x:c r="I380" s="17" t="str"/>
    </x:row>
    <x:row r="381">
      <x:c r="A381" t="str">
        <x:v>public_0035</x:v>
      </x:c>
      <x:c r="B381" t="str">
        <x:v>boundary</x:v>
      </x:c>
      <x:c r="C381" t="str">
        <x:v>medium</x:v>
      </x:c>
      <x:c r="D381" s="17" t="str">
        <x:v>first ask (boundary unused)</x:v>
      </x:c>
      <x:c r="E381" s="17" t="str">
        <x:v>color</x:v>
      </x:c>
      <x:c r="F381" s="17" t="str">
        <x:v>boundary no-preference</x:v>
      </x:c>
      <x:c r="G381" s="17" t="str"/>
      <x:c r="H381" s="17" t="str">
        <x:v>I don't have a preference for color; please use your judgment.</x:v>
      </x:c>
      <x:c r="I381" s="17" t="str"/>
    </x:row>
    <x:row r="382">
      <x:c r="A382" t="str">
        <x:v>public_0035</x:v>
      </x:c>
      <x:c r="B382" t="str">
        <x:v>boundary</x:v>
      </x:c>
      <x:c r="C382" t="str">
        <x:v>medium</x:v>
      </x:c>
      <x:c r="D382" s="17" t="str">
        <x:v>first ask (boundary unused)</x:v>
      </x:c>
      <x:c r="E382" s="17" t="str">
        <x:v>size</x:v>
      </x:c>
      <x:c r="F382" s="17" t="str">
        <x:v>boundary no-preference</x:v>
      </x:c>
      <x:c r="G382" s="17" t="str"/>
      <x:c r="H382" s="17" t="str">
        <x:v>I don't have a preference for size; please use your judgment.</x:v>
      </x:c>
      <x:c r="I382" s="17" t="str"/>
    </x:row>
    <x:row r="383">
      <x:c r="A383" t="str">
        <x:v>public_0035</x:v>
      </x:c>
      <x:c r="B383" t="str">
        <x:v>boundary</x:v>
      </x:c>
      <x:c r="C383" t="str">
        <x:v>medium</x:v>
      </x:c>
      <x:c r="D383" s="17" t="str">
        <x:v>first ask (boundary unused)</x:v>
      </x:c>
      <x:c r="E383" s="17" t="str">
        <x:v>style</x:v>
      </x:c>
      <x:c r="F383" s="17" t="str">
        <x:v>boundary no-preference</x:v>
      </x:c>
      <x:c r="G383" s="17" t="str"/>
      <x:c r="H383" s="17" t="str">
        <x:v>I don't have a preference for style; please use your judgment.</x:v>
      </x:c>
      <x:c r="I383" s="17" t="str"/>
    </x:row>
    <x:row r="384">
      <x:c r="A384" t="str">
        <x:v>public_0035</x:v>
      </x:c>
      <x:c r="B384" t="str">
        <x:v>boundary</x:v>
      </x:c>
      <x:c r="C384" t="str">
        <x:v>medium</x:v>
      </x:c>
      <x:c r="D384" s="17" t="str">
        <x:v>first ask (boundary unused)</x:v>
      </x:c>
      <x:c r="E384" s="17" t="str">
        <x:v>brand</x:v>
      </x:c>
      <x:c r="F384" s="17" t="str">
        <x:v>boundary no-preference</x:v>
      </x:c>
      <x:c r="G384" s="17" t="str"/>
      <x:c r="H384" s="17" t="str">
        <x:v>I don't have a preference for brand; please use your judgment.</x:v>
      </x:c>
      <x:c r="I384" s="17" t="str"/>
    </x:row>
    <x:row r="385">
      <x:c r="A385" t="str">
        <x:v>public_0035</x:v>
      </x:c>
      <x:c r="B385" t="str">
        <x:v>boundary</x:v>
      </x:c>
      <x:c r="C385" t="str">
        <x:v>medium</x:v>
      </x:c>
      <x:c r="D385" s="17" t="str">
        <x:v>first ask (boundary unused)</x:v>
      </x:c>
      <x:c r="E385" s="17" t="str">
        <x:v>budget</x:v>
      </x:c>
      <x:c r="F385" s="17" t="str">
        <x:v>boundary no-preference</x:v>
      </x:c>
      <x:c r="G385" s="17" t="str"/>
      <x:c r="H385" s="17" t="str">
        <x:v>I don't have a preference for budget; please use your judgment.</x:v>
      </x:c>
      <x:c r="I385" s="17" t="str"/>
    </x:row>
    <x:row r="386">
      <x:c r="A386" t="str">
        <x:v>public_0035</x:v>
      </x:c>
      <x:c r="B386" t="str">
        <x:v>boundary</x:v>
      </x:c>
      <x:c r="C386" t="str">
        <x:v>medium</x:v>
      </x:c>
      <x:c r="D386" s="17" t="str">
        <x:v>first ask (boundary unused)</x:v>
      </x:c>
      <x:c r="E386" s="17" t="str">
        <x:v>feature</x:v>
      </x:c>
      <x:c r="F386" s="17" t="str">
        <x:v>boundary no-preference</x:v>
      </x:c>
      <x:c r="G386" s="17" t="str"/>
      <x:c r="H386" s="17" t="str">
        <x:v>I don't have a preference for feature; please use your judgment.</x:v>
      </x:c>
      <x:c r="I386" s="17" t="str"/>
    </x:row>
    <x:row r="387">
      <x:c r="A387" t="str">
        <x:v>public_0035</x:v>
      </x:c>
      <x:c r="B387" t="str">
        <x:v>boundary</x:v>
      </x:c>
      <x:c r="C387" t="str">
        <x:v>medium</x:v>
      </x:c>
      <x:c r="D387" s="17" t="str">
        <x:v>first ask (boundary unused)</x:v>
      </x:c>
      <x:c r="E387" s="17" t="str">
        <x:v>use_case</x:v>
      </x:c>
      <x:c r="F387" s="17" t="str">
        <x:v>boundary no-preference</x:v>
      </x:c>
      <x:c r="G387" s="17" t="str"/>
      <x:c r="H387" s="17" t="str">
        <x:v>I don't have a preference for use_case; please use your judgment.</x:v>
      </x:c>
      <x:c r="I387" s="17" t="str"/>
    </x:row>
    <x:row r="388">
      <x:c r="A388" t="str">
        <x:v>public_0035</x:v>
      </x:c>
      <x:c r="B388" t="str">
        <x:v>boundary</x:v>
      </x:c>
      <x:c r="C388" t="str">
        <x:v>medium</x:v>
      </x:c>
      <x:c r="D388" s="17" t="str">
        <x:v>first ask (boundary unused)</x:v>
      </x:c>
      <x:c r="E388" s="17" t="str">
        <x:v>other</x:v>
      </x:c>
      <x:c r="F388" s="17" t="str">
        <x:v>boundary no-preference</x:v>
      </x:c>
      <x:c r="G388" s="17" t="str"/>
      <x:c r="H388" s="17" t="str">
        <x:v>I don't have a preference for other; please use your judgment.</x:v>
      </x:c>
      <x:c r="I388" s="17" t="str"/>
    </x:row>
    <x:row r="389">
      <x:c r="A389" t="str">
        <x:v>public_0035</x:v>
      </x:c>
      <x:c r="B389" t="str">
        <x:v>boundary</x:v>
      </x:c>
      <x:c r="C389" t="str">
        <x:v>medium</x:v>
      </x:c>
      <x:c r="D389" s="17" t="str">
        <x:v>first ask (boundary unused)</x:v>
      </x:c>
      <x:c r="E389" s="17" t="str">
        <x:v>(no ask_attribute)</x:v>
      </x:c>
      <x:c r="F389" s="17" t="str">
        <x:v>agent did not ask</x:v>
      </x:c>
      <x:c r="G389" s="17" t="str"/>
      <x:c r="H389" s="17" t="str">
        <x:v>Those options are not quite right yet. Ask me about one specific attribute.</x:v>
      </x:c>
      <x:c r="I389" s="17" t="str"/>
    </x:row>
    <x:row r="390">
      <x:c r="A390" t="str">
        <x:v>public_0035</x:v>
      </x:c>
      <x:c r="B390" t="str">
        <x:v>boundary</x:v>
      </x:c>
      <x:c r="C390" t="str">
        <x:v>medium</x:v>
      </x:c>
      <x:c r="D390" s="17" t="str">
        <x:v>after no-preference used</x:v>
      </x:c>
      <x:c r="E390" s="17" t="str">
        <x:v>category</x:v>
      </x:c>
      <x:c r="F390" s="17" t="str">
        <x:v>no new constraint</x:v>
      </x:c>
      <x:c r="G390" s="17" t="str"/>
      <x:c r="H390" s="17" t="str">
        <x:v>I don't have an additional preference for category.</x:v>
      </x:c>
      <x:c r="I390" s="17" t="str"/>
    </x:row>
    <x:row r="391">
      <x:c r="A391" t="str">
        <x:v>public_0035</x:v>
      </x:c>
      <x:c r="B391" t="str">
        <x:v>boundary</x:v>
      </x:c>
      <x:c r="C391" t="str">
        <x:v>medium</x:v>
      </x:c>
      <x:c r="D391" s="17" t="str">
        <x:v>after no-preference used</x:v>
      </x:c>
      <x:c r="E391" s="17" t="str">
        <x:v>material</x:v>
      </x:c>
      <x:c r="F391" s="17" t="str">
        <x:v>constraint revealed</x:v>
      </x:c>
      <x:c r="G391" s="17" t="str">
        <x:v>fabric</x:v>
      </x:c>
      <x:c r="H391" s="17" t="str">
        <x:v>For that, what matters is: fabric.</x:v>
      </x:c>
      <x:c r="I391" s="17" t="str"/>
    </x:row>
    <x:row r="392">
      <x:c r="A392" t="str">
        <x:v>public_0035</x:v>
      </x:c>
      <x:c r="B392" t="str">
        <x:v>boundary</x:v>
      </x:c>
      <x:c r="C392" t="str">
        <x:v>medium</x:v>
      </x:c>
      <x:c r="D392" s="17" t="str">
        <x:v>after no-preference used</x:v>
      </x:c>
      <x:c r="E392" s="17" t="str">
        <x:v>color</x:v>
      </x:c>
      <x:c r="F392" s="17" t="str">
        <x:v>no new constraint</x:v>
      </x:c>
      <x:c r="G392" s="17" t="str"/>
      <x:c r="H392" s="17" t="str">
        <x:v>I don't have an additional preference for color.</x:v>
      </x:c>
      <x:c r="I392" s="17" t="str"/>
    </x:row>
    <x:row r="393">
      <x:c r="A393" t="str">
        <x:v>public_0035</x:v>
      </x:c>
      <x:c r="B393" t="str">
        <x:v>boundary</x:v>
      </x:c>
      <x:c r="C393" t="str">
        <x:v>medium</x:v>
      </x:c>
      <x:c r="D393" s="17" t="str">
        <x:v>after no-preference used</x:v>
      </x:c>
      <x:c r="E393" s="17" t="str">
        <x:v>size</x:v>
      </x:c>
      <x:c r="F393" s="17" t="str">
        <x:v>no new constraint</x:v>
      </x:c>
      <x:c r="G393" s="17" t="str"/>
      <x:c r="H393" s="17" t="str">
        <x:v>I don't have an additional preference for size.</x:v>
      </x:c>
      <x:c r="I393" s="17" t="str"/>
    </x:row>
    <x:row r="394">
      <x:c r="A394" t="str">
        <x:v>public_0035</x:v>
      </x:c>
      <x:c r="B394" t="str">
        <x:v>boundary</x:v>
      </x:c>
      <x:c r="C394" t="str">
        <x:v>medium</x:v>
      </x:c>
      <x:c r="D394" s="17" t="str">
        <x:v>after no-preference used</x:v>
      </x:c>
      <x:c r="E394" s="17" t="str">
        <x:v>style</x:v>
      </x:c>
      <x:c r="F394" s="17" t="str">
        <x:v>no new constraint</x:v>
      </x:c>
      <x:c r="G394" s="17" t="str"/>
      <x:c r="H394" s="17" t="str">
        <x:v>I don't have an additional preference for style.</x:v>
      </x:c>
      <x:c r="I394" s="17" t="str"/>
    </x:row>
    <x:row r="395">
      <x:c r="A395" t="str">
        <x:v>public_0035</x:v>
      </x:c>
      <x:c r="B395" t="str">
        <x:v>boundary</x:v>
      </x:c>
      <x:c r="C395" t="str">
        <x:v>medium</x:v>
      </x:c>
      <x:c r="D395" s="17" t="str">
        <x:v>after no-preference used</x:v>
      </x:c>
      <x:c r="E395" s="17" t="str">
        <x:v>brand</x:v>
      </x:c>
      <x:c r="F395" s="17" t="str">
        <x:v>no new constraint</x:v>
      </x:c>
      <x:c r="G395" s="17" t="str"/>
      <x:c r="H395" s="17" t="str">
        <x:v>I don't have an additional preference for brand.</x:v>
      </x:c>
      <x:c r="I395" s="17" t="str"/>
    </x:row>
    <x:row r="396">
      <x:c r="A396" t="str">
        <x:v>public_0035</x:v>
      </x:c>
      <x:c r="B396" t="str">
        <x:v>boundary</x:v>
      </x:c>
      <x:c r="C396" t="str">
        <x:v>medium</x:v>
      </x:c>
      <x:c r="D396" s="17" t="str">
        <x:v>after no-preference used</x:v>
      </x:c>
      <x:c r="E396" s="17" t="str">
        <x:v>budget</x:v>
      </x:c>
      <x:c r="F396" s="17" t="str">
        <x:v>no new constraint</x:v>
      </x:c>
      <x:c r="G396" s="17" t="str"/>
      <x:c r="H396" s="17" t="str">
        <x:v>I don't have an additional preference for budget.</x:v>
      </x:c>
      <x:c r="I396" s="17" t="str"/>
    </x:row>
    <x:row r="397">
      <x:c r="A397" t="str">
        <x:v>public_0035</x:v>
      </x:c>
      <x:c r="B397" t="str">
        <x:v>boundary</x:v>
      </x:c>
      <x:c r="C397" t="str">
        <x:v>medium</x:v>
      </x:c>
      <x:c r="D397" s="17" t="str">
        <x:v>after no-preference used</x:v>
      </x:c>
      <x:c r="E397" s="17" t="str">
        <x:v>feature</x:v>
      </x:c>
      <x:c r="F397" s="17" t="str">
        <x:v>constraint revealed</x:v>
      </x:c>
      <x:c r="G397" s="17" t="str">
        <x:v>100% Textile | Imported</x:v>
      </x:c>
      <x:c r="H397" s="17" t="str">
        <x:v>For that, what matters is: 100% Textile; Imported.</x:v>
      </x:c>
      <x:c r="I397" s="17" t="str"/>
    </x:row>
    <x:row r="398">
      <x:c r="A398" t="str">
        <x:v>public_0035</x:v>
      </x:c>
      <x:c r="B398" t="str">
        <x:v>boundary</x:v>
      </x:c>
      <x:c r="C398" t="str">
        <x:v>medium</x:v>
      </x:c>
      <x:c r="D398" s="17" t="str">
        <x:v>after no-preference used</x:v>
      </x:c>
      <x:c r="E398" s="17" t="str">
        <x:v>use_case</x:v>
      </x:c>
      <x:c r="F398" s="17" t="str">
        <x:v>no new constraint</x:v>
      </x:c>
      <x:c r="G398" s="17" t="str"/>
      <x:c r="H398" s="17" t="str">
        <x:v>I don't have an additional preference for use_case.</x:v>
      </x:c>
      <x:c r="I398" s="17" t="str"/>
    </x:row>
    <x:row r="399">
      <x:c r="A399" t="str">
        <x:v>public_0035</x:v>
      </x:c>
      <x:c r="B399" t="str">
        <x:v>boundary</x:v>
      </x:c>
      <x:c r="C399" t="str">
        <x:v>medium</x:v>
      </x:c>
      <x:c r="D399" s="17" t="str">
        <x:v>after no-preference used</x:v>
      </x:c>
      <x:c r="E399" s="17" t="str">
        <x:v>other</x:v>
      </x:c>
      <x:c r="F399" s="17" t="str">
        <x:v>constraint revealed</x:v>
      </x:c>
      <x:c r="G399" s="17" t="str">
        <x:v>fabric | 100% Textile</x:v>
      </x:c>
      <x:c r="H399" s="17" t="str">
        <x:v>For that, what matters is: fabric; 100% Textile.</x:v>
      </x:c>
      <x:c r="I399" s="17" t="str"/>
    </x:row>
    <x:row r="400">
      <x:c r="A400" t="str">
        <x:v>public_0035</x:v>
      </x:c>
      <x:c r="B400" t="str">
        <x:v>boundary</x:v>
      </x:c>
      <x:c r="C400" t="str">
        <x:v>medium</x:v>
      </x:c>
      <x:c r="D400" s="17" t="str">
        <x:v>after no-preference used</x:v>
      </x:c>
      <x:c r="E400" s="17" t="str">
        <x:v>(no ask_attribute)</x:v>
      </x:c>
      <x:c r="F400" s="17" t="str">
        <x:v>agent did not ask</x:v>
      </x:c>
      <x:c r="G400" s="17" t="str"/>
      <x:c r="H400" s="17" t="str">
        <x:v>Those options are not quite right yet. Ask me about one specific attribute.</x:v>
      </x:c>
      <x:c r="I400" s="17" t="str"/>
    </x:row>
    <x:row r="401">
      <x:c r="A401" t="str">
        <x:v>public_0036</x:v>
      </x:c>
      <x:c r="B401" t="str">
        <x:v>browsing</x:v>
      </x:c>
      <x:c r="C401" t="str">
        <x:v>medium</x:v>
      </x:c>
      <x:c r="D401" s="17" t="str">
        <x:v>next ask before hit/override</x:v>
      </x:c>
      <x:c r="E401" s="17" t="str">
        <x:v>category</x:v>
      </x:c>
      <x:c r="F401" s="17" t="str">
        <x:v>no new constraint</x:v>
      </x:c>
      <x:c r="G401" s="17" t="str"/>
      <x:c r="H401" s="17" t="str">
        <x:v>I don't have an additional preference for category.</x:v>
      </x:c>
      <x:c r="I401" s="17" t="str"/>
    </x:row>
    <x:row r="402">
      <x:c r="A402" t="str">
        <x:v>public_0036</x:v>
      </x:c>
      <x:c r="B402" t="str">
        <x:v>browsing</x:v>
      </x:c>
      <x:c r="C402" t="str">
        <x:v>medium</x:v>
      </x:c>
      <x:c r="D402" s="17" t="str">
        <x:v>next ask before hit/override</x:v>
      </x:c>
      <x:c r="E402" s="17" t="str">
        <x:v>material</x:v>
      </x:c>
      <x:c r="F402" s="17" t="str">
        <x:v>constraint revealed</x:v>
      </x:c>
      <x:c r="G402" s="17" t="str">
        <x:v>leather</x:v>
      </x:c>
      <x:c r="H402" s="17" t="str">
        <x:v>For that, what matters is: leather.</x:v>
      </x:c>
      <x:c r="I402" s="17" t="str"/>
    </x:row>
    <x:row r="403">
      <x:c r="A403" t="str">
        <x:v>public_0036</x:v>
      </x:c>
      <x:c r="B403" t="str">
        <x:v>browsing</x:v>
      </x:c>
      <x:c r="C403" t="str">
        <x:v>medium</x:v>
      </x:c>
      <x:c r="D403" s="17" t="str">
        <x:v>next ask before hit/override</x:v>
      </x:c>
      <x:c r="E403" s="17" t="str">
        <x:v>color</x:v>
      </x:c>
      <x:c r="F403" s="17" t="str">
        <x:v>constraint revealed</x:v>
      </x:c>
      <x:c r="G403" s="17" t="str">
        <x:v>color: pink | FASHIONABLE EARRINGS BULK: Each pair of the earrings is carefully selected from the most popular earrings favored by customers.These fashion dangle earring set including butterfly,</x:v>
      </x:c>
      <x:c r="H403" s="17" t="str">
        <x:v>For that, what matters is: color: pink; FASHIONABLE EARRINGS BULK: Each pair of the earrings is carefully selected from the most popular earrings favored by customers.These fashion dangle earring set including butterfly,.</x:v>
      </x:c>
      <x:c r="I403" s="17" t="str"/>
    </x:row>
    <x:row r="404">
      <x:c r="A404" t="str">
        <x:v>public_0036</x:v>
      </x:c>
      <x:c r="B404" t="str">
        <x:v>browsing</x:v>
      </x:c>
      <x:c r="C404" t="str">
        <x:v>medium</x:v>
      </x:c>
      <x:c r="D404" s="17" t="str">
        <x:v>next ask before hit/override</x:v>
      </x:c>
      <x:c r="E404" s="17" t="str">
        <x:v>size</x:v>
      </x:c>
      <x:c r="F404" s="17" t="str">
        <x:v>no new constraint</x:v>
      </x:c>
      <x:c r="G404" s="17" t="str"/>
      <x:c r="H404" s="17" t="str">
        <x:v>I don't have an additional preference for size.</x:v>
      </x:c>
      <x:c r="I404" s="17" t="str"/>
    </x:row>
    <x:row r="405">
      <x:c r="A405" t="str">
        <x:v>public_0036</x:v>
      </x:c>
      <x:c r="B405" t="str">
        <x:v>browsing</x:v>
      </x:c>
      <x:c r="C405" t="str">
        <x:v>medium</x:v>
      </x:c>
      <x:c r="D405" s="17" t="str">
        <x:v>next ask before hit/override</x:v>
      </x:c>
      <x:c r="E405" s="17" t="str">
        <x:v>style</x:v>
      </x:c>
      <x:c r="F405" s="17" t="str">
        <x:v>constraint revealed</x:v>
      </x:c>
      <x:c r="G405" s="17" t="str">
        <x:v>DAILY JEWELRY SET: 47 Pairs earrings in 1 collection Box, Various trendy styles, hoop earrings, drop earrings, dangle earrings,stud earrings, offer you many options to wear, Chic d</x:v>
      </x:c>
      <x:c r="H405" s="17" t="str">
        <x:v>For that, what matters is: DAILY JEWELRY SET: 47 Pairs earrings in 1 collection Box, Various trendy styles, hoop earrings, drop earrings, dangle earrings,stud earrings, offer you many options to wear, Chic d.</x:v>
      </x:c>
      <x:c r="I405" s="17" t="str"/>
    </x:row>
    <x:row r="406">
      <x:c r="A406" t="str">
        <x:v>public_0036</x:v>
      </x:c>
      <x:c r="B406" t="str">
        <x:v>browsing</x:v>
      </x:c>
      <x:c r="C406" t="str">
        <x:v>medium</x:v>
      </x:c>
      <x:c r="D406" s="17" t="str">
        <x:v>next ask before hit/override</x:v>
      </x:c>
      <x:c r="E406" s="17" t="str">
        <x:v>brand</x:v>
      </x:c>
      <x:c r="F406" s="17" t="str">
        <x:v>no new constraint</x:v>
      </x:c>
      <x:c r="G406" s="17" t="str"/>
      <x:c r="H406" s="17" t="str">
        <x:v>I don't have an additional preference for brand.</x:v>
      </x:c>
      <x:c r="I406" s="17" t="str"/>
    </x:row>
    <x:row r="407">
      <x:c r="A407" t="str">
        <x:v>public_0036</x:v>
      </x:c>
      <x:c r="B407" t="str">
        <x:v>browsing</x:v>
      </x:c>
      <x:c r="C407" t="str">
        <x:v>medium</x:v>
      </x:c>
      <x:c r="D407" s="17" t="str">
        <x:v>next ask before hit/override</x:v>
      </x:c>
      <x:c r="E407" s="17" t="str">
        <x:v>budget</x:v>
      </x:c>
      <x:c r="F407" s="17" t="str">
        <x:v>no new constraint</x:v>
      </x:c>
      <x:c r="G407" s="17" t="str"/>
      <x:c r="H407" s="17" t="str">
        <x:v>I don't have an additional preference for budget.</x:v>
      </x:c>
      <x:c r="I407" s="17" t="str"/>
    </x:row>
    <x:row r="408">
      <x:c r="A408" t="str">
        <x:v>public_0036</x:v>
      </x:c>
      <x:c r="B408" t="str">
        <x:v>browsing</x:v>
      </x:c>
      <x:c r="C408" t="str">
        <x:v>medium</x:v>
      </x:c>
      <x:c r="D408" s="17" t="str">
        <x:v>next ask before hit/override</x:v>
      </x:c>
      <x:c r="E408" s="17" t="str">
        <x:v>feature</x:v>
      </x:c>
      <x:c r="F408" s="17" t="str">
        <x:v>no new constraint</x:v>
      </x:c>
      <x:c r="G408" s="17" t="str"/>
      <x:c r="H408" s="17" t="str">
        <x:v>I don't have an additional preference for feature.</x:v>
      </x:c>
      <x:c r="I408" s="17" t="str"/>
    </x:row>
    <x:row r="409">
      <x:c r="A409" t="str">
        <x:v>public_0036</x:v>
      </x:c>
      <x:c r="B409" t="str">
        <x:v>browsing</x:v>
      </x:c>
      <x:c r="C409" t="str">
        <x:v>medium</x:v>
      </x:c>
      <x:c r="D409" s="17" t="str">
        <x:v>next ask before hit/override</x:v>
      </x:c>
      <x:c r="E409" s="17" t="str">
        <x:v>use_case</x:v>
      </x:c>
      <x:c r="F409" s="17" t="str">
        <x:v>no new constraint</x:v>
      </x:c>
      <x:c r="G409" s="17" t="str"/>
      <x:c r="H409" s="17" t="str">
        <x:v>I don't have an additional preference for use_case.</x:v>
      </x:c>
      <x:c r="I409" s="17" t="str"/>
    </x:row>
    <x:row r="410">
      <x:c r="A410" t="str">
        <x:v>public_0036</x:v>
      </x:c>
      <x:c r="B410" t="str">
        <x:v>browsing</x:v>
      </x:c>
      <x:c r="C410" t="str">
        <x:v>medium</x:v>
      </x:c>
      <x:c r="D410" s="17" t="str">
        <x:v>next ask before hit/override</x:v>
      </x:c>
      <x:c r="E410" s="17" t="str">
        <x:v>other</x:v>
      </x:c>
      <x:c r="F410" s="17" t="str">
        <x:v>constraint revealed</x:v>
      </x:c>
      <x:c r="G410" s="17" t="str">
        <x:v>leather | color: pink</x:v>
      </x:c>
      <x:c r="H410" s="17" t="str">
        <x:v>For that, what matters is: leather; color: pink.</x:v>
      </x:c>
      <x:c r="I410" s="17" t="str"/>
    </x:row>
    <x:row r="411">
      <x:c r="A411" t="str">
        <x:v>public_0036</x:v>
      </x:c>
      <x:c r="B411" t="str">
        <x:v>browsing</x:v>
      </x:c>
      <x:c r="C411" t="str">
        <x:v>medium</x:v>
      </x:c>
      <x:c r="D411" s="17" t="str">
        <x:v>next ask before hit/override</x:v>
      </x:c>
      <x:c r="E411" s="17" t="str">
        <x:v>(no ask_attribute)</x:v>
      </x:c>
      <x:c r="F411" s="17" t="str">
        <x:v>agent did not ask</x:v>
      </x:c>
      <x:c r="G411" s="17" t="str"/>
      <x:c r="H411" s="17" t="str">
        <x:v>Those options are not quite right yet. Ask me about one specific attribute.</x:v>
      </x:c>
      <x:c r="I411" s="17" t="str"/>
    </x:row>
    <x:row r="412">
      <x:c r="A412" t="str">
        <x:v>public_0037</x:v>
      </x:c>
      <x:c r="B412" t="str">
        <x:v>browsing</x:v>
      </x:c>
      <x:c r="C412" t="str">
        <x:v>medium</x:v>
      </x:c>
      <x:c r="D412" s="17" t="str">
        <x:v>next ask before hit/override</x:v>
      </x:c>
      <x:c r="E412" s="17" t="str">
        <x:v>category</x:v>
      </x:c>
      <x:c r="F412" s="17" t="str">
        <x:v>no new constraint</x:v>
      </x:c>
      <x:c r="G412" s="17" t="str"/>
      <x:c r="H412" s="17" t="str">
        <x:v>I don't have an additional preference for category.</x:v>
      </x:c>
      <x:c r="I412" s="17" t="str"/>
    </x:row>
    <x:row r="413">
      <x:c r="A413" t="str">
        <x:v>public_0037</x:v>
      </x:c>
      <x:c r="B413" t="str">
        <x:v>browsing</x:v>
      </x:c>
      <x:c r="C413" t="str">
        <x:v>medium</x:v>
      </x:c>
      <x:c r="D413" s="17" t="str">
        <x:v>next ask before hit/override</x:v>
      </x:c>
      <x:c r="E413" s="17" t="str">
        <x:v>material</x:v>
      </x:c>
      <x:c r="F413" s="17" t="str">
        <x:v>constraint revealed</x:v>
      </x:c>
      <x:c r="G413" s="17" t="str">
        <x:v>cotton</x:v>
      </x:c>
      <x:c r="H413" s="17" t="str">
        <x:v>For that, what matters is: cotton.</x:v>
      </x:c>
      <x:c r="I413" s="17" t="str"/>
    </x:row>
    <x:row r="414">
      <x:c r="A414" t="str">
        <x:v>public_0037</x:v>
      </x:c>
      <x:c r="B414" t="str">
        <x:v>browsing</x:v>
      </x:c>
      <x:c r="C414" t="str">
        <x:v>medium</x:v>
      </x:c>
      <x:c r="D414" s="17" t="str">
        <x:v>next ask before hit/override</x:v>
      </x:c>
      <x:c r="E414" s="17" t="str">
        <x:v>color</x:v>
      </x:c>
      <x:c r="F414" s="17" t="str">
        <x:v>no new constraint</x:v>
      </x:c>
      <x:c r="G414" s="17" t="str"/>
      <x:c r="H414" s="17" t="str">
        <x:v>I don't have an additional preference for color.</x:v>
      </x:c>
      <x:c r="I414" s="17" t="str"/>
    </x:row>
    <x:row r="415">
      <x:c r="A415" t="str">
        <x:v>public_0037</x:v>
      </x:c>
      <x:c r="B415" t="str">
        <x:v>browsing</x:v>
      </x:c>
      <x:c r="C415" t="str">
        <x:v>medium</x:v>
      </x:c>
      <x:c r="D415" s="17" t="str">
        <x:v>next ask before hit/override</x:v>
      </x:c>
      <x:c r="E415" s="17" t="str">
        <x:v>size</x:v>
      </x:c>
      <x:c r="F415" s="17" t="str">
        <x:v>no new constraint</x:v>
      </x:c>
      <x:c r="G415" s="17" t="str"/>
      <x:c r="H415" s="17" t="str">
        <x:v>I don't have an additional preference for size.</x:v>
      </x:c>
      <x:c r="I415" s="17" t="str"/>
    </x:row>
    <x:row r="416">
      <x:c r="A416" t="str">
        <x:v>public_0037</x:v>
      </x:c>
      <x:c r="B416" t="str">
        <x:v>browsing</x:v>
      </x:c>
      <x:c r="C416" t="str">
        <x:v>medium</x:v>
      </x:c>
      <x:c r="D416" s="17" t="str">
        <x:v>next ask before hit/override</x:v>
      </x:c>
      <x:c r="E416" s="17" t="str">
        <x:v>style</x:v>
      </x:c>
      <x:c r="F416" s="17" t="str">
        <x:v>no new constraint</x:v>
      </x:c>
      <x:c r="G416" s="17" t="str"/>
      <x:c r="H416" s="17" t="str">
        <x:v>I don't have an additional preference for style.</x:v>
      </x:c>
      <x:c r="I416" s="17" t="str"/>
    </x:row>
    <x:row r="417">
      <x:c r="A417" t="str">
        <x:v>public_0037</x:v>
      </x:c>
      <x:c r="B417" t="str">
        <x:v>browsing</x:v>
      </x:c>
      <x:c r="C417" t="str">
        <x:v>medium</x:v>
      </x:c>
      <x:c r="D417" s="17" t="str">
        <x:v>next ask before hit/override</x:v>
      </x:c>
      <x:c r="E417" s="17" t="str">
        <x:v>brand</x:v>
      </x:c>
      <x:c r="F417" s="17" t="str">
        <x:v>no new constraint</x:v>
      </x:c>
      <x:c r="G417" s="17" t="str"/>
      <x:c r="H417" s="17" t="str">
        <x:v>I don't have an additional preference for brand.</x:v>
      </x:c>
      <x:c r="I417" s="17" t="str"/>
    </x:row>
    <x:row r="418">
      <x:c r="A418" t="str">
        <x:v>public_0037</x:v>
      </x:c>
      <x:c r="B418" t="str">
        <x:v>browsing</x:v>
      </x:c>
      <x:c r="C418" t="str">
        <x:v>medium</x:v>
      </x:c>
      <x:c r="D418" s="17" t="str">
        <x:v>next ask before hit/override</x:v>
      </x:c>
      <x:c r="E418" s="17" t="str">
        <x:v>budget</x:v>
      </x:c>
      <x:c r="F418" s="17" t="str">
        <x:v>no new constraint</x:v>
      </x:c>
      <x:c r="G418" s="17" t="str"/>
      <x:c r="H418" s="17" t="str">
        <x:v>I don't have an additional preference for budget.</x:v>
      </x:c>
      <x:c r="I418" s="17" t="str"/>
    </x:row>
    <x:row r="419">
      <x:c r="A419" t="str">
        <x:v>public_0037</x:v>
      </x:c>
      <x:c r="B419" t="str">
        <x:v>browsing</x:v>
      </x:c>
      <x:c r="C419" t="str">
        <x:v>medium</x:v>
      </x:c>
      <x:c r="D419" s="17" t="str">
        <x:v>next ask before hit/override</x:v>
      </x:c>
      <x:c r="E419" s="17" t="str">
        <x:v>feature</x:v>
      </x:c>
      <x:c r="F419" s="17" t="str">
        <x:v>constraint revealed</x:v>
      </x:c>
      <x:c r="G419" s="17" t="str">
        <x:v>Imported | Pull On closure</x:v>
      </x:c>
      <x:c r="H419" s="17" t="str">
        <x:v>For that, what matters is: Imported; Pull On closure.</x:v>
      </x:c>
      <x:c r="I419" s="17" t="str"/>
    </x:row>
    <x:row r="420">
      <x:c r="A420" t="str">
        <x:v>public_0037</x:v>
      </x:c>
      <x:c r="B420" t="str">
        <x:v>browsing</x:v>
      </x:c>
      <x:c r="C420" t="str">
        <x:v>medium</x:v>
      </x:c>
      <x:c r="D420" s="17" t="str">
        <x:v>next ask before hit/override</x:v>
      </x:c>
      <x:c r="E420" s="17" t="str">
        <x:v>use_case</x:v>
      </x:c>
      <x:c r="F420" s="17" t="str">
        <x:v>no new constraint</x:v>
      </x:c>
      <x:c r="G420" s="17" t="str"/>
      <x:c r="H420" s="17" t="str">
        <x:v>I don't have an additional preference for use_case.</x:v>
      </x:c>
      <x:c r="I420" s="17" t="str"/>
    </x:row>
    <x:row r="421">
      <x:c r="A421" t="str">
        <x:v>public_0037</x:v>
      </x:c>
      <x:c r="B421" t="str">
        <x:v>browsing</x:v>
      </x:c>
      <x:c r="C421" t="str">
        <x:v>medium</x:v>
      </x:c>
      <x:c r="D421" s="17" t="str">
        <x:v>next ask before hit/override</x:v>
      </x:c>
      <x:c r="E421" s="17" t="str">
        <x:v>other</x:v>
      </x:c>
      <x:c r="F421" s="17" t="str">
        <x:v>constraint revealed</x:v>
      </x:c>
      <x:c r="G421" s="17" t="str">
        <x:v>cotton | Imported</x:v>
      </x:c>
      <x:c r="H421" s="17" t="str">
        <x:v>For that, what matters is: cotton; Imported.</x:v>
      </x:c>
      <x:c r="I421" s="17" t="str"/>
    </x:row>
    <x:row r="422">
      <x:c r="A422" t="str">
        <x:v>public_0037</x:v>
      </x:c>
      <x:c r="B422" t="str">
        <x:v>browsing</x:v>
      </x:c>
      <x:c r="C422" t="str">
        <x:v>medium</x:v>
      </x:c>
      <x:c r="D422" s="17" t="str">
        <x:v>next ask before hit/override</x:v>
      </x:c>
      <x:c r="E422" s="17" t="str">
        <x:v>(no ask_attribute)</x:v>
      </x:c>
      <x:c r="F422" s="17" t="str">
        <x:v>agent did not ask</x:v>
      </x:c>
      <x:c r="G422" s="17" t="str"/>
      <x:c r="H422" s="17" t="str">
        <x:v>Those options are not quite right yet. Ask me about one specific attribute.</x:v>
      </x:c>
      <x:c r="I422" s="17" t="str"/>
    </x:row>
    <x:row r="423">
      <x:c r="A423" t="str">
        <x:v>public_0038</x:v>
      </x:c>
      <x:c r="B423" t="str">
        <x:v>intent_override</x:v>
      </x:c>
      <x:c r="C423" t="str">
        <x:v>hard</x:v>
      </x:c>
      <x:c r="D423" s="17" t="str">
        <x:v>next ask before hit/override</x:v>
      </x:c>
      <x:c r="E423" s="17" t="str">
        <x:v>category</x:v>
      </x:c>
      <x:c r="F423" s="17" t="str">
        <x:v>no new constraint</x:v>
      </x:c>
      <x:c r="G423" s="17" t="str"/>
      <x:c r="H423" s="17" t="str">
        <x:v>I don't have an additional preference for category.</x:v>
      </x:c>
      <x:c r="I423" s="17" t="str">
        <x:v>Override message occurs automatically on turn 3 or 4 before this reply when scheduled.</x:v>
      </x:c>
    </x:row>
    <x:row r="424">
      <x:c r="A424" t="str">
        <x:v>public_0038</x:v>
      </x:c>
      <x:c r="B424" t="str">
        <x:v>intent_override</x:v>
      </x:c>
      <x:c r="C424" t="str">
        <x:v>hard</x:v>
      </x:c>
      <x:c r="D424" s="17" t="str">
        <x:v>next ask before hit/override</x:v>
      </x:c>
      <x:c r="E424" s="17" t="str">
        <x:v>material</x:v>
      </x:c>
      <x:c r="F424" s="17" t="str">
        <x:v>no new constraint</x:v>
      </x:c>
      <x:c r="G424" s="17" t="str"/>
      <x:c r="H424" s="17" t="str">
        <x:v>I don't have an additional preference for material.</x:v>
      </x:c>
      <x:c r="I424" s="17" t="str">
        <x:v>Override message occurs automatically on turn 3 or 4 before this reply when scheduled.</x:v>
      </x:c>
    </x:row>
    <x:row r="425">
      <x:c r="A425" t="str">
        <x:v>public_0038</x:v>
      </x:c>
      <x:c r="B425" t="str">
        <x:v>intent_override</x:v>
      </x:c>
      <x:c r="C425" t="str">
        <x:v>hard</x:v>
      </x:c>
      <x:c r="D425" s="17" t="str">
        <x:v>next ask before hit/override</x:v>
      </x:c>
      <x:c r="E425" s="17" t="str">
        <x:v>color</x:v>
      </x:c>
      <x:c r="F425" s="17" t="str">
        <x:v>no new constraint</x:v>
      </x:c>
      <x:c r="G425" s="17" t="str"/>
      <x:c r="H425" s="17" t="str">
        <x:v>I don't have an additional preference for color.</x:v>
      </x:c>
      <x:c r="I425" s="17" t="str">
        <x:v>Override message occurs automatically on turn 3 or 4 before this reply when scheduled.</x:v>
      </x:c>
    </x:row>
    <x:row r="426">
      <x:c r="A426" t="str">
        <x:v>public_0038</x:v>
      </x:c>
      <x:c r="B426" t="str">
        <x:v>intent_override</x:v>
      </x:c>
      <x:c r="C426" t="str">
        <x:v>hard</x:v>
      </x:c>
      <x:c r="D426" s="17" t="str">
        <x:v>next ask before hit/override</x:v>
      </x:c>
      <x:c r="E426" s="17" t="str">
        <x:v>size</x:v>
      </x:c>
      <x:c r="F426" s="17" t="str">
        <x:v>no new constraint</x:v>
      </x:c>
      <x:c r="G426" s="17" t="str"/>
      <x:c r="H426" s="17" t="str">
        <x:v>I don't have an additional preference for size.</x:v>
      </x:c>
      <x:c r="I426" s="17" t="str">
        <x:v>Override message occurs automatically on turn 3 or 4 before this reply when scheduled.</x:v>
      </x:c>
    </x:row>
    <x:row r="427">
      <x:c r="A427" t="str">
        <x:v>public_0038</x:v>
      </x:c>
      <x:c r="B427" t="str">
        <x:v>intent_override</x:v>
      </x:c>
      <x:c r="C427" t="str">
        <x:v>hard</x:v>
      </x:c>
      <x:c r="D427" s="17" t="str">
        <x:v>next ask before hit/override</x:v>
      </x:c>
      <x:c r="E427" s="17" t="str">
        <x:v>style</x:v>
      </x:c>
      <x:c r="F427" s="17" t="str">
        <x:v>no new constraint</x:v>
      </x:c>
      <x:c r="G427" s="17" t="str"/>
      <x:c r="H427" s="17" t="str">
        <x:v>I don't have an additional preference for style.</x:v>
      </x:c>
      <x:c r="I427" s="17" t="str">
        <x:v>Override message occurs automatically on turn 3 or 4 before this reply when scheduled.</x:v>
      </x:c>
    </x:row>
    <x:row r="428">
      <x:c r="A428" t="str">
        <x:v>public_0038</x:v>
      </x:c>
      <x:c r="B428" t="str">
        <x:v>intent_override</x:v>
      </x:c>
      <x:c r="C428" t="str">
        <x:v>hard</x:v>
      </x:c>
      <x:c r="D428" s="17" t="str">
        <x:v>next ask before hit/override</x:v>
      </x:c>
      <x:c r="E428" s="17" t="str">
        <x:v>brand</x:v>
      </x:c>
      <x:c r="F428" s="17" t="str">
        <x:v>no new constraint</x:v>
      </x:c>
      <x:c r="G428" s="17" t="str"/>
      <x:c r="H428" s="17" t="str">
        <x:v>I don't have an additional preference for brand.</x:v>
      </x:c>
      <x:c r="I428" s="17" t="str">
        <x:v>Override message occurs automatically on turn 3 or 4 before this reply when scheduled.</x:v>
      </x:c>
    </x:row>
    <x:row r="429">
      <x:c r="A429" t="str">
        <x:v>public_0038</x:v>
      </x:c>
      <x:c r="B429" t="str">
        <x:v>intent_override</x:v>
      </x:c>
      <x:c r="C429" t="str">
        <x:v>hard</x:v>
      </x:c>
      <x:c r="D429" s="17" t="str">
        <x:v>next ask before hit/override</x:v>
      </x:c>
      <x:c r="E429" s="17" t="str">
        <x:v>budget</x:v>
      </x:c>
      <x:c r="F429" s="17" t="str">
        <x:v>no new constraint</x:v>
      </x:c>
      <x:c r="G429" s="17" t="str"/>
      <x:c r="H429" s="17" t="str">
        <x:v>I don't have an additional preference for budget.</x:v>
      </x:c>
      <x:c r="I429" s="17" t="str">
        <x:v>Override message occurs automatically on turn 3 or 4 before this reply when scheduled.</x:v>
      </x:c>
    </x:row>
    <x:row r="430">
      <x:c r="A430" t="str">
        <x:v>public_0038</x:v>
      </x:c>
      <x:c r="B430" t="str">
        <x:v>intent_override</x:v>
      </x:c>
      <x:c r="C430" t="str">
        <x:v>hard</x:v>
      </x:c>
      <x:c r="D430" s="17" t="str">
        <x:v>next ask before hit/override</x:v>
      </x:c>
      <x:c r="E430" s="17" t="str">
        <x:v>feature</x:v>
      </x:c>
      <x:c r="F430" s="17" t="str">
        <x:v>constraint revealed</x:v>
      </x:c>
      <x:c r="G430" s="17" t="str">
        <x:v>Textile | Made in the USA or Imported</x:v>
      </x:c>
      <x:c r="H430" s="17" t="str">
        <x:v>For that, what matters is: Textile; Made in the USA or Imported.</x:v>
      </x:c>
      <x:c r="I430" s="17" t="str">
        <x:v>Override message occurs automatically on turn 3 or 4 before this reply when scheduled.</x:v>
      </x:c>
    </x:row>
    <x:row r="431">
      <x:c r="A431" t="str">
        <x:v>public_0038</x:v>
      </x:c>
      <x:c r="B431" t="str">
        <x:v>intent_override</x:v>
      </x:c>
      <x:c r="C431" t="str">
        <x:v>hard</x:v>
      </x:c>
      <x:c r="D431" s="17" t="str">
        <x:v>next ask before hit/override</x:v>
      </x:c>
      <x:c r="E431" s="17" t="str">
        <x:v>use_case</x:v>
      </x:c>
      <x:c r="F431" s="17" t="str">
        <x:v>no new constraint</x:v>
      </x:c>
      <x:c r="G431" s="17" t="str"/>
      <x:c r="H431" s="17" t="str">
        <x:v>I don't have an additional preference for use_case.</x:v>
      </x:c>
      <x:c r="I431" s="17" t="str">
        <x:v>Override message occurs automatically on turn 3 or 4 before this reply when scheduled.</x:v>
      </x:c>
    </x:row>
    <x:row r="432">
      <x:c r="A432" t="str">
        <x:v>public_0038</x:v>
      </x:c>
      <x:c r="B432" t="str">
        <x:v>intent_override</x:v>
      </x:c>
      <x:c r="C432" t="str">
        <x:v>hard</x:v>
      </x:c>
      <x:c r="D432" s="17" t="str">
        <x:v>next ask before hit/override</x:v>
      </x:c>
      <x:c r="E432" s="17" t="str">
        <x:v>other</x:v>
      </x:c>
      <x:c r="F432" s="17" t="str">
        <x:v>constraint revealed</x:v>
      </x:c>
      <x:c r="G432" s="17" t="str">
        <x:v>Textile | Made in the USA or Imported</x:v>
      </x:c>
      <x:c r="H432" s="17" t="str">
        <x:v>For that, what matters is: Textile; Made in the USA or Imported.</x:v>
      </x:c>
      <x:c r="I432" s="17" t="str">
        <x:v>Override message occurs automatically on turn 3 or 4 before this reply when scheduled.</x:v>
      </x:c>
    </x:row>
    <x:row r="433">
      <x:c r="A433" t="str">
        <x:v>public_0038</x:v>
      </x:c>
      <x:c r="B433" t="str">
        <x:v>intent_override</x:v>
      </x:c>
      <x:c r="C433" t="str">
        <x:v>hard</x:v>
      </x:c>
      <x:c r="D433" s="17" t="str">
        <x:v>next ask before hit/override</x:v>
      </x:c>
      <x:c r="E433" s="17" t="str">
        <x:v>(no ask_attribute)</x:v>
      </x:c>
      <x:c r="F433" s="17" t="str">
        <x:v>agent did not ask</x:v>
      </x:c>
      <x:c r="G433" s="17" t="str"/>
      <x:c r="H433" s="17" t="str">
        <x:v>Those options are not quite right yet. Ask me about one specific attribute.</x:v>
      </x:c>
      <x:c r="I433" s="17" t="str">
        <x:v>Override message occurs automatically on turn 3 or 4 before this reply when scheduled.</x:v>
      </x:c>
    </x:row>
    <x:row r="434">
      <x:c r="A434" t="str">
        <x:v>public_0039</x:v>
      </x:c>
      <x:c r="B434" t="str">
        <x:v>browsing</x:v>
      </x:c>
      <x:c r="C434" t="str">
        <x:v>medium</x:v>
      </x:c>
      <x:c r="D434" s="17" t="str">
        <x:v>next ask before hit/override</x:v>
      </x:c>
      <x:c r="E434" s="17" t="str">
        <x:v>category</x:v>
      </x:c>
      <x:c r="F434" s="17" t="str">
        <x:v>no new constraint</x:v>
      </x:c>
      <x:c r="G434" s="17" t="str"/>
      <x:c r="H434" s="17" t="str">
        <x:v>I don't have an additional preference for category.</x:v>
      </x:c>
      <x:c r="I434" s="17" t="str"/>
    </x:row>
    <x:row r="435">
      <x:c r="A435" t="str">
        <x:v>public_0039</x:v>
      </x:c>
      <x:c r="B435" t="str">
        <x:v>browsing</x:v>
      </x:c>
      <x:c r="C435" t="str">
        <x:v>medium</x:v>
      </x:c>
      <x:c r="D435" s="17" t="str">
        <x:v>next ask before hit/override</x:v>
      </x:c>
      <x:c r="E435" s="17" t="str">
        <x:v>material</x:v>
      </x:c>
      <x:c r="F435" s="17" t="str">
        <x:v>constraint revealed</x:v>
      </x:c>
      <x:c r="G435" s="17" t="str">
        <x:v>polyester | 80% Polyester, 20% Spandex</x:v>
      </x:c>
      <x:c r="H435" s="17" t="str">
        <x:v>For that, what matters is: polyester; 80% Polyester, 20% Spandex.</x:v>
      </x:c>
      <x:c r="I435" s="17" t="str"/>
    </x:row>
    <x:row r="436">
      <x:c r="A436" t="str">
        <x:v>public_0039</x:v>
      </x:c>
      <x:c r="B436" t="str">
        <x:v>browsing</x:v>
      </x:c>
      <x:c r="C436" t="str">
        <x:v>medium</x:v>
      </x:c>
      <x:c r="D436" s="17" t="str">
        <x:v>next ask before hit/override</x:v>
      </x:c>
      <x:c r="E436" s="17" t="str">
        <x:v>color</x:v>
      </x:c>
      <x:c r="F436" s="17" t="str">
        <x:v>no new constraint</x:v>
      </x:c>
      <x:c r="G436" s="17" t="str"/>
      <x:c r="H436" s="17" t="str">
        <x:v>I don't have an additional preference for color.</x:v>
      </x:c>
      <x:c r="I436" s="17" t="str"/>
    </x:row>
    <x:row r="437">
      <x:c r="A437" t="str">
        <x:v>public_0039</x:v>
      </x:c>
      <x:c r="B437" t="str">
        <x:v>browsing</x:v>
      </x:c>
      <x:c r="C437" t="str">
        <x:v>medium</x:v>
      </x:c>
      <x:c r="D437" s="17" t="str">
        <x:v>next ask before hit/override</x:v>
      </x:c>
      <x:c r="E437" s="17" t="str">
        <x:v>size</x:v>
      </x:c>
      <x:c r="F437" s="17" t="str">
        <x:v>no new constraint</x:v>
      </x:c>
      <x:c r="G437" s="17" t="str"/>
      <x:c r="H437" s="17" t="str">
        <x:v>I don't have an additional preference for size.</x:v>
      </x:c>
      <x:c r="I437" s="17" t="str"/>
    </x:row>
    <x:row r="438">
      <x:c r="A438" t="str">
        <x:v>public_0039</x:v>
      </x:c>
      <x:c r="B438" t="str">
        <x:v>browsing</x:v>
      </x:c>
      <x:c r="C438" t="str">
        <x:v>medium</x:v>
      </x:c>
      <x:c r="D438" s="17" t="str">
        <x:v>next ask before hit/override</x:v>
      </x:c>
      <x:c r="E438" s="17" t="str">
        <x:v>style</x:v>
      </x:c>
      <x:c r="F438" s="17" t="str">
        <x:v>no new constraint</x:v>
      </x:c>
      <x:c r="G438" s="17" t="str"/>
      <x:c r="H438" s="17" t="str">
        <x:v>I don't have an additional preference for style.</x:v>
      </x:c>
      <x:c r="I438" s="17" t="str"/>
    </x:row>
    <x:row r="439">
      <x:c r="A439" t="str">
        <x:v>public_0039</x:v>
      </x:c>
      <x:c r="B439" t="str">
        <x:v>browsing</x:v>
      </x:c>
      <x:c r="C439" t="str">
        <x:v>medium</x:v>
      </x:c>
      <x:c r="D439" s="17" t="str">
        <x:v>next ask before hit/override</x:v>
      </x:c>
      <x:c r="E439" s="17" t="str">
        <x:v>brand</x:v>
      </x:c>
      <x:c r="F439" s="17" t="str">
        <x:v>no new constraint</x:v>
      </x:c>
      <x:c r="G439" s="17" t="str"/>
      <x:c r="H439" s="17" t="str">
        <x:v>I don't have an additional preference for brand.</x:v>
      </x:c>
      <x:c r="I439" s="17" t="str"/>
    </x:row>
    <x:row r="440">
      <x:c r="A440" t="str">
        <x:v>public_0039</x:v>
      </x:c>
      <x:c r="B440" t="str">
        <x:v>browsing</x:v>
      </x:c>
      <x:c r="C440" t="str">
        <x:v>medium</x:v>
      </x:c>
      <x:c r="D440" s="17" t="str">
        <x:v>next ask before hit/override</x:v>
      </x:c>
      <x:c r="E440" s="17" t="str">
        <x:v>budget</x:v>
      </x:c>
      <x:c r="F440" s="17" t="str">
        <x:v>no new constraint</x:v>
      </x:c>
      <x:c r="G440" s="17" t="str"/>
      <x:c r="H440" s="17" t="str">
        <x:v>I don't have an additional preference for budget.</x:v>
      </x:c>
      <x:c r="I440" s="17" t="str"/>
    </x:row>
    <x:row r="441">
      <x:c r="A441" t="str">
        <x:v>public_0039</x:v>
      </x:c>
      <x:c r="B441" t="str">
        <x:v>browsing</x:v>
      </x:c>
      <x:c r="C441" t="str">
        <x:v>medium</x:v>
      </x:c>
      <x:c r="D441" s="17" t="str">
        <x:v>next ask before hit/override</x:v>
      </x:c>
      <x:c r="E441" s="17" t="str">
        <x:v>feature</x:v>
      </x:c>
      <x:c r="F441" s="17" t="str">
        <x:v>constraint revealed</x:v>
      </x:c>
      <x:c r="G441" s="17" t="str">
        <x:v>Zipper closure | Hand Wash Only</x:v>
      </x:c>
      <x:c r="H441" s="17" t="str">
        <x:v>For that, what matters is: Zipper closure; Hand Wash Only.</x:v>
      </x:c>
      <x:c r="I441" s="17" t="str"/>
    </x:row>
    <x:row r="442">
      <x:c r="A442" t="str">
        <x:v>public_0039</x:v>
      </x:c>
      <x:c r="B442" t="str">
        <x:v>browsing</x:v>
      </x:c>
      <x:c r="C442" t="str">
        <x:v>medium</x:v>
      </x:c>
      <x:c r="D442" s="17" t="str">
        <x:v>next ask before hit/override</x:v>
      </x:c>
      <x:c r="E442" s="17" t="str">
        <x:v>use_case</x:v>
      </x:c>
      <x:c r="F442" s="17" t="str">
        <x:v>no new constraint</x:v>
      </x:c>
      <x:c r="G442" s="17" t="str"/>
      <x:c r="H442" s="17" t="str">
        <x:v>I don't have an additional preference for use_case.</x:v>
      </x:c>
      <x:c r="I442" s="17" t="str"/>
    </x:row>
    <x:row r="443">
      <x:c r="A443" t="str">
        <x:v>public_0039</x:v>
      </x:c>
      <x:c r="B443" t="str">
        <x:v>browsing</x:v>
      </x:c>
      <x:c r="C443" t="str">
        <x:v>medium</x:v>
      </x:c>
      <x:c r="D443" s="17" t="str">
        <x:v>next ask before hit/override</x:v>
      </x:c>
      <x:c r="E443" s="17" t="str">
        <x:v>other</x:v>
      </x:c>
      <x:c r="F443" s="17" t="str">
        <x:v>constraint revealed</x:v>
      </x:c>
      <x:c r="G443" s="17" t="str">
        <x:v>polyester | 80% Polyester, 20% Spandex</x:v>
      </x:c>
      <x:c r="H443" s="17" t="str">
        <x:v>For that, what matters is: polyester; 80% Polyester, 20% Spandex.</x:v>
      </x:c>
      <x:c r="I443" s="17" t="str"/>
    </x:row>
    <x:row r="444">
      <x:c r="A444" t="str">
        <x:v>public_0039</x:v>
      </x:c>
      <x:c r="B444" t="str">
        <x:v>browsing</x:v>
      </x:c>
      <x:c r="C444" t="str">
        <x:v>medium</x:v>
      </x:c>
      <x:c r="D444" s="17" t="str">
        <x:v>next ask before hit/override</x:v>
      </x:c>
      <x:c r="E444" s="17" t="str">
        <x:v>(no ask_attribute)</x:v>
      </x:c>
      <x:c r="F444" s="17" t="str">
        <x:v>agent did not ask</x:v>
      </x:c>
      <x:c r="G444" s="17" t="str"/>
      <x:c r="H444" s="17" t="str">
        <x:v>Those options are not quite right yet. Ask me about one specific attribute.</x:v>
      </x:c>
      <x:c r="I444" s="17" t="str"/>
    </x:row>
    <x:row r="445">
      <x:c r="A445" t="str">
        <x:v>public_0040</x:v>
      </x:c>
      <x:c r="B445" t="str">
        <x:v>browsing</x:v>
      </x:c>
      <x:c r="C445" t="str">
        <x:v>medium</x:v>
      </x:c>
      <x:c r="D445" s="17" t="str">
        <x:v>next ask before hit/override</x:v>
      </x:c>
      <x:c r="E445" s="17" t="str">
        <x:v>category</x:v>
      </x:c>
      <x:c r="F445" s="17" t="str">
        <x:v>no new constraint</x:v>
      </x:c>
      <x:c r="G445" s="17" t="str"/>
      <x:c r="H445" s="17" t="str">
        <x:v>I don't have an additional preference for category.</x:v>
      </x:c>
      <x:c r="I445" s="17" t="str"/>
    </x:row>
    <x:row r="446">
      <x:c r="A446" t="str">
        <x:v>public_0040</x:v>
      </x:c>
      <x:c r="B446" t="str">
        <x:v>browsing</x:v>
      </x:c>
      <x:c r="C446" t="str">
        <x:v>medium</x:v>
      </x:c>
      <x:c r="D446" s="17" t="str">
        <x:v>next ask before hit/override</x:v>
      </x:c>
      <x:c r="E446" s="17" t="str">
        <x:v>material</x:v>
      </x:c>
      <x:c r="F446" s="17" t="str">
        <x:v>constraint revealed</x:v>
      </x:c>
      <x:c r="G446" s="17" t="str">
        <x:v>cotton | 100% Cotton</x:v>
      </x:c>
      <x:c r="H446" s="17" t="str">
        <x:v>For that, what matters is: cotton; 100% Cotton.</x:v>
      </x:c>
      <x:c r="I446" s="17" t="str"/>
    </x:row>
    <x:row r="447">
      <x:c r="A447" t="str">
        <x:v>public_0040</x:v>
      </x:c>
      <x:c r="B447" t="str">
        <x:v>browsing</x:v>
      </x:c>
      <x:c r="C447" t="str">
        <x:v>medium</x:v>
      </x:c>
      <x:c r="D447" s="17" t="str">
        <x:v>next ask before hit/override</x:v>
      </x:c>
      <x:c r="E447" s="17" t="str">
        <x:v>color</x:v>
      </x:c>
      <x:c r="F447" s="17" t="str">
        <x:v>constraint revealed</x:v>
      </x:c>
      <x:c r="G447" s="17" t="str">
        <x:v>color: black</x:v>
      </x:c>
      <x:c r="H447" s="17" t="str">
        <x:v>For that, what matters is: color: black.</x:v>
      </x:c>
      <x:c r="I447" s="17" t="str"/>
    </x:row>
    <x:row r="448">
      <x:c r="A448" t="str">
        <x:v>public_0040</x:v>
      </x:c>
      <x:c r="B448" t="str">
        <x:v>browsing</x:v>
      </x:c>
      <x:c r="C448" t="str">
        <x:v>medium</x:v>
      </x:c>
      <x:c r="D448" s="17" t="str">
        <x:v>next ask before hit/override</x:v>
      </x:c>
      <x:c r="E448" s="17" t="str">
        <x:v>size</x:v>
      </x:c>
      <x:c r="F448" s="17" t="str">
        <x:v>no new constraint</x:v>
      </x:c>
      <x:c r="G448" s="17" t="str"/>
      <x:c r="H448" s="17" t="str">
        <x:v>I don't have an additional preference for size.</x:v>
      </x:c>
      <x:c r="I448" s="17" t="str"/>
    </x:row>
    <x:row r="449">
      <x:c r="A449" t="str">
        <x:v>public_0040</x:v>
      </x:c>
      <x:c r="B449" t="str">
        <x:v>browsing</x:v>
      </x:c>
      <x:c r="C449" t="str">
        <x:v>medium</x:v>
      </x:c>
      <x:c r="D449" s="17" t="str">
        <x:v>next ask before hit/override</x:v>
      </x:c>
      <x:c r="E449" s="17" t="str">
        <x:v>style</x:v>
      </x:c>
      <x:c r="F449" s="17" t="str">
        <x:v>no new constraint</x:v>
      </x:c>
      <x:c r="G449" s="17" t="str"/>
      <x:c r="H449" s="17" t="str">
        <x:v>I don't have an additional preference for style.</x:v>
      </x:c>
      <x:c r="I449" s="17" t="str"/>
    </x:row>
    <x:row r="450">
      <x:c r="A450" t="str">
        <x:v>public_0040</x:v>
      </x:c>
      <x:c r="B450" t="str">
        <x:v>browsing</x:v>
      </x:c>
      <x:c r="C450" t="str">
        <x:v>medium</x:v>
      </x:c>
      <x:c r="D450" s="17" t="str">
        <x:v>next ask before hit/override</x:v>
      </x:c>
      <x:c r="E450" s="17" t="str">
        <x:v>brand</x:v>
      </x:c>
      <x:c r="F450" s="17" t="str">
        <x:v>no new constraint</x:v>
      </x:c>
      <x:c r="G450" s="17" t="str"/>
      <x:c r="H450" s="17" t="str">
        <x:v>I don't have an additional preference for brand.</x:v>
      </x:c>
      <x:c r="I450" s="17" t="str"/>
    </x:row>
    <x:row r="451">
      <x:c r="A451" t="str">
        <x:v>public_0040</x:v>
      </x:c>
      <x:c r="B451" t="str">
        <x:v>browsing</x:v>
      </x:c>
      <x:c r="C451" t="str">
        <x:v>medium</x:v>
      </x:c>
      <x:c r="D451" s="17" t="str">
        <x:v>next ask before hit/override</x:v>
      </x:c>
      <x:c r="E451" s="17" t="str">
        <x:v>budget</x:v>
      </x:c>
      <x:c r="F451" s="17" t="str">
        <x:v>no new constraint</x:v>
      </x:c>
      <x:c r="G451" s="17" t="str"/>
      <x:c r="H451" s="17" t="str">
        <x:v>I don't have an additional preference for budget.</x:v>
      </x:c>
      <x:c r="I451" s="17" t="str"/>
    </x:row>
    <x:row r="452">
      <x:c r="A452" t="str">
        <x:v>public_0040</x:v>
      </x:c>
      <x:c r="B452" t="str">
        <x:v>browsing</x:v>
      </x:c>
      <x:c r="C452" t="str">
        <x:v>medium</x:v>
      </x:c>
      <x:c r="D452" s="17" t="str">
        <x:v>next ask before hit/override</x:v>
      </x:c>
      <x:c r="E452" s="17" t="str">
        <x:v>feature</x:v>
      </x:c>
      <x:c r="F452" s="17" t="str">
        <x:v>constraint revealed</x:v>
      </x:c>
      <x:c r="G452" s="17" t="str">
        <x:v>Imported</x:v>
      </x:c>
      <x:c r="H452" s="17" t="str">
        <x:v>For that, what matters is: Imported.</x:v>
      </x:c>
      <x:c r="I452" s="17" t="str"/>
    </x:row>
    <x:row r="453">
      <x:c r="A453" t="str">
        <x:v>public_0040</x:v>
      </x:c>
      <x:c r="B453" t="str">
        <x:v>browsing</x:v>
      </x:c>
      <x:c r="C453" t="str">
        <x:v>medium</x:v>
      </x:c>
      <x:c r="D453" s="17" t="str">
        <x:v>next ask before hit/override</x:v>
      </x:c>
      <x:c r="E453" s="17" t="str">
        <x:v>use_case</x:v>
      </x:c>
      <x:c r="F453" s="17" t="str">
        <x:v>no new constraint</x:v>
      </x:c>
      <x:c r="G453" s="17" t="str"/>
      <x:c r="H453" s="17" t="str">
        <x:v>I don't have an additional preference for use_case.</x:v>
      </x:c>
      <x:c r="I453" s="17" t="str"/>
    </x:row>
    <x:row r="454">
      <x:c r="A454" t="str">
        <x:v>public_0040</x:v>
      </x:c>
      <x:c r="B454" t="str">
        <x:v>browsing</x:v>
      </x:c>
      <x:c r="C454" t="str">
        <x:v>medium</x:v>
      </x:c>
      <x:c r="D454" s="17" t="str">
        <x:v>next ask before hit/override</x:v>
      </x:c>
      <x:c r="E454" s="17" t="str">
        <x:v>other</x:v>
      </x:c>
      <x:c r="F454" s="17" t="str">
        <x:v>constraint revealed</x:v>
      </x:c>
      <x:c r="G454" s="17" t="str">
        <x:v>cotton | color: black</x:v>
      </x:c>
      <x:c r="H454" s="17" t="str">
        <x:v>For that, what matters is: cotton; color: black.</x:v>
      </x:c>
      <x:c r="I454" s="17" t="str"/>
    </x:row>
    <x:row r="455">
      <x:c r="A455" t="str">
        <x:v>public_0040</x:v>
      </x:c>
      <x:c r="B455" t="str">
        <x:v>browsing</x:v>
      </x:c>
      <x:c r="C455" t="str">
        <x:v>medium</x:v>
      </x:c>
      <x:c r="D455" s="17" t="str">
        <x:v>next ask before hit/override</x:v>
      </x:c>
      <x:c r="E455" s="17" t="str">
        <x:v>(no ask_attribute)</x:v>
      </x:c>
      <x:c r="F455" s="17" t="str">
        <x:v>agent did not ask</x:v>
      </x:c>
      <x:c r="G455" s="17" t="str"/>
      <x:c r="H455" s="17" t="str">
        <x:v>Those options are not quite right yet. Ask me about one specific attribute.</x:v>
      </x:c>
      <x:c r="I455" s="17" t="str"/>
    </x:row>
    <x:row r="456">
      <x:c r="A456" t="str">
        <x:v>public_0041</x:v>
      </x:c>
      <x:c r="B456" t="str">
        <x:v>boundary</x:v>
      </x:c>
      <x:c r="C456" t="str">
        <x:v>medium</x:v>
      </x:c>
      <x:c r="D456" s="17" t="str">
        <x:v>first ask (boundary unused)</x:v>
      </x:c>
      <x:c r="E456" s="17" t="str">
        <x:v>category</x:v>
      </x:c>
      <x:c r="F456" s="17" t="str">
        <x:v>boundary no-preference</x:v>
      </x:c>
      <x:c r="G456" s="17" t="str"/>
      <x:c r="H456" s="17" t="str">
        <x:v>I don't have a preference for category; please use your judgment.</x:v>
      </x:c>
      <x:c r="I456" s="17" t="str"/>
    </x:row>
    <x:row r="457">
      <x:c r="A457" t="str">
        <x:v>public_0041</x:v>
      </x:c>
      <x:c r="B457" t="str">
        <x:v>boundary</x:v>
      </x:c>
      <x:c r="C457" t="str">
        <x:v>medium</x:v>
      </x:c>
      <x:c r="D457" s="17" t="str">
        <x:v>first ask (boundary unused)</x:v>
      </x:c>
      <x:c r="E457" s="17" t="str">
        <x:v>material</x:v>
      </x:c>
      <x:c r="F457" s="17" t="str">
        <x:v>boundary no-preference</x:v>
      </x:c>
      <x:c r="G457" s="17" t="str"/>
      <x:c r="H457" s="17" t="str">
        <x:v>I don't have a preference for material; please use your judgment.</x:v>
      </x:c>
      <x:c r="I457" s="17" t="str"/>
    </x:row>
    <x:row r="458">
      <x:c r="A458" t="str">
        <x:v>public_0041</x:v>
      </x:c>
      <x:c r="B458" t="str">
        <x:v>boundary</x:v>
      </x:c>
      <x:c r="C458" t="str">
        <x:v>medium</x:v>
      </x:c>
      <x:c r="D458" s="17" t="str">
        <x:v>first ask (boundary unused)</x:v>
      </x:c>
      <x:c r="E458" s="17" t="str">
        <x:v>color</x:v>
      </x:c>
      <x:c r="F458" s="17" t="str">
        <x:v>boundary no-preference</x:v>
      </x:c>
      <x:c r="G458" s="17" t="str"/>
      <x:c r="H458" s="17" t="str">
        <x:v>I don't have a preference for color; please use your judgment.</x:v>
      </x:c>
      <x:c r="I458" s="17" t="str"/>
    </x:row>
    <x:row r="459">
      <x:c r="A459" t="str">
        <x:v>public_0041</x:v>
      </x:c>
      <x:c r="B459" t="str">
        <x:v>boundary</x:v>
      </x:c>
      <x:c r="C459" t="str">
        <x:v>medium</x:v>
      </x:c>
      <x:c r="D459" s="17" t="str">
        <x:v>first ask (boundary unused)</x:v>
      </x:c>
      <x:c r="E459" s="17" t="str">
        <x:v>size</x:v>
      </x:c>
      <x:c r="F459" s="17" t="str">
        <x:v>boundary no-preference</x:v>
      </x:c>
      <x:c r="G459" s="17" t="str"/>
      <x:c r="H459" s="17" t="str">
        <x:v>I don't have a preference for size; please use your judgment.</x:v>
      </x:c>
      <x:c r="I459" s="17" t="str"/>
    </x:row>
    <x:row r="460">
      <x:c r="A460" t="str">
        <x:v>public_0041</x:v>
      </x:c>
      <x:c r="B460" t="str">
        <x:v>boundary</x:v>
      </x:c>
      <x:c r="C460" t="str">
        <x:v>medium</x:v>
      </x:c>
      <x:c r="D460" s="17" t="str">
        <x:v>first ask (boundary unused)</x:v>
      </x:c>
      <x:c r="E460" s="17" t="str">
        <x:v>style</x:v>
      </x:c>
      <x:c r="F460" s="17" t="str">
        <x:v>boundary no-preference</x:v>
      </x:c>
      <x:c r="G460" s="17" t="str"/>
      <x:c r="H460" s="17" t="str">
        <x:v>I don't have a preference for style; please use your judgment.</x:v>
      </x:c>
      <x:c r="I460" s="17" t="str"/>
    </x:row>
    <x:row r="461">
      <x:c r="A461" t="str">
        <x:v>public_0041</x:v>
      </x:c>
      <x:c r="B461" t="str">
        <x:v>boundary</x:v>
      </x:c>
      <x:c r="C461" t="str">
        <x:v>medium</x:v>
      </x:c>
      <x:c r="D461" s="17" t="str">
        <x:v>first ask (boundary unused)</x:v>
      </x:c>
      <x:c r="E461" s="17" t="str">
        <x:v>brand</x:v>
      </x:c>
      <x:c r="F461" s="17" t="str">
        <x:v>boundary no-preference</x:v>
      </x:c>
      <x:c r="G461" s="17" t="str"/>
      <x:c r="H461" s="17" t="str">
        <x:v>I don't have a preference for brand; please use your judgment.</x:v>
      </x:c>
      <x:c r="I461" s="17" t="str"/>
    </x:row>
    <x:row r="462">
      <x:c r="A462" t="str">
        <x:v>public_0041</x:v>
      </x:c>
      <x:c r="B462" t="str">
        <x:v>boundary</x:v>
      </x:c>
      <x:c r="C462" t="str">
        <x:v>medium</x:v>
      </x:c>
      <x:c r="D462" s="17" t="str">
        <x:v>first ask (boundary unused)</x:v>
      </x:c>
      <x:c r="E462" s="17" t="str">
        <x:v>budget</x:v>
      </x:c>
      <x:c r="F462" s="17" t="str">
        <x:v>boundary no-preference</x:v>
      </x:c>
      <x:c r="G462" s="17" t="str"/>
      <x:c r="H462" s="17" t="str">
        <x:v>I don't have a preference for budget; please use your judgment.</x:v>
      </x:c>
      <x:c r="I462" s="17" t="str"/>
    </x:row>
    <x:row r="463">
      <x:c r="A463" t="str">
        <x:v>public_0041</x:v>
      </x:c>
      <x:c r="B463" t="str">
        <x:v>boundary</x:v>
      </x:c>
      <x:c r="C463" t="str">
        <x:v>medium</x:v>
      </x:c>
      <x:c r="D463" s="17" t="str">
        <x:v>first ask (boundary unused)</x:v>
      </x:c>
      <x:c r="E463" s="17" t="str">
        <x:v>feature</x:v>
      </x:c>
      <x:c r="F463" s="17" t="str">
        <x:v>boundary no-preference</x:v>
      </x:c>
      <x:c r="G463" s="17" t="str"/>
      <x:c r="H463" s="17" t="str">
        <x:v>I don't have a preference for feature; please use your judgment.</x:v>
      </x:c>
      <x:c r="I463" s="17" t="str"/>
    </x:row>
    <x:row r="464">
      <x:c r="A464" t="str">
        <x:v>public_0041</x:v>
      </x:c>
      <x:c r="B464" t="str">
        <x:v>boundary</x:v>
      </x:c>
      <x:c r="C464" t="str">
        <x:v>medium</x:v>
      </x:c>
      <x:c r="D464" s="17" t="str">
        <x:v>first ask (boundary unused)</x:v>
      </x:c>
      <x:c r="E464" s="17" t="str">
        <x:v>use_case</x:v>
      </x:c>
      <x:c r="F464" s="17" t="str">
        <x:v>boundary no-preference</x:v>
      </x:c>
      <x:c r="G464" s="17" t="str"/>
      <x:c r="H464" s="17" t="str">
        <x:v>I don't have a preference for use_case; please use your judgment.</x:v>
      </x:c>
      <x:c r="I464" s="17" t="str"/>
    </x:row>
    <x:row r="465">
      <x:c r="A465" t="str">
        <x:v>public_0041</x:v>
      </x:c>
      <x:c r="B465" t="str">
        <x:v>boundary</x:v>
      </x:c>
      <x:c r="C465" t="str">
        <x:v>medium</x:v>
      </x:c>
      <x:c r="D465" s="17" t="str">
        <x:v>first ask (boundary unused)</x:v>
      </x:c>
      <x:c r="E465" s="17" t="str">
        <x:v>other</x:v>
      </x:c>
      <x:c r="F465" s="17" t="str">
        <x:v>boundary no-preference</x:v>
      </x:c>
      <x:c r="G465" s="17" t="str"/>
      <x:c r="H465" s="17" t="str">
        <x:v>I don't have a preference for other; please use your judgment.</x:v>
      </x:c>
      <x:c r="I465" s="17" t="str"/>
    </x:row>
    <x:row r="466">
      <x:c r="A466" t="str">
        <x:v>public_0041</x:v>
      </x:c>
      <x:c r="B466" t="str">
        <x:v>boundary</x:v>
      </x:c>
      <x:c r="C466" t="str">
        <x:v>medium</x:v>
      </x:c>
      <x:c r="D466" s="17" t="str">
        <x:v>first ask (boundary unused)</x:v>
      </x:c>
      <x:c r="E466" s="17" t="str">
        <x:v>(no ask_attribute)</x:v>
      </x:c>
      <x:c r="F466" s="17" t="str">
        <x:v>agent did not ask</x:v>
      </x:c>
      <x:c r="G466" s="17" t="str"/>
      <x:c r="H466" s="17" t="str">
        <x:v>Those options are not quite right yet. Ask me about one specific attribute.</x:v>
      </x:c>
      <x:c r="I466" s="17" t="str"/>
    </x:row>
    <x:row r="467">
      <x:c r="A467" t="str">
        <x:v>public_0041</x:v>
      </x:c>
      <x:c r="B467" t="str">
        <x:v>boundary</x:v>
      </x:c>
      <x:c r="C467" t="str">
        <x:v>medium</x:v>
      </x:c>
      <x:c r="D467" s="17" t="str">
        <x:v>after no-preference used</x:v>
      </x:c>
      <x:c r="E467" s="17" t="str">
        <x:v>category</x:v>
      </x:c>
      <x:c r="F467" s="17" t="str">
        <x:v>no new constraint</x:v>
      </x:c>
      <x:c r="G467" s="17" t="str"/>
      <x:c r="H467" s="17" t="str">
        <x:v>I don't have an additional preference for category.</x:v>
      </x:c>
      <x:c r="I467" s="17" t="str"/>
    </x:row>
    <x:row r="468">
      <x:c r="A468" t="str">
        <x:v>public_0041</x:v>
      </x:c>
      <x:c r="B468" t="str">
        <x:v>boundary</x:v>
      </x:c>
      <x:c r="C468" t="str">
        <x:v>medium</x:v>
      </x:c>
      <x:c r="D468" s="17" t="str">
        <x:v>after no-preference used</x:v>
      </x:c>
      <x:c r="E468" s="17" t="str">
        <x:v>material</x:v>
      </x:c>
      <x:c r="F468" s="17" t="str">
        <x:v>constraint revealed</x:v>
      </x:c>
      <x:c r="G468" s="17" t="str">
        <x:v>polyester</x:v>
      </x:c>
      <x:c r="H468" s="17" t="str">
        <x:v>For that, what matters is: polyester.</x:v>
      </x:c>
      <x:c r="I468" s="17" t="str"/>
    </x:row>
    <x:row r="469">
      <x:c r="A469" t="str">
        <x:v>public_0041</x:v>
      </x:c>
      <x:c r="B469" t="str">
        <x:v>boundary</x:v>
      </x:c>
      <x:c r="C469" t="str">
        <x:v>medium</x:v>
      </x:c>
      <x:c r="D469" s="17" t="str">
        <x:v>after no-preference used</x:v>
      </x:c>
      <x:c r="E469" s="17" t="str">
        <x:v>color</x:v>
      </x:c>
      <x:c r="F469" s="17" t="str">
        <x:v>no new constraint</x:v>
      </x:c>
      <x:c r="G469" s="17" t="str"/>
      <x:c r="H469" s="17" t="str">
        <x:v>I don't have an additional preference for color.</x:v>
      </x:c>
      <x:c r="I469" s="17" t="str"/>
    </x:row>
    <x:row r="470">
      <x:c r="A470" t="str">
        <x:v>public_0041</x:v>
      </x:c>
      <x:c r="B470" t="str">
        <x:v>boundary</x:v>
      </x:c>
      <x:c r="C470" t="str">
        <x:v>medium</x:v>
      </x:c>
      <x:c r="D470" s="17" t="str">
        <x:v>after no-preference used</x:v>
      </x:c>
      <x:c r="E470" s="17" t="str">
        <x:v>size</x:v>
      </x:c>
      <x:c r="F470" s="17" t="str">
        <x:v>no new constraint</x:v>
      </x:c>
      <x:c r="G470" s="17" t="str"/>
      <x:c r="H470" s="17" t="str">
        <x:v>I don't have an additional preference for size.</x:v>
      </x:c>
      <x:c r="I470" s="17" t="str"/>
    </x:row>
    <x:row r="471">
      <x:c r="A471" t="str">
        <x:v>public_0041</x:v>
      </x:c>
      <x:c r="B471" t="str">
        <x:v>boundary</x:v>
      </x:c>
      <x:c r="C471" t="str">
        <x:v>medium</x:v>
      </x:c>
      <x:c r="D471" s="17" t="str">
        <x:v>after no-preference used</x:v>
      </x:c>
      <x:c r="E471" s="17" t="str">
        <x:v>style</x:v>
      </x:c>
      <x:c r="F471" s="17" t="str">
        <x:v>no new constraint</x:v>
      </x:c>
      <x:c r="G471" s="17" t="str"/>
      <x:c r="H471" s="17" t="str">
        <x:v>I don't have an additional preference for style.</x:v>
      </x:c>
      <x:c r="I471" s="17" t="str"/>
    </x:row>
    <x:row r="472">
      <x:c r="A472" t="str">
        <x:v>public_0041</x:v>
      </x:c>
      <x:c r="B472" t="str">
        <x:v>boundary</x:v>
      </x:c>
      <x:c r="C472" t="str">
        <x:v>medium</x:v>
      </x:c>
      <x:c r="D472" s="17" t="str">
        <x:v>after no-preference used</x:v>
      </x:c>
      <x:c r="E472" s="17" t="str">
        <x:v>brand</x:v>
      </x:c>
      <x:c r="F472" s="17" t="str">
        <x:v>no new constraint</x:v>
      </x:c>
      <x:c r="G472" s="17" t="str"/>
      <x:c r="H472" s="17" t="str">
        <x:v>I don't have an additional preference for brand.</x:v>
      </x:c>
      <x:c r="I472" s="17" t="str"/>
    </x:row>
    <x:row r="473">
      <x:c r="A473" t="str">
        <x:v>public_0041</x:v>
      </x:c>
      <x:c r="B473" t="str">
        <x:v>boundary</x:v>
      </x:c>
      <x:c r="C473" t="str">
        <x:v>medium</x:v>
      </x:c>
      <x:c r="D473" s="17" t="str">
        <x:v>after no-preference used</x:v>
      </x:c>
      <x:c r="E473" s="17" t="str">
        <x:v>budget</x:v>
      </x:c>
      <x:c r="F473" s="17" t="str">
        <x:v>no new constraint</x:v>
      </x:c>
      <x:c r="G473" s="17" t="str"/>
      <x:c r="H473" s="17" t="str">
        <x:v>I don't have an additional preference for budget.</x:v>
      </x:c>
      <x:c r="I473" s="17" t="str"/>
    </x:row>
    <x:row r="474">
      <x:c r="A474" t="str">
        <x:v>public_0041</x:v>
      </x:c>
      <x:c r="B474" t="str">
        <x:v>boundary</x:v>
      </x:c>
      <x:c r="C474" t="str">
        <x:v>medium</x:v>
      </x:c>
      <x:c r="D474" s="17" t="str">
        <x:v>after no-preference used</x:v>
      </x:c>
      <x:c r="E474" s="17" t="str">
        <x:v>feature</x:v>
      </x:c>
      <x:c r="F474" s="17" t="str">
        <x:v>constraint revealed</x:v>
      </x:c>
      <x:c r="G474" s="17" t="str">
        <x:v>3X women tops care: Hand wash or machine wash in gentle; Hang to dry; No ironing; No shrinkage | 进口</x:v>
      </x:c>
      <x:c r="H474" s="17" t="str">
        <x:v>For that, what matters is: 3X women tops care: Hand wash or machine wash in gentle; Hang to dry; No ironing; No shrinkage; 进口.</x:v>
      </x:c>
      <x:c r="I474" s="17" t="str"/>
    </x:row>
    <x:row r="475">
      <x:c r="A475" t="str">
        <x:v>public_0041</x:v>
      </x:c>
      <x:c r="B475" t="str">
        <x:v>boundary</x:v>
      </x:c>
      <x:c r="C475" t="str">
        <x:v>medium</x:v>
      </x:c>
      <x:c r="D475" s="17" t="str">
        <x:v>after no-preference used</x:v>
      </x:c>
      <x:c r="E475" s="17" t="str">
        <x:v>use_case</x:v>
      </x:c>
      <x:c r="F475" s="17" t="str">
        <x:v>no new constraint</x:v>
      </x:c>
      <x:c r="G475" s="17" t="str"/>
      <x:c r="H475" s="17" t="str">
        <x:v>I don't have an additional preference for use_case.</x:v>
      </x:c>
      <x:c r="I475" s="17" t="str"/>
    </x:row>
    <x:row r="476">
      <x:c r="A476" t="str">
        <x:v>public_0041</x:v>
      </x:c>
      <x:c r="B476" t="str">
        <x:v>boundary</x:v>
      </x:c>
      <x:c r="C476" t="str">
        <x:v>medium</x:v>
      </x:c>
      <x:c r="D476" s="17" t="str">
        <x:v>after no-preference used</x:v>
      </x:c>
      <x:c r="E476" s="17" t="str">
        <x:v>other</x:v>
      </x:c>
      <x:c r="F476" s="17" t="str">
        <x:v>constraint revealed</x:v>
      </x:c>
      <x:c r="G476" s="17" t="str">
        <x:v>polyester | 3X women tops care: Hand wash or machine wash in gentle; Hang to dry; No ironing; No shrinkage</x:v>
      </x:c>
      <x:c r="H476" s="17" t="str">
        <x:v>For that, what matters is: polyester; 3X women tops care: Hand wash or machine wash in gentle; Hang to dry; No ironing; No shrinkage.</x:v>
      </x:c>
      <x:c r="I476" s="17" t="str"/>
    </x:row>
    <x:row r="477">
      <x:c r="A477" t="str">
        <x:v>public_0041</x:v>
      </x:c>
      <x:c r="B477" t="str">
        <x:v>boundary</x:v>
      </x:c>
      <x:c r="C477" t="str">
        <x:v>medium</x:v>
      </x:c>
      <x:c r="D477" s="17" t="str">
        <x:v>after no-preference used</x:v>
      </x:c>
      <x:c r="E477" s="17" t="str">
        <x:v>(no ask_attribute)</x:v>
      </x:c>
      <x:c r="F477" s="17" t="str">
        <x:v>agent did not ask</x:v>
      </x:c>
      <x:c r="G477" s="17" t="str"/>
      <x:c r="H477" s="17" t="str">
        <x:v>Those options are not quite right yet. Ask me about one specific attribute.</x:v>
      </x:c>
      <x:c r="I477" s="17" t="str"/>
    </x:row>
    <x:row r="478">
      <x:c r="A478" t="str">
        <x:v>public_0042</x:v>
      </x:c>
      <x:c r="B478" t="str">
        <x:v>buying</x:v>
      </x:c>
      <x:c r="C478" t="str">
        <x:v>easy</x:v>
      </x:c>
      <x:c r="D478" s="17" t="str">
        <x:v>next ask before hit/override</x:v>
      </x:c>
      <x:c r="E478" s="17" t="str">
        <x:v>category</x:v>
      </x:c>
      <x:c r="F478" s="17" t="str">
        <x:v>no new constraint</x:v>
      </x:c>
      <x:c r="G478" s="17" t="str"/>
      <x:c r="H478" s="17" t="str">
        <x:v>I don't have an additional preference for category.</x:v>
      </x:c>
      <x:c r="I478" s="17" t="str"/>
    </x:row>
    <x:row r="479">
      <x:c r="A479" t="str">
        <x:v>public_0042</x:v>
      </x:c>
      <x:c r="B479" t="str">
        <x:v>buying</x:v>
      </x:c>
      <x:c r="C479" t="str">
        <x:v>easy</x:v>
      </x:c>
      <x:c r="D479" s="17" t="str">
        <x:v>next ask before hit/override</x:v>
      </x:c>
      <x:c r="E479" s="17" t="str">
        <x:v>material</x:v>
      </x:c>
      <x:c r="F479" s="17" t="str">
        <x:v>no new constraint</x:v>
      </x:c>
      <x:c r="G479" s="17" t="str"/>
      <x:c r="H479" s="17" t="str">
        <x:v>I don't have an additional preference for material.</x:v>
      </x:c>
      <x:c r="I479" s="17" t="str"/>
    </x:row>
    <x:row r="480">
      <x:c r="A480" t="str">
        <x:v>public_0042</x:v>
      </x:c>
      <x:c r="B480" t="str">
        <x:v>buying</x:v>
      </x:c>
      <x:c r="C480" t="str">
        <x:v>easy</x:v>
      </x:c>
      <x:c r="D480" s="17" t="str">
        <x:v>next ask before hit/override</x:v>
      </x:c>
      <x:c r="E480" s="17" t="str">
        <x:v>color</x:v>
      </x:c>
      <x:c r="F480" s="17" t="str">
        <x:v>constraint revealed</x:v>
      </x:c>
      <x:c r="G480" s="17" t="str">
        <x:v>color: green</x:v>
      </x:c>
      <x:c r="H480" s="17" t="str">
        <x:v>For that, what matters is: color: green.</x:v>
      </x:c>
      <x:c r="I480" s="17" t="str"/>
    </x:row>
    <x:row r="481">
      <x:c r="A481" t="str">
        <x:v>public_0042</x:v>
      </x:c>
      <x:c r="B481" t="str">
        <x:v>buying</x:v>
      </x:c>
      <x:c r="C481" t="str">
        <x:v>easy</x:v>
      </x:c>
      <x:c r="D481" s="17" t="str">
        <x:v>next ask before hit/override</x:v>
      </x:c>
      <x:c r="E481" s="17" t="str">
        <x:v>size</x:v>
      </x:c>
      <x:c r="F481" s="17" t="str">
        <x:v>no new constraint</x:v>
      </x:c>
      <x:c r="G481" s="17" t="str"/>
      <x:c r="H481" s="17" t="str">
        <x:v>I don't have an additional preference for size.</x:v>
      </x:c>
      <x:c r="I481" s="17" t="str"/>
    </x:row>
    <x:row r="482">
      <x:c r="A482" t="str">
        <x:v>public_0042</x:v>
      </x:c>
      <x:c r="B482" t="str">
        <x:v>buying</x:v>
      </x:c>
      <x:c r="C482" t="str">
        <x:v>easy</x:v>
      </x:c>
      <x:c r="D482" s="17" t="str">
        <x:v>next ask before hit/override</x:v>
      </x:c>
      <x:c r="E482" s="17" t="str">
        <x:v>style</x:v>
      </x:c>
      <x:c r="F482" s="17" t="str">
        <x:v>constraint revealed</x:v>
      </x:c>
      <x:c r="G482" s="17" t="str">
        <x:v>Gold-tone 18mm stainless steel expansion band fits up to 8-inch wrist circumference</x:v>
      </x:c>
      <x:c r="H482" s="17" t="str">
        <x:v>For that, what matters is: Gold-tone 18mm stainless steel expansion band fits up to 8-inch wrist circumference.</x:v>
      </x:c>
      <x:c r="I482" s="17" t="str"/>
    </x:row>
    <x:row r="483">
      <x:c r="A483" t="str">
        <x:v>public_0042</x:v>
      </x:c>
      <x:c r="B483" t="str">
        <x:v>buying</x:v>
      </x:c>
      <x:c r="C483" t="str">
        <x:v>easy</x:v>
      </x:c>
      <x:c r="D483" s="17" t="str">
        <x:v>next ask before hit/override</x:v>
      </x:c>
      <x:c r="E483" s="17" t="str">
        <x:v>brand</x:v>
      </x:c>
      <x:c r="F483" s="17" t="str">
        <x:v>no new constraint</x:v>
      </x:c>
      <x:c r="G483" s="17" t="str"/>
      <x:c r="H483" s="17" t="str">
        <x:v>I don't have an additional preference for brand.</x:v>
      </x:c>
      <x:c r="I483" s="17" t="str"/>
    </x:row>
    <x:row r="484">
      <x:c r="A484" t="str">
        <x:v>public_0042</x:v>
      </x:c>
      <x:c r="B484" t="str">
        <x:v>buying</x:v>
      </x:c>
      <x:c r="C484" t="str">
        <x:v>easy</x:v>
      </x:c>
      <x:c r="D484" s="17" t="str">
        <x:v>next ask before hit/override</x:v>
      </x:c>
      <x:c r="E484" s="17" t="str">
        <x:v>budget</x:v>
      </x:c>
      <x:c r="F484" s="17" t="str">
        <x:v>no new constraint</x:v>
      </x:c>
      <x:c r="G484" s="17" t="str"/>
      <x:c r="H484" s="17" t="str">
        <x:v>I don't have an additional preference for budget.</x:v>
      </x:c>
      <x:c r="I484" s="17" t="str"/>
    </x:row>
    <x:row r="485">
      <x:c r="A485" t="str">
        <x:v>public_0042</x:v>
      </x:c>
      <x:c r="B485" t="str">
        <x:v>buying</x:v>
      </x:c>
      <x:c r="C485" t="str">
        <x:v>easy</x:v>
      </x:c>
      <x:c r="D485" s="17" t="str">
        <x:v>next ask before hit/override</x:v>
      </x:c>
      <x:c r="E485" s="17" t="str">
        <x:v>feature</x:v>
      </x:c>
      <x:c r="F485" s="17" t="str">
        <x:v>constraint revealed</x:v>
      </x:c>
      <x:c r="G485" s="17" t="str">
        <x:v>100-hour chronograph with lap &amp; split times; month, day &amp; date calendar</x:v>
      </x:c>
      <x:c r="H485" s="17" t="str">
        <x:v>For that, what matters is: 100-hour chronograph with lap &amp; split times; month, day &amp; date calendar.</x:v>
      </x:c>
      <x:c r="I485" s="17" t="str"/>
    </x:row>
    <x:row r="486">
      <x:c r="A486" t="str">
        <x:v>public_0042</x:v>
      </x:c>
      <x:c r="B486" t="str">
        <x:v>buying</x:v>
      </x:c>
      <x:c r="C486" t="str">
        <x:v>easy</x:v>
      </x:c>
      <x:c r="D486" s="17" t="str">
        <x:v>next ask before hit/override</x:v>
      </x:c>
      <x:c r="E486" s="17" t="str">
        <x:v>use_case</x:v>
      </x:c>
      <x:c r="F486" s="17" t="str">
        <x:v>no new constraint</x:v>
      </x:c>
      <x:c r="G486" s="17" t="str"/>
      <x:c r="H486" s="17" t="str">
        <x:v>I don't have an additional preference for use_case.</x:v>
      </x:c>
      <x:c r="I486" s="17" t="str"/>
    </x:row>
    <x:row r="487">
      <x:c r="A487" t="str">
        <x:v>public_0042</x:v>
      </x:c>
      <x:c r="B487" t="str">
        <x:v>buying</x:v>
      </x:c>
      <x:c r="C487" t="str">
        <x:v>easy</x:v>
      </x:c>
      <x:c r="D487" s="17" t="str">
        <x:v>next ask before hit/override</x:v>
      </x:c>
      <x:c r="E487" s="17" t="str">
        <x:v>other</x:v>
      </x:c>
      <x:c r="F487" s="17" t="str">
        <x:v>constraint revealed</x:v>
      </x:c>
      <x:c r="G487" s="17" t="str">
        <x:v>color: green | Gold-tone 18mm stainless steel expansion band fits up to 8-inch wrist circumference</x:v>
      </x:c>
      <x:c r="H487" s="17" t="str">
        <x:v>For that, what matters is: color: green; Gold-tone 18mm stainless steel expansion band fits up to 8-inch wrist circumference.</x:v>
      </x:c>
      <x:c r="I487" s="17" t="str"/>
    </x:row>
    <x:row r="488">
      <x:c r="A488" t="str">
        <x:v>public_0042</x:v>
      </x:c>
      <x:c r="B488" t="str">
        <x:v>buying</x:v>
      </x:c>
      <x:c r="C488" t="str">
        <x:v>easy</x:v>
      </x:c>
      <x:c r="D488" s="17" t="str">
        <x:v>next ask before hit/override</x:v>
      </x:c>
      <x:c r="E488" s="17" t="str">
        <x:v>(no ask_attribute)</x:v>
      </x:c>
      <x:c r="F488" s="17" t="str">
        <x:v>agent did not ask</x:v>
      </x:c>
      <x:c r="G488" s="17" t="str"/>
      <x:c r="H488" s="17" t="str">
        <x:v>Those options are not quite right yet. Ask me about one specific attribute.</x:v>
      </x:c>
      <x:c r="I488" s="17" t="str"/>
    </x:row>
    <x:row r="489">
      <x:c r="A489" t="str">
        <x:v>public_0043</x:v>
      </x:c>
      <x:c r="B489" t="str">
        <x:v>browsing</x:v>
      </x:c>
      <x:c r="C489" t="str">
        <x:v>medium</x:v>
      </x:c>
      <x:c r="D489" s="17" t="str">
        <x:v>next ask before hit/override</x:v>
      </x:c>
      <x:c r="E489" s="17" t="str">
        <x:v>category</x:v>
      </x:c>
      <x:c r="F489" s="17" t="str">
        <x:v>no new constraint</x:v>
      </x:c>
      <x:c r="G489" s="17" t="str"/>
      <x:c r="H489" s="17" t="str">
        <x:v>I don't have an additional preference for category.</x:v>
      </x:c>
      <x:c r="I489" s="17" t="str"/>
    </x:row>
    <x:row r="490">
      <x:c r="A490" t="str">
        <x:v>public_0043</x:v>
      </x:c>
      <x:c r="B490" t="str">
        <x:v>browsing</x:v>
      </x:c>
      <x:c r="C490" t="str">
        <x:v>medium</x:v>
      </x:c>
      <x:c r="D490" s="17" t="str">
        <x:v>next ask before hit/override</x:v>
      </x:c>
      <x:c r="E490" s="17" t="str">
        <x:v>material</x:v>
      </x:c>
      <x:c r="F490" s="17" t="str">
        <x:v>constraint revealed</x:v>
      </x:c>
      <x:c r="G490" s="17" t="str">
        <x:v>cotton | 60% Cotton, 23% Viscose, 16% Polyester, 1% Elastane</x:v>
      </x:c>
      <x:c r="H490" s="17" t="str">
        <x:v>For that, what matters is: cotton; 60% Cotton, 23% Viscose, 16% Polyester, 1% Elastane.</x:v>
      </x:c>
      <x:c r="I490" s="17" t="str"/>
    </x:row>
    <x:row r="491">
      <x:c r="A491" t="str">
        <x:v>public_0043</x:v>
      </x:c>
      <x:c r="B491" t="str">
        <x:v>browsing</x:v>
      </x:c>
      <x:c r="C491" t="str">
        <x:v>medium</x:v>
      </x:c>
      <x:c r="D491" s="17" t="str">
        <x:v>next ask before hit/override</x:v>
      </x:c>
      <x:c r="E491" s="17" t="str">
        <x:v>color</x:v>
      </x:c>
      <x:c r="F491" s="17" t="str">
        <x:v>no new constraint</x:v>
      </x:c>
      <x:c r="G491" s="17" t="str"/>
      <x:c r="H491" s="17" t="str">
        <x:v>I don't have an additional preference for color.</x:v>
      </x:c>
      <x:c r="I491" s="17" t="str"/>
    </x:row>
    <x:row r="492">
      <x:c r="A492" t="str">
        <x:v>public_0043</x:v>
      </x:c>
      <x:c r="B492" t="str">
        <x:v>browsing</x:v>
      </x:c>
      <x:c r="C492" t="str">
        <x:v>medium</x:v>
      </x:c>
      <x:c r="D492" s="17" t="str">
        <x:v>next ask before hit/override</x:v>
      </x:c>
      <x:c r="E492" s="17" t="str">
        <x:v>size</x:v>
      </x:c>
      <x:c r="F492" s="17" t="str">
        <x:v>no new constraint</x:v>
      </x:c>
      <x:c r="G492" s="17" t="str"/>
      <x:c r="H492" s="17" t="str">
        <x:v>I don't have an additional preference for size.</x:v>
      </x:c>
      <x:c r="I492" s="17" t="str"/>
    </x:row>
    <x:row r="493">
      <x:c r="A493" t="str">
        <x:v>public_0043</x:v>
      </x:c>
      <x:c r="B493" t="str">
        <x:v>browsing</x:v>
      </x:c>
      <x:c r="C493" t="str">
        <x:v>medium</x:v>
      </x:c>
      <x:c r="D493" s="17" t="str">
        <x:v>next ask before hit/override</x:v>
      </x:c>
      <x:c r="E493" s="17" t="str">
        <x:v>style</x:v>
      </x:c>
      <x:c r="F493" s="17" t="str">
        <x:v>no new constraint</x:v>
      </x:c>
      <x:c r="G493" s="17" t="str"/>
      <x:c r="H493" s="17" t="str">
        <x:v>I don't have an additional preference for style.</x:v>
      </x:c>
      <x:c r="I493" s="17" t="str"/>
    </x:row>
    <x:row r="494">
      <x:c r="A494" t="str">
        <x:v>public_0043</x:v>
      </x:c>
      <x:c r="B494" t="str">
        <x:v>browsing</x:v>
      </x:c>
      <x:c r="C494" t="str">
        <x:v>medium</x:v>
      </x:c>
      <x:c r="D494" s="17" t="str">
        <x:v>next ask before hit/override</x:v>
      </x:c>
      <x:c r="E494" s="17" t="str">
        <x:v>brand</x:v>
      </x:c>
      <x:c r="F494" s="17" t="str">
        <x:v>no new constraint</x:v>
      </x:c>
      <x:c r="G494" s="17" t="str"/>
      <x:c r="H494" s="17" t="str">
        <x:v>I don't have an additional preference for brand.</x:v>
      </x:c>
      <x:c r="I494" s="17" t="str"/>
    </x:row>
    <x:row r="495">
      <x:c r="A495" t="str">
        <x:v>public_0043</x:v>
      </x:c>
      <x:c r="B495" t="str">
        <x:v>browsing</x:v>
      </x:c>
      <x:c r="C495" t="str">
        <x:v>medium</x:v>
      </x:c>
      <x:c r="D495" s="17" t="str">
        <x:v>next ask before hit/override</x:v>
      </x:c>
      <x:c r="E495" s="17" t="str">
        <x:v>budget</x:v>
      </x:c>
      <x:c r="F495" s="17" t="str">
        <x:v>no new constraint</x:v>
      </x:c>
      <x:c r="G495" s="17" t="str"/>
      <x:c r="H495" s="17" t="str">
        <x:v>I don't have an additional preference for budget.</x:v>
      </x:c>
      <x:c r="I495" s="17" t="str"/>
    </x:row>
    <x:row r="496">
      <x:c r="A496" t="str">
        <x:v>public_0043</x:v>
      </x:c>
      <x:c r="B496" t="str">
        <x:v>browsing</x:v>
      </x:c>
      <x:c r="C496" t="str">
        <x:v>medium</x:v>
      </x:c>
      <x:c r="D496" s="17" t="str">
        <x:v>next ask before hit/override</x:v>
      </x:c>
      <x:c r="E496" s="17" t="str">
        <x:v>feature</x:v>
      </x:c>
      <x:c r="F496" s="17" t="str">
        <x:v>constraint revealed</x:v>
      </x:c>
      <x:c r="G496" s="17" t="str">
        <x:v>Imported | Zipper closure</x:v>
      </x:c>
      <x:c r="H496" s="17" t="str">
        <x:v>For that, what matters is: Imported; Zipper closure.</x:v>
      </x:c>
      <x:c r="I496" s="17" t="str"/>
    </x:row>
    <x:row r="497">
      <x:c r="A497" t="str">
        <x:v>public_0043</x:v>
      </x:c>
      <x:c r="B497" t="str">
        <x:v>browsing</x:v>
      </x:c>
      <x:c r="C497" t="str">
        <x:v>medium</x:v>
      </x:c>
      <x:c r="D497" s="17" t="str">
        <x:v>next ask before hit/override</x:v>
      </x:c>
      <x:c r="E497" s="17" t="str">
        <x:v>use_case</x:v>
      </x:c>
      <x:c r="F497" s="17" t="str">
        <x:v>no new constraint</x:v>
      </x:c>
      <x:c r="G497" s="17" t="str"/>
      <x:c r="H497" s="17" t="str">
        <x:v>I don't have an additional preference for use_case.</x:v>
      </x:c>
      <x:c r="I497" s="17" t="str"/>
    </x:row>
    <x:row r="498">
      <x:c r="A498" t="str">
        <x:v>public_0043</x:v>
      </x:c>
      <x:c r="B498" t="str">
        <x:v>browsing</x:v>
      </x:c>
      <x:c r="C498" t="str">
        <x:v>medium</x:v>
      </x:c>
      <x:c r="D498" s="17" t="str">
        <x:v>next ask before hit/override</x:v>
      </x:c>
      <x:c r="E498" s="17" t="str">
        <x:v>other</x:v>
      </x:c>
      <x:c r="F498" s="17" t="str">
        <x:v>constraint revealed</x:v>
      </x:c>
      <x:c r="G498" s="17" t="str">
        <x:v>cotton | 60% Cotton, 23% Viscose, 16% Polyester, 1% Elastane</x:v>
      </x:c>
      <x:c r="H498" s="17" t="str">
        <x:v>For that, what matters is: cotton; 60% Cotton, 23% Viscose, 16% Polyester, 1% Elastane.</x:v>
      </x:c>
      <x:c r="I498" s="17" t="str"/>
    </x:row>
    <x:row r="499">
      <x:c r="A499" t="str">
        <x:v>public_0043</x:v>
      </x:c>
      <x:c r="B499" t="str">
        <x:v>browsing</x:v>
      </x:c>
      <x:c r="C499" t="str">
        <x:v>medium</x:v>
      </x:c>
      <x:c r="D499" s="17" t="str">
        <x:v>next ask before hit/override</x:v>
      </x:c>
      <x:c r="E499" s="17" t="str">
        <x:v>(no ask_attribute)</x:v>
      </x:c>
      <x:c r="F499" s="17" t="str">
        <x:v>agent did not ask</x:v>
      </x:c>
      <x:c r="G499" s="17" t="str"/>
      <x:c r="H499" s="17" t="str">
        <x:v>Those options are not quite right yet. Ask me about one specific attribute.</x:v>
      </x:c>
      <x:c r="I499" s="17" t="str"/>
    </x:row>
    <x:row r="500">
      <x:c r="A500" t="str">
        <x:v>public_0044</x:v>
      </x:c>
      <x:c r="B500" t="str">
        <x:v>buying</x:v>
      </x:c>
      <x:c r="C500" t="str">
        <x:v>easy</x:v>
      </x:c>
      <x:c r="D500" s="17" t="str">
        <x:v>next ask before hit/override</x:v>
      </x:c>
      <x:c r="E500" s="17" t="str">
        <x:v>category</x:v>
      </x:c>
      <x:c r="F500" s="17" t="str">
        <x:v>no new constraint</x:v>
      </x:c>
      <x:c r="G500" s="17" t="str"/>
      <x:c r="H500" s="17" t="str">
        <x:v>I don't have an additional preference for category.</x:v>
      </x:c>
      <x:c r="I500" s="17" t="str"/>
    </x:row>
    <x:row r="501">
      <x:c r="A501" t="str">
        <x:v>public_0044</x:v>
      </x:c>
      <x:c r="B501" t="str">
        <x:v>buying</x:v>
      </x:c>
      <x:c r="C501" t="str">
        <x:v>easy</x:v>
      </x:c>
      <x:c r="D501" s="17" t="str">
        <x:v>next ask before hit/override</x:v>
      </x:c>
      <x:c r="E501" s="17" t="str">
        <x:v>material</x:v>
      </x:c>
      <x:c r="F501" s="17" t="str">
        <x:v>constraint revealed</x:v>
      </x:c>
      <x:c r="G501" s="17" t="str">
        <x:v>Polyester,Spandex | 【100% chlorine-resistant durable】KGKE mens swimming jammer swimsuit have 4-Level chlorine resistant fabric,worth to prevent chaffing and fadding.FBT fabrics keep shape retention af</x:v>
      </x:c>
      <x:c r="H501" s="17" t="str">
        <x:v>For that, what matters is: Polyester,Spandex; 【100% chlorine-resistant durable】KGKE mens swimming jammer swimsuit have 4-Level chlorine resistant fabric,worth to prevent chaffing and fadding.FBT fabrics keep shape retention af.</x:v>
      </x:c>
      <x:c r="I501" s="17" t="str"/>
    </x:row>
    <x:row r="502">
      <x:c r="A502" t="str">
        <x:v>public_0044</x:v>
      </x:c>
      <x:c r="B502" t="str">
        <x:v>buying</x:v>
      </x:c>
      <x:c r="C502" t="str">
        <x:v>easy</x:v>
      </x:c>
      <x:c r="D502" s="17" t="str">
        <x:v>next ask before hit/override</x:v>
      </x:c>
      <x:c r="E502" s="17" t="str">
        <x:v>color</x:v>
      </x:c>
      <x:c r="F502" s="17" t="str">
        <x:v>no new constraint</x:v>
      </x:c>
      <x:c r="G502" s="17" t="str"/>
      <x:c r="H502" s="17" t="str">
        <x:v>I don't have an additional preference for color.</x:v>
      </x:c>
      <x:c r="I502" s="17" t="str"/>
    </x:row>
    <x:row r="503">
      <x:c r="A503" t="str">
        <x:v>public_0044</x:v>
      </x:c>
      <x:c r="B503" t="str">
        <x:v>buying</x:v>
      </x:c>
      <x:c r="C503" t="str">
        <x:v>easy</x:v>
      </x:c>
      <x:c r="D503" s="17" t="str">
        <x:v>next ask before hit/override</x:v>
      </x:c>
      <x:c r="E503" s="17" t="str">
        <x:v>size</x:v>
      </x:c>
      <x:c r="F503" s="17" t="str">
        <x:v>no new constraint</x:v>
      </x:c>
      <x:c r="G503" s="17" t="str"/>
      <x:c r="H503" s="17" t="str">
        <x:v>I don't have an additional preference for size.</x:v>
      </x:c>
      <x:c r="I503" s="17" t="str"/>
    </x:row>
    <x:row r="504">
      <x:c r="A504" t="str">
        <x:v>public_0044</x:v>
      </x:c>
      <x:c r="B504" t="str">
        <x:v>buying</x:v>
      </x:c>
      <x:c r="C504" t="str">
        <x:v>easy</x:v>
      </x:c>
      <x:c r="D504" s="17" t="str">
        <x:v>next ask before hit/override</x:v>
      </x:c>
      <x:c r="E504" s="17" t="str">
        <x:v>style</x:v>
      </x:c>
      <x:c r="F504" s="17" t="str">
        <x:v>no new constraint</x:v>
      </x:c>
      <x:c r="G504" s="17" t="str"/>
      <x:c r="H504" s="17" t="str">
        <x:v>I don't have an additional preference for style.</x:v>
      </x:c>
      <x:c r="I504" s="17" t="str"/>
    </x:row>
    <x:row r="505">
      <x:c r="A505" t="str">
        <x:v>public_0044</x:v>
      </x:c>
      <x:c r="B505" t="str">
        <x:v>buying</x:v>
      </x:c>
      <x:c r="C505" t="str">
        <x:v>easy</x:v>
      </x:c>
      <x:c r="D505" s="17" t="str">
        <x:v>next ask before hit/override</x:v>
      </x:c>
      <x:c r="E505" s="17" t="str">
        <x:v>brand</x:v>
      </x:c>
      <x:c r="F505" s="17" t="str">
        <x:v>no new constraint</x:v>
      </x:c>
      <x:c r="G505" s="17" t="str"/>
      <x:c r="H505" s="17" t="str">
        <x:v>I don't have an additional preference for brand.</x:v>
      </x:c>
      <x:c r="I505" s="17" t="str"/>
    </x:row>
    <x:row r="506">
      <x:c r="A506" t="str">
        <x:v>public_0044</x:v>
      </x:c>
      <x:c r="B506" t="str">
        <x:v>buying</x:v>
      </x:c>
      <x:c r="C506" t="str">
        <x:v>easy</x:v>
      </x:c>
      <x:c r="D506" s="17" t="str">
        <x:v>next ask before hit/override</x:v>
      </x:c>
      <x:c r="E506" s="17" t="str">
        <x:v>budget</x:v>
      </x:c>
      <x:c r="F506" s="17" t="str">
        <x:v>no new constraint</x:v>
      </x:c>
      <x:c r="G506" s="17" t="str"/>
      <x:c r="H506" s="17" t="str">
        <x:v>I don't have an additional preference for budget.</x:v>
      </x:c>
      <x:c r="I506" s="17" t="str"/>
    </x:row>
    <x:row r="507">
      <x:c r="A507" t="str">
        <x:v>public_0044</x:v>
      </x:c>
      <x:c r="B507" t="str">
        <x:v>buying</x:v>
      </x:c>
      <x:c r="C507" t="str">
        <x:v>easy</x:v>
      </x:c>
      <x:c r="D507" s="17" t="str">
        <x:v>next ask before hit/override</x:v>
      </x:c>
      <x:c r="E507" s="17" t="str">
        <x:v>feature</x:v>
      </x:c>
      <x:c r="F507" s="17" t="str">
        <x:v>constraint revealed</x:v>
      </x:c>
      <x:c r="G507" s="17" t="str">
        <x:v>Rope closure</x:v>
      </x:c>
      <x:c r="H507" s="17" t="str">
        <x:v>For that, what matters is: Rope closure.</x:v>
      </x:c>
      <x:c r="I507" s="17" t="str"/>
    </x:row>
    <x:row r="508">
      <x:c r="A508" t="str">
        <x:v>public_0044</x:v>
      </x:c>
      <x:c r="B508" t="str">
        <x:v>buying</x:v>
      </x:c>
      <x:c r="C508" t="str">
        <x:v>easy</x:v>
      </x:c>
      <x:c r="D508" s="17" t="str">
        <x:v>next ask before hit/override</x:v>
      </x:c>
      <x:c r="E508" s="17" t="str">
        <x:v>use_case</x:v>
      </x:c>
      <x:c r="F508" s="17" t="str">
        <x:v>no new constraint</x:v>
      </x:c>
      <x:c r="G508" s="17" t="str"/>
      <x:c r="H508" s="17" t="str">
        <x:v>I don't have an additional preference for use_case.</x:v>
      </x:c>
      <x:c r="I508" s="17" t="str"/>
    </x:row>
    <x:row r="509">
      <x:c r="A509" t="str">
        <x:v>public_0044</x:v>
      </x:c>
      <x:c r="B509" t="str">
        <x:v>buying</x:v>
      </x:c>
      <x:c r="C509" t="str">
        <x:v>easy</x:v>
      </x:c>
      <x:c r="D509" s="17" t="str">
        <x:v>next ask before hit/override</x:v>
      </x:c>
      <x:c r="E509" s="17" t="str">
        <x:v>other</x:v>
      </x:c>
      <x:c r="F509" s="17" t="str">
        <x:v>constraint revealed</x:v>
      </x:c>
      <x:c r="G509" s="17" t="str">
        <x:v>Polyester,Spandex | Rope closure</x:v>
      </x:c>
      <x:c r="H509" s="17" t="str">
        <x:v>For that, what matters is: Polyester,Spandex; Rope closure.</x:v>
      </x:c>
      <x:c r="I509" s="17" t="str"/>
    </x:row>
    <x:row r="510">
      <x:c r="A510" t="str">
        <x:v>public_0044</x:v>
      </x:c>
      <x:c r="B510" t="str">
        <x:v>buying</x:v>
      </x:c>
      <x:c r="C510" t="str">
        <x:v>easy</x:v>
      </x:c>
      <x:c r="D510" s="17" t="str">
        <x:v>next ask before hit/override</x:v>
      </x:c>
      <x:c r="E510" s="17" t="str">
        <x:v>(no ask_attribute)</x:v>
      </x:c>
      <x:c r="F510" s="17" t="str">
        <x:v>agent did not ask</x:v>
      </x:c>
      <x:c r="G510" s="17" t="str"/>
      <x:c r="H510" s="17" t="str">
        <x:v>Those options are not quite right yet. Ask me about one specific attribute.</x:v>
      </x:c>
      <x:c r="I510" s="17" t="str"/>
    </x:row>
    <x:row r="511">
      <x:c r="A511" t="str">
        <x:v>public_0045</x:v>
      </x:c>
      <x:c r="B511" t="str">
        <x:v>buying</x:v>
      </x:c>
      <x:c r="C511" t="str">
        <x:v>easy</x:v>
      </x:c>
      <x:c r="D511" s="17" t="str">
        <x:v>next ask before hit/override</x:v>
      </x:c>
      <x:c r="E511" s="17" t="str">
        <x:v>category</x:v>
      </x:c>
      <x:c r="F511" s="17" t="str">
        <x:v>no new constraint</x:v>
      </x:c>
      <x:c r="G511" s="17" t="str"/>
      <x:c r="H511" s="17" t="str">
        <x:v>I don't have an additional preference for category.</x:v>
      </x:c>
      <x:c r="I511" s="17" t="str"/>
    </x:row>
    <x:row r="512">
      <x:c r="A512" t="str">
        <x:v>public_0045</x:v>
      </x:c>
      <x:c r="B512" t="str">
        <x:v>buying</x:v>
      </x:c>
      <x:c r="C512" t="str">
        <x:v>easy</x:v>
      </x:c>
      <x:c r="D512" s="17" t="str">
        <x:v>next ask before hit/override</x:v>
      </x:c>
      <x:c r="E512" s="17" t="str">
        <x:v>material</x:v>
      </x:c>
      <x:c r="F512" s="17" t="str">
        <x:v>constraint revealed</x:v>
      </x:c>
      <x:c r="G512" s="17" t="str">
        <x:v>95% Polyester, 5% Spandex</x:v>
      </x:c>
      <x:c r="H512" s="17" t="str">
        <x:v>For that, what matters is: 95% Polyester, 5% Spandex.</x:v>
      </x:c>
      <x:c r="I512" s="17" t="str"/>
    </x:row>
    <x:row r="513">
      <x:c r="A513" t="str">
        <x:v>public_0045</x:v>
      </x:c>
      <x:c r="B513" t="str">
        <x:v>buying</x:v>
      </x:c>
      <x:c r="C513" t="str">
        <x:v>easy</x:v>
      </x:c>
      <x:c r="D513" s="17" t="str">
        <x:v>next ask before hit/override</x:v>
      </x:c>
      <x:c r="E513" s="17" t="str">
        <x:v>color</x:v>
      </x:c>
      <x:c r="F513" s="17" t="str">
        <x:v>no new constraint</x:v>
      </x:c>
      <x:c r="G513" s="17" t="str"/>
      <x:c r="H513" s="17" t="str">
        <x:v>I don't have an additional preference for color.</x:v>
      </x:c>
      <x:c r="I513" s="17" t="str"/>
    </x:row>
    <x:row r="514">
      <x:c r="A514" t="str">
        <x:v>public_0045</x:v>
      </x:c>
      <x:c r="B514" t="str">
        <x:v>buying</x:v>
      </x:c>
      <x:c r="C514" t="str">
        <x:v>easy</x:v>
      </x:c>
      <x:c r="D514" s="17" t="str">
        <x:v>next ask before hit/override</x:v>
      </x:c>
      <x:c r="E514" s="17" t="str">
        <x:v>size</x:v>
      </x:c>
      <x:c r="F514" s="17" t="str">
        <x:v>no new constraint</x:v>
      </x:c>
      <x:c r="G514" s="17" t="str"/>
      <x:c r="H514" s="17" t="str">
        <x:v>I don't have an additional preference for size.</x:v>
      </x:c>
      <x:c r="I514" s="17" t="str"/>
    </x:row>
    <x:row r="515">
      <x:c r="A515" t="str">
        <x:v>public_0045</x:v>
      </x:c>
      <x:c r="B515" t="str">
        <x:v>buying</x:v>
      </x:c>
      <x:c r="C515" t="str">
        <x:v>easy</x:v>
      </x:c>
      <x:c r="D515" s="17" t="str">
        <x:v>next ask before hit/override</x:v>
      </x:c>
      <x:c r="E515" s="17" t="str">
        <x:v>style</x:v>
      </x:c>
      <x:c r="F515" s="17" t="str">
        <x:v>no new constraint</x:v>
      </x:c>
      <x:c r="G515" s="17" t="str"/>
      <x:c r="H515" s="17" t="str">
        <x:v>I don't have an additional preference for style.</x:v>
      </x:c>
      <x:c r="I515" s="17" t="str"/>
    </x:row>
    <x:row r="516">
      <x:c r="A516" t="str">
        <x:v>public_0045</x:v>
      </x:c>
      <x:c r="B516" t="str">
        <x:v>buying</x:v>
      </x:c>
      <x:c r="C516" t="str">
        <x:v>easy</x:v>
      </x:c>
      <x:c r="D516" s="17" t="str">
        <x:v>next ask before hit/override</x:v>
      </x:c>
      <x:c r="E516" s="17" t="str">
        <x:v>brand</x:v>
      </x:c>
      <x:c r="F516" s="17" t="str">
        <x:v>no new constraint</x:v>
      </x:c>
      <x:c r="G516" s="17" t="str"/>
      <x:c r="H516" s="17" t="str">
        <x:v>I don't have an additional preference for brand.</x:v>
      </x:c>
      <x:c r="I516" s="17" t="str"/>
    </x:row>
    <x:row r="517">
      <x:c r="A517" t="str">
        <x:v>public_0045</x:v>
      </x:c>
      <x:c r="B517" t="str">
        <x:v>buying</x:v>
      </x:c>
      <x:c r="C517" t="str">
        <x:v>easy</x:v>
      </x:c>
      <x:c r="D517" s="17" t="str">
        <x:v>next ask before hit/override</x:v>
      </x:c>
      <x:c r="E517" s="17" t="str">
        <x:v>budget</x:v>
      </x:c>
      <x:c r="F517" s="17" t="str">
        <x:v>no new constraint</x:v>
      </x:c>
      <x:c r="G517" s="17" t="str"/>
      <x:c r="H517" s="17" t="str">
        <x:v>I don't have an additional preference for budget.</x:v>
      </x:c>
      <x:c r="I517" s="17" t="str"/>
    </x:row>
    <x:row r="518">
      <x:c r="A518" t="str">
        <x:v>public_0045</x:v>
      </x:c>
      <x:c r="B518" t="str">
        <x:v>buying</x:v>
      </x:c>
      <x:c r="C518" t="str">
        <x:v>easy</x:v>
      </x:c>
      <x:c r="D518" s="17" t="str">
        <x:v>next ask before hit/override</x:v>
      </x:c>
      <x:c r="E518" s="17" t="str">
        <x:v>feature</x:v>
      </x:c>
      <x:c r="F518" s="17" t="str">
        <x:v>constraint revealed</x:v>
      </x:c>
      <x:c r="G518" s="17" t="str">
        <x:v>Imported | Button closure</x:v>
      </x:c>
      <x:c r="H518" s="17" t="str">
        <x:v>For that, what matters is: Imported; Button closure.</x:v>
      </x:c>
      <x:c r="I518" s="17" t="str"/>
    </x:row>
    <x:row r="519">
      <x:c r="A519" t="str">
        <x:v>public_0045</x:v>
      </x:c>
      <x:c r="B519" t="str">
        <x:v>buying</x:v>
      </x:c>
      <x:c r="C519" t="str">
        <x:v>easy</x:v>
      </x:c>
      <x:c r="D519" s="17" t="str">
        <x:v>next ask before hit/override</x:v>
      </x:c>
      <x:c r="E519" s="17" t="str">
        <x:v>use_case</x:v>
      </x:c>
      <x:c r="F519" s="17" t="str">
        <x:v>no new constraint</x:v>
      </x:c>
      <x:c r="G519" s="17" t="str"/>
      <x:c r="H519" s="17" t="str">
        <x:v>I don't have an additional preference for use_case.</x:v>
      </x:c>
      <x:c r="I519" s="17" t="str"/>
    </x:row>
    <x:row r="520">
      <x:c r="A520" t="str">
        <x:v>public_0045</x:v>
      </x:c>
      <x:c r="B520" t="str">
        <x:v>buying</x:v>
      </x:c>
      <x:c r="C520" t="str">
        <x:v>easy</x:v>
      </x:c>
      <x:c r="D520" s="17" t="str">
        <x:v>next ask before hit/override</x:v>
      </x:c>
      <x:c r="E520" s="17" t="str">
        <x:v>other</x:v>
      </x:c>
      <x:c r="F520" s="17" t="str">
        <x:v>constraint revealed</x:v>
      </x:c>
      <x:c r="G520" s="17" t="str">
        <x:v>95% Polyester, 5% Spandex | Imported</x:v>
      </x:c>
      <x:c r="H520" s="17" t="str">
        <x:v>For that, what matters is: 95% Polyester, 5% Spandex; Imported.</x:v>
      </x:c>
      <x:c r="I520" s="17" t="str"/>
    </x:row>
    <x:row r="521">
      <x:c r="A521" t="str">
        <x:v>public_0045</x:v>
      </x:c>
      <x:c r="B521" t="str">
        <x:v>buying</x:v>
      </x:c>
      <x:c r="C521" t="str">
        <x:v>easy</x:v>
      </x:c>
      <x:c r="D521" s="17" t="str">
        <x:v>next ask before hit/override</x:v>
      </x:c>
      <x:c r="E521" s="17" t="str">
        <x:v>(no ask_attribute)</x:v>
      </x:c>
      <x:c r="F521" s="17" t="str">
        <x:v>agent did not ask</x:v>
      </x:c>
      <x:c r="G521" s="17" t="str"/>
      <x:c r="H521" s="17" t="str">
        <x:v>Those options are not quite right yet. Ask me about one specific attribute.</x:v>
      </x:c>
      <x:c r="I521" s="17" t="str"/>
    </x:row>
    <x:row r="522">
      <x:c r="A522" t="str">
        <x:v>public_0046</x:v>
      </x:c>
      <x:c r="B522" t="str">
        <x:v>intent_override</x:v>
      </x:c>
      <x:c r="C522" t="str">
        <x:v>hard</x:v>
      </x:c>
      <x:c r="D522" s="17" t="str">
        <x:v>next ask before hit/override</x:v>
      </x:c>
      <x:c r="E522" s="17" t="str">
        <x:v>category</x:v>
      </x:c>
      <x:c r="F522" s="17" t="str">
        <x:v>no new constraint</x:v>
      </x:c>
      <x:c r="G522" s="17" t="str"/>
      <x:c r="H522" s="17" t="str">
        <x:v>I don't have an additional preference for category.</x:v>
      </x:c>
      <x:c r="I522" s="17" t="str">
        <x:v>Override message occurs automatically on turn 3 or 4 before this reply when scheduled.</x:v>
      </x:c>
    </x:row>
    <x:row r="523">
      <x:c r="A523" t="str">
        <x:v>public_0046</x:v>
      </x:c>
      <x:c r="B523" t="str">
        <x:v>intent_override</x:v>
      </x:c>
      <x:c r="C523" t="str">
        <x:v>hard</x:v>
      </x:c>
      <x:c r="D523" s="17" t="str">
        <x:v>next ask before hit/override</x:v>
      </x:c>
      <x:c r="E523" s="17" t="str">
        <x:v>material</x:v>
      </x:c>
      <x:c r="F523" s="17" t="str">
        <x:v>constraint revealed</x:v>
      </x:c>
      <x:c r="G523" s="17" t="str">
        <x:v>wool | 44% Acrylic, 28% Cotton, 20% Merino Wool, 8% Polyester</x:v>
      </x:c>
      <x:c r="H523" s="17" t="str">
        <x:v>For that, what matters is: wool; 44% Acrylic, 28% Cotton, 20% Merino Wool, 8% Polyester.</x:v>
      </x:c>
      <x:c r="I523" s="17" t="str">
        <x:v>Override message occurs automatically on turn 3 or 4 before this reply when scheduled.</x:v>
      </x:c>
    </x:row>
    <x:row r="524">
      <x:c r="A524" t="str">
        <x:v>public_0046</x:v>
      </x:c>
      <x:c r="B524" t="str">
        <x:v>intent_override</x:v>
      </x:c>
      <x:c r="C524" t="str">
        <x:v>hard</x:v>
      </x:c>
      <x:c r="D524" s="17" t="str">
        <x:v>next ask before hit/override</x:v>
      </x:c>
      <x:c r="E524" s="17" t="str">
        <x:v>color</x:v>
      </x:c>
      <x:c r="F524" s="17" t="str">
        <x:v>no new constraint</x:v>
      </x:c>
      <x:c r="G524" s="17" t="str"/>
      <x:c r="H524" s="17" t="str">
        <x:v>I don't have an additional preference for color.</x:v>
      </x:c>
      <x:c r="I524" s="17" t="str">
        <x:v>Override message occurs automatically on turn 3 or 4 before this reply when scheduled.</x:v>
      </x:c>
    </x:row>
    <x:row r="525">
      <x:c r="A525" t="str">
        <x:v>public_0046</x:v>
      </x:c>
      <x:c r="B525" t="str">
        <x:v>intent_override</x:v>
      </x:c>
      <x:c r="C525" t="str">
        <x:v>hard</x:v>
      </x:c>
      <x:c r="D525" s="17" t="str">
        <x:v>next ask before hit/override</x:v>
      </x:c>
      <x:c r="E525" s="17" t="str">
        <x:v>size</x:v>
      </x:c>
      <x:c r="F525" s="17" t="str">
        <x:v>no new constraint</x:v>
      </x:c>
      <x:c r="G525" s="17" t="str"/>
      <x:c r="H525" s="17" t="str">
        <x:v>I don't have an additional preference for size.</x:v>
      </x:c>
      <x:c r="I525" s="17" t="str">
        <x:v>Override message occurs automatically on turn 3 or 4 before this reply when scheduled.</x:v>
      </x:c>
    </x:row>
    <x:row r="526">
      <x:c r="A526" t="str">
        <x:v>public_0046</x:v>
      </x:c>
      <x:c r="B526" t="str">
        <x:v>intent_override</x:v>
      </x:c>
      <x:c r="C526" t="str">
        <x:v>hard</x:v>
      </x:c>
      <x:c r="D526" s="17" t="str">
        <x:v>next ask before hit/override</x:v>
      </x:c>
      <x:c r="E526" s="17" t="str">
        <x:v>style</x:v>
      </x:c>
      <x:c r="F526" s="17" t="str">
        <x:v>no new constraint</x:v>
      </x:c>
      <x:c r="G526" s="17" t="str"/>
      <x:c r="H526" s="17" t="str">
        <x:v>I don't have an additional preference for style.</x:v>
      </x:c>
      <x:c r="I526" s="17" t="str">
        <x:v>Override message occurs automatically on turn 3 or 4 before this reply when scheduled.</x:v>
      </x:c>
    </x:row>
    <x:row r="527">
      <x:c r="A527" t="str">
        <x:v>public_0046</x:v>
      </x:c>
      <x:c r="B527" t="str">
        <x:v>intent_override</x:v>
      </x:c>
      <x:c r="C527" t="str">
        <x:v>hard</x:v>
      </x:c>
      <x:c r="D527" s="17" t="str">
        <x:v>next ask before hit/override</x:v>
      </x:c>
      <x:c r="E527" s="17" t="str">
        <x:v>brand</x:v>
      </x:c>
      <x:c r="F527" s="17" t="str">
        <x:v>no new constraint</x:v>
      </x:c>
      <x:c r="G527" s="17" t="str"/>
      <x:c r="H527" s="17" t="str">
        <x:v>I don't have an additional preference for brand.</x:v>
      </x:c>
      <x:c r="I527" s="17" t="str">
        <x:v>Override message occurs automatically on turn 3 or 4 before this reply when scheduled.</x:v>
      </x:c>
    </x:row>
    <x:row r="528">
      <x:c r="A528" t="str">
        <x:v>public_0046</x:v>
      </x:c>
      <x:c r="B528" t="str">
        <x:v>intent_override</x:v>
      </x:c>
      <x:c r="C528" t="str">
        <x:v>hard</x:v>
      </x:c>
      <x:c r="D528" s="17" t="str">
        <x:v>next ask before hit/override</x:v>
      </x:c>
      <x:c r="E528" s="17" t="str">
        <x:v>budget</x:v>
      </x:c>
      <x:c r="F528" s="17" t="str">
        <x:v>no new constraint</x:v>
      </x:c>
      <x:c r="G528" s="17" t="str"/>
      <x:c r="H528" s="17" t="str">
        <x:v>I don't have an additional preference for budget.</x:v>
      </x:c>
      <x:c r="I528" s="17" t="str">
        <x:v>Override message occurs automatically on turn 3 or 4 before this reply when scheduled.</x:v>
      </x:c>
    </x:row>
    <x:row r="529">
      <x:c r="A529" t="str">
        <x:v>public_0046</x:v>
      </x:c>
      <x:c r="B529" t="str">
        <x:v>intent_override</x:v>
      </x:c>
      <x:c r="C529" t="str">
        <x:v>hard</x:v>
      </x:c>
      <x:c r="D529" s="17" t="str">
        <x:v>next ask before hit/override</x:v>
      </x:c>
      <x:c r="E529" s="17" t="str">
        <x:v>feature</x:v>
      </x:c>
      <x:c r="F529" s="17" t="str">
        <x:v>constraint revealed</x:v>
      </x:c>
      <x:c r="G529" s="17" t="str">
        <x:v>Imported | No Closure closure</x:v>
      </x:c>
      <x:c r="H529" s="17" t="str">
        <x:v>For that, what matters is: Imported; No Closure closure.</x:v>
      </x:c>
      <x:c r="I529" s="17" t="str">
        <x:v>Override message occurs automatically on turn 3 or 4 before this reply when scheduled.</x:v>
      </x:c>
    </x:row>
    <x:row r="530">
      <x:c r="A530" t="str">
        <x:v>public_0046</x:v>
      </x:c>
      <x:c r="B530" t="str">
        <x:v>intent_override</x:v>
      </x:c>
      <x:c r="C530" t="str">
        <x:v>hard</x:v>
      </x:c>
      <x:c r="D530" s="17" t="str">
        <x:v>next ask before hit/override</x:v>
      </x:c>
      <x:c r="E530" s="17" t="str">
        <x:v>use_case</x:v>
      </x:c>
      <x:c r="F530" s="17" t="str">
        <x:v>no new constraint</x:v>
      </x:c>
      <x:c r="G530" s="17" t="str"/>
      <x:c r="H530" s="17" t="str">
        <x:v>I don't have an additional preference for use_case.</x:v>
      </x:c>
      <x:c r="I530" s="17" t="str">
        <x:v>Override message occurs automatically on turn 3 or 4 before this reply when scheduled.</x:v>
      </x:c>
    </x:row>
    <x:row r="531">
      <x:c r="A531" t="str">
        <x:v>public_0046</x:v>
      </x:c>
      <x:c r="B531" t="str">
        <x:v>intent_override</x:v>
      </x:c>
      <x:c r="C531" t="str">
        <x:v>hard</x:v>
      </x:c>
      <x:c r="D531" s="17" t="str">
        <x:v>next ask before hit/override</x:v>
      </x:c>
      <x:c r="E531" s="17" t="str">
        <x:v>other</x:v>
      </x:c>
      <x:c r="F531" s="17" t="str">
        <x:v>constraint revealed</x:v>
      </x:c>
      <x:c r="G531" s="17" t="str">
        <x:v>wool | 44% Acrylic, 28% Cotton, 20% Merino Wool, 8% Polyester</x:v>
      </x:c>
      <x:c r="H531" s="17" t="str">
        <x:v>For that, what matters is: wool; 44% Acrylic, 28% Cotton, 20% Merino Wool, 8% Polyester.</x:v>
      </x:c>
      <x:c r="I531" s="17" t="str">
        <x:v>Override message occurs automatically on turn 3 or 4 before this reply when scheduled.</x:v>
      </x:c>
    </x:row>
    <x:row r="532">
      <x:c r="A532" t="str">
        <x:v>public_0046</x:v>
      </x:c>
      <x:c r="B532" t="str">
        <x:v>intent_override</x:v>
      </x:c>
      <x:c r="C532" t="str">
        <x:v>hard</x:v>
      </x:c>
      <x:c r="D532" s="17" t="str">
        <x:v>next ask before hit/override</x:v>
      </x:c>
      <x:c r="E532" s="17" t="str">
        <x:v>(no ask_attribute)</x:v>
      </x:c>
      <x:c r="F532" s="17" t="str">
        <x:v>agent did not ask</x:v>
      </x:c>
      <x:c r="G532" s="17" t="str"/>
      <x:c r="H532" s="17" t="str">
        <x:v>Those options are not quite right yet. Ask me about one specific attribute.</x:v>
      </x:c>
      <x:c r="I532" s="17" t="str">
        <x:v>Override message occurs automatically on turn 3 or 4 before this reply when scheduled.</x:v>
      </x:c>
    </x:row>
    <x:row r="533">
      <x:c r="A533" t="str">
        <x:v>public_0047</x:v>
      </x:c>
      <x:c r="B533" t="str">
        <x:v>browsing</x:v>
      </x:c>
      <x:c r="C533" t="str">
        <x:v>medium</x:v>
      </x:c>
      <x:c r="D533" s="17" t="str">
        <x:v>next ask before hit/override</x:v>
      </x:c>
      <x:c r="E533" s="17" t="str">
        <x:v>category</x:v>
      </x:c>
      <x:c r="F533" s="17" t="str">
        <x:v>no new constraint</x:v>
      </x:c>
      <x:c r="G533" s="17" t="str"/>
      <x:c r="H533" s="17" t="str">
        <x:v>I don't have an additional preference for category.</x:v>
      </x:c>
      <x:c r="I533" s="17" t="str"/>
    </x:row>
    <x:row r="534">
      <x:c r="A534" t="str">
        <x:v>public_0047</x:v>
      </x:c>
      <x:c r="B534" t="str">
        <x:v>browsing</x:v>
      </x:c>
      <x:c r="C534" t="str">
        <x:v>medium</x:v>
      </x:c>
      <x:c r="D534" s="17" t="str">
        <x:v>next ask before hit/override</x:v>
      </x:c>
      <x:c r="E534" s="17" t="str">
        <x:v>material</x:v>
      </x:c>
      <x:c r="F534" s="17" t="str">
        <x:v>constraint revealed</x:v>
      </x:c>
      <x:c r="G534" s="17" t="str">
        <x:v>polyester | 100% Polyester</x:v>
      </x:c>
      <x:c r="H534" s="17" t="str">
        <x:v>For that, what matters is: polyester; 100% Polyester.</x:v>
      </x:c>
      <x:c r="I534" s="17" t="str"/>
    </x:row>
    <x:row r="535">
      <x:c r="A535" t="str">
        <x:v>public_0047</x:v>
      </x:c>
      <x:c r="B535" t="str">
        <x:v>browsing</x:v>
      </x:c>
      <x:c r="C535" t="str">
        <x:v>medium</x:v>
      </x:c>
      <x:c r="D535" s="17" t="str">
        <x:v>next ask before hit/override</x:v>
      </x:c>
      <x:c r="E535" s="17" t="str">
        <x:v>color</x:v>
      </x:c>
      <x:c r="F535" s="17" t="str">
        <x:v>constraint revealed</x:v>
      </x:c>
      <x:c r="G535" s="17" t="str">
        <x:v>color: pink</x:v>
      </x:c>
      <x:c r="H535" s="17" t="str">
        <x:v>For that, what matters is: color: pink.</x:v>
      </x:c>
      <x:c r="I535" s="17" t="str"/>
    </x:row>
    <x:row r="536">
      <x:c r="A536" t="str">
        <x:v>public_0047</x:v>
      </x:c>
      <x:c r="B536" t="str">
        <x:v>browsing</x:v>
      </x:c>
      <x:c r="C536" t="str">
        <x:v>medium</x:v>
      </x:c>
      <x:c r="D536" s="17" t="str">
        <x:v>next ask before hit/override</x:v>
      </x:c>
      <x:c r="E536" s="17" t="str">
        <x:v>size</x:v>
      </x:c>
      <x:c r="F536" s="17" t="str">
        <x:v>no new constraint</x:v>
      </x:c>
      <x:c r="G536" s="17" t="str"/>
      <x:c r="H536" s="17" t="str">
        <x:v>I don't have an additional preference for size.</x:v>
      </x:c>
      <x:c r="I536" s="17" t="str"/>
    </x:row>
    <x:row r="537">
      <x:c r="A537" t="str">
        <x:v>public_0047</x:v>
      </x:c>
      <x:c r="B537" t="str">
        <x:v>browsing</x:v>
      </x:c>
      <x:c r="C537" t="str">
        <x:v>medium</x:v>
      </x:c>
      <x:c r="D537" s="17" t="str">
        <x:v>next ask before hit/override</x:v>
      </x:c>
      <x:c r="E537" s="17" t="str">
        <x:v>style</x:v>
      </x:c>
      <x:c r="F537" s="17" t="str">
        <x:v>no new constraint</x:v>
      </x:c>
      <x:c r="G537" s="17" t="str"/>
      <x:c r="H537" s="17" t="str">
        <x:v>I don't have an additional preference for style.</x:v>
      </x:c>
      <x:c r="I537" s="17" t="str"/>
    </x:row>
    <x:row r="538">
      <x:c r="A538" t="str">
        <x:v>public_0047</x:v>
      </x:c>
      <x:c r="B538" t="str">
        <x:v>browsing</x:v>
      </x:c>
      <x:c r="C538" t="str">
        <x:v>medium</x:v>
      </x:c>
      <x:c r="D538" s="17" t="str">
        <x:v>next ask before hit/override</x:v>
      </x:c>
      <x:c r="E538" s="17" t="str">
        <x:v>brand</x:v>
      </x:c>
      <x:c r="F538" s="17" t="str">
        <x:v>no new constraint</x:v>
      </x:c>
      <x:c r="G538" s="17" t="str"/>
      <x:c r="H538" s="17" t="str">
        <x:v>I don't have an additional preference for brand.</x:v>
      </x:c>
      <x:c r="I538" s="17" t="str"/>
    </x:row>
    <x:row r="539">
      <x:c r="A539" t="str">
        <x:v>public_0047</x:v>
      </x:c>
      <x:c r="B539" t="str">
        <x:v>browsing</x:v>
      </x:c>
      <x:c r="C539" t="str">
        <x:v>medium</x:v>
      </x:c>
      <x:c r="D539" s="17" t="str">
        <x:v>next ask before hit/override</x:v>
      </x:c>
      <x:c r="E539" s="17" t="str">
        <x:v>budget</x:v>
      </x:c>
      <x:c r="F539" s="17" t="str">
        <x:v>no new constraint</x:v>
      </x:c>
      <x:c r="G539" s="17" t="str"/>
      <x:c r="H539" s="17" t="str">
        <x:v>I don't have an additional preference for budget.</x:v>
      </x:c>
      <x:c r="I539" s="17" t="str"/>
    </x:row>
    <x:row r="540">
      <x:c r="A540" t="str">
        <x:v>public_0047</x:v>
      </x:c>
      <x:c r="B540" t="str">
        <x:v>browsing</x:v>
      </x:c>
      <x:c r="C540" t="str">
        <x:v>medium</x:v>
      </x:c>
      <x:c r="D540" s="17" t="str">
        <x:v>next ask before hit/override</x:v>
      </x:c>
      <x:c r="E540" s="17" t="str">
        <x:v>feature</x:v>
      </x:c>
      <x:c r="F540" s="17" t="str">
        <x:v>constraint revealed</x:v>
      </x:c>
      <x:c r="G540" s="17" t="str">
        <x:v>Adjustable closure</x:v>
      </x:c>
      <x:c r="H540" s="17" t="str">
        <x:v>For that, what matters is: Adjustable closure.</x:v>
      </x:c>
      <x:c r="I540" s="17" t="str"/>
    </x:row>
    <x:row r="541">
      <x:c r="A541" t="str">
        <x:v>public_0047</x:v>
      </x:c>
      <x:c r="B541" t="str">
        <x:v>browsing</x:v>
      </x:c>
      <x:c r="C541" t="str">
        <x:v>medium</x:v>
      </x:c>
      <x:c r="D541" s="17" t="str">
        <x:v>next ask before hit/override</x:v>
      </x:c>
      <x:c r="E541" s="17" t="str">
        <x:v>use_case</x:v>
      </x:c>
      <x:c r="F541" s="17" t="str">
        <x:v>no new constraint</x:v>
      </x:c>
      <x:c r="G541" s="17" t="str"/>
      <x:c r="H541" s="17" t="str">
        <x:v>I don't have an additional preference for use_case.</x:v>
      </x:c>
      <x:c r="I541" s="17" t="str"/>
    </x:row>
    <x:row r="542">
      <x:c r="A542" t="str">
        <x:v>public_0047</x:v>
      </x:c>
      <x:c r="B542" t="str">
        <x:v>browsing</x:v>
      </x:c>
      <x:c r="C542" t="str">
        <x:v>medium</x:v>
      </x:c>
      <x:c r="D542" s="17" t="str">
        <x:v>next ask before hit/override</x:v>
      </x:c>
      <x:c r="E542" s="17" t="str">
        <x:v>other</x:v>
      </x:c>
      <x:c r="F542" s="17" t="str">
        <x:v>constraint revealed</x:v>
      </x:c>
      <x:c r="G542" s="17" t="str">
        <x:v>polyester | color: pink</x:v>
      </x:c>
      <x:c r="H542" s="17" t="str">
        <x:v>For that, what matters is: polyester; color: pink.</x:v>
      </x:c>
      <x:c r="I542" s="17" t="str"/>
    </x:row>
    <x:row r="543">
      <x:c r="A543" t="str">
        <x:v>public_0047</x:v>
      </x:c>
      <x:c r="B543" t="str">
        <x:v>browsing</x:v>
      </x:c>
      <x:c r="C543" t="str">
        <x:v>medium</x:v>
      </x:c>
      <x:c r="D543" s="17" t="str">
        <x:v>next ask before hit/override</x:v>
      </x:c>
      <x:c r="E543" s="17" t="str">
        <x:v>(no ask_attribute)</x:v>
      </x:c>
      <x:c r="F543" s="17" t="str">
        <x:v>agent did not ask</x:v>
      </x:c>
      <x:c r="G543" s="17" t="str"/>
      <x:c r="H543" s="17" t="str">
        <x:v>Those options are not quite right yet. Ask me about one specific attribute.</x:v>
      </x:c>
      <x:c r="I543" s="17" t="str"/>
    </x:row>
    <x:row r="544">
      <x:c r="A544" t="str">
        <x:v>public_0048</x:v>
      </x:c>
      <x:c r="B544" t="str">
        <x:v>browsing</x:v>
      </x:c>
      <x:c r="C544" t="str">
        <x:v>medium</x:v>
      </x:c>
      <x:c r="D544" s="17" t="str">
        <x:v>next ask before hit/override</x:v>
      </x:c>
      <x:c r="E544" s="17" t="str">
        <x:v>category</x:v>
      </x:c>
      <x:c r="F544" s="17" t="str">
        <x:v>no new constraint</x:v>
      </x:c>
      <x:c r="G544" s="17" t="str"/>
      <x:c r="H544" s="17" t="str">
        <x:v>I don't have an additional preference for category.</x:v>
      </x:c>
      <x:c r="I544" s="17" t="str"/>
    </x:row>
    <x:row r="545">
      <x:c r="A545" t="str">
        <x:v>public_0048</x:v>
      </x:c>
      <x:c r="B545" t="str">
        <x:v>browsing</x:v>
      </x:c>
      <x:c r="C545" t="str">
        <x:v>medium</x:v>
      </x:c>
      <x:c r="D545" s="17" t="str">
        <x:v>next ask before hit/override</x:v>
      </x:c>
      <x:c r="E545" s="17" t="str">
        <x:v>material</x:v>
      </x:c>
      <x:c r="F545" s="17" t="str">
        <x:v>no new constraint</x:v>
      </x:c>
      <x:c r="G545" s="17" t="str"/>
      <x:c r="H545" s="17" t="str">
        <x:v>I don't have an additional preference for material.</x:v>
      </x:c>
      <x:c r="I545" s="17" t="str"/>
    </x:row>
    <x:row r="546">
      <x:c r="A546" t="str">
        <x:v>public_0048</x:v>
      </x:c>
      <x:c r="B546" t="str">
        <x:v>browsing</x:v>
      </x:c>
      <x:c r="C546" t="str">
        <x:v>medium</x:v>
      </x:c>
      <x:c r="D546" s="17" t="str">
        <x:v>next ask before hit/override</x:v>
      </x:c>
      <x:c r="E546" s="17" t="str">
        <x:v>color</x:v>
      </x:c>
      <x:c r="F546" s="17" t="str">
        <x:v>no new constraint</x:v>
      </x:c>
      <x:c r="G546" s="17" t="str"/>
      <x:c r="H546" s="17" t="str">
        <x:v>I don't have an additional preference for color.</x:v>
      </x:c>
      <x:c r="I546" s="17" t="str"/>
    </x:row>
    <x:row r="547">
      <x:c r="A547" t="str">
        <x:v>public_0048</x:v>
      </x:c>
      <x:c r="B547" t="str">
        <x:v>browsing</x:v>
      </x:c>
      <x:c r="C547" t="str">
        <x:v>medium</x:v>
      </x:c>
      <x:c r="D547" s="17" t="str">
        <x:v>next ask before hit/override</x:v>
      </x:c>
      <x:c r="E547" s="17" t="str">
        <x:v>size</x:v>
      </x:c>
      <x:c r="F547" s="17" t="str">
        <x:v>no new constraint</x:v>
      </x:c>
      <x:c r="G547" s="17" t="str"/>
      <x:c r="H547" s="17" t="str">
        <x:v>I don't have an additional preference for size.</x:v>
      </x:c>
      <x:c r="I547" s="17" t="str"/>
    </x:row>
    <x:row r="548">
      <x:c r="A548" t="str">
        <x:v>public_0048</x:v>
      </x:c>
      <x:c r="B548" t="str">
        <x:v>browsing</x:v>
      </x:c>
      <x:c r="C548" t="str">
        <x:v>medium</x:v>
      </x:c>
      <x:c r="D548" s="17" t="str">
        <x:v>next ask before hit/override</x:v>
      </x:c>
      <x:c r="E548" s="17" t="str">
        <x:v>style</x:v>
      </x:c>
      <x:c r="F548" s="17" t="str">
        <x:v>constraint revealed</x:v>
      </x:c>
      <x:c r="G548" s="17" t="str">
        <x:v>FEATURES: Infinity style cleats are constructed from durable synthetic materials that are water resistant. Easily adjustable laces allow these shoes to easily form to your foot</x:v>
      </x:c>
      <x:c r="H548" s="17" t="str">
        <x:v>For that, what matters is: FEATURES: Infinity style cleats are constructed from durable synthetic materials that are water resistant. Easily adjustable laces allow these shoes to easily form to your foot.</x:v>
      </x:c>
      <x:c r="I548" s="17" t="str"/>
    </x:row>
    <x:row r="549">
      <x:c r="A549" t="str">
        <x:v>public_0048</x:v>
      </x:c>
      <x:c r="B549" t="str">
        <x:v>browsing</x:v>
      </x:c>
      <x:c r="C549" t="str">
        <x:v>medium</x:v>
      </x:c>
      <x:c r="D549" s="17" t="str">
        <x:v>next ask before hit/override</x:v>
      </x:c>
      <x:c r="E549" s="17" t="str">
        <x:v>brand</x:v>
      </x:c>
      <x:c r="F549" s="17" t="str">
        <x:v>no new constraint</x:v>
      </x:c>
      <x:c r="G549" s="17" t="str"/>
      <x:c r="H549" s="17" t="str">
        <x:v>I don't have an additional preference for brand.</x:v>
      </x:c>
      <x:c r="I549" s="17" t="str"/>
    </x:row>
    <x:row r="550">
      <x:c r="A550" t="str">
        <x:v>public_0048</x:v>
      </x:c>
      <x:c r="B550" t="str">
        <x:v>browsing</x:v>
      </x:c>
      <x:c r="C550" t="str">
        <x:v>medium</x:v>
      </x:c>
      <x:c r="D550" s="17" t="str">
        <x:v>next ask before hit/override</x:v>
      </x:c>
      <x:c r="E550" s="17" t="str">
        <x:v>budget</x:v>
      </x:c>
      <x:c r="F550" s="17" t="str">
        <x:v>no new constraint</x:v>
      </x:c>
      <x:c r="G550" s="17" t="str"/>
      <x:c r="H550" s="17" t="str">
        <x:v>I don't have an additional preference for budget.</x:v>
      </x:c>
      <x:c r="I550" s="17" t="str"/>
    </x:row>
    <x:row r="551">
      <x:c r="A551" t="str">
        <x:v>public_0048</x:v>
      </x:c>
      <x:c r="B551" t="str">
        <x:v>browsing</x:v>
      </x:c>
      <x:c r="C551" t="str">
        <x:v>medium</x:v>
      </x:c>
      <x:c r="D551" s="17" t="str">
        <x:v>next ask before hit/override</x:v>
      </x:c>
      <x:c r="E551" s="17" t="str">
        <x:v>feature</x:v>
      </x:c>
      <x:c r="F551" s="17" t="str">
        <x:v>constraint revealed</x:v>
      </x:c>
      <x:c r="G551" s="17" t="str">
        <x:v>100% Synthetic | Rubber sole</x:v>
      </x:c>
      <x:c r="H551" s="17" t="str">
        <x:v>For that, what matters is: 100% Synthetic; Rubber sole.</x:v>
      </x:c>
      <x:c r="I551" s="17" t="str"/>
    </x:row>
    <x:row r="552">
      <x:c r="A552" t="str">
        <x:v>public_0048</x:v>
      </x:c>
      <x:c r="B552" t="str">
        <x:v>browsing</x:v>
      </x:c>
      <x:c r="C552" t="str">
        <x:v>medium</x:v>
      </x:c>
      <x:c r="D552" s="17" t="str">
        <x:v>next ask before hit/override</x:v>
      </x:c>
      <x:c r="E552" s="17" t="str">
        <x:v>use_case</x:v>
      </x:c>
      <x:c r="F552" s="17" t="str">
        <x:v>constraint revealed</x:v>
      </x:c>
      <x:c r="G552" s="17" t="str">
        <x:v>RUGGED OUTSOLE: Our flexible rubber outsoles have a two tone design and feature rugged studs to aid with traction on turf and outdoor fields</x:v>
      </x:c>
      <x:c r="H552" s="17" t="str">
        <x:v>For that, what matters is: RUGGED OUTSOLE: Our flexible rubber outsoles have a two tone design and feature rugged studs to aid with traction on turf and outdoor fields.</x:v>
      </x:c>
      <x:c r="I552" s="17" t="str"/>
    </x:row>
    <x:row r="553">
      <x:c r="A553" t="str">
        <x:v>public_0048</x:v>
      </x:c>
      <x:c r="B553" t="str">
        <x:v>browsing</x:v>
      </x:c>
      <x:c r="C553" t="str">
        <x:v>medium</x:v>
      </x:c>
      <x:c r="D553" s="17" t="str">
        <x:v>next ask before hit/override</x:v>
      </x:c>
      <x:c r="E553" s="17" t="str">
        <x:v>other</x:v>
      </x:c>
      <x:c r="F553" s="17" t="str">
        <x:v>constraint revealed</x:v>
      </x:c>
      <x:c r="G553" s="17" t="str">
        <x:v>100% Synthetic | Rubber sole</x:v>
      </x:c>
      <x:c r="H553" s="17" t="str">
        <x:v>For that, what matters is: 100% Synthetic; Rubber sole.</x:v>
      </x:c>
      <x:c r="I553" s="17" t="str"/>
    </x:row>
    <x:row r="554">
      <x:c r="A554" t="str">
        <x:v>public_0048</x:v>
      </x:c>
      <x:c r="B554" t="str">
        <x:v>browsing</x:v>
      </x:c>
      <x:c r="C554" t="str">
        <x:v>medium</x:v>
      </x:c>
      <x:c r="D554" s="17" t="str">
        <x:v>next ask before hit/override</x:v>
      </x:c>
      <x:c r="E554" s="17" t="str">
        <x:v>(no ask_attribute)</x:v>
      </x:c>
      <x:c r="F554" s="17" t="str">
        <x:v>agent did not ask</x:v>
      </x:c>
      <x:c r="G554" s="17" t="str"/>
      <x:c r="H554" s="17" t="str">
        <x:v>Those options are not quite right yet. Ask me about one specific attribute.</x:v>
      </x:c>
      <x:c r="I554" s="17" t="str"/>
    </x:row>
    <x:row r="555">
      <x:c r="A555" t="str">
        <x:v>public_0049</x:v>
      </x:c>
      <x:c r="B555" t="str">
        <x:v>browsing</x:v>
      </x:c>
      <x:c r="C555" t="str">
        <x:v>medium</x:v>
      </x:c>
      <x:c r="D555" s="17" t="str">
        <x:v>next ask before hit/override</x:v>
      </x:c>
      <x:c r="E555" s="17" t="str">
        <x:v>category</x:v>
      </x:c>
      <x:c r="F555" s="17" t="str">
        <x:v>no new constraint</x:v>
      </x:c>
      <x:c r="G555" s="17" t="str"/>
      <x:c r="H555" s="17" t="str">
        <x:v>I don't have an additional preference for category.</x:v>
      </x:c>
      <x:c r="I555" s="17" t="str"/>
    </x:row>
    <x:row r="556">
      <x:c r="A556" t="str">
        <x:v>public_0049</x:v>
      </x:c>
      <x:c r="B556" t="str">
        <x:v>browsing</x:v>
      </x:c>
      <x:c r="C556" t="str">
        <x:v>medium</x:v>
      </x:c>
      <x:c r="D556" s="17" t="str">
        <x:v>next ask before hit/override</x:v>
      </x:c>
      <x:c r="E556" s="17" t="str">
        <x:v>material</x:v>
      </x:c>
      <x:c r="F556" s="17" t="str">
        <x:v>constraint revealed</x:v>
      </x:c>
      <x:c r="G556" s="17" t="str">
        <x:v>leather | 👟BEST MATERIAL.These mens shoes casual slip on has premium microfiber leather upper,soft rubber sole.It's a good choice for outdoor all season</x:v>
      </x:c>
      <x:c r="H556" s="17" t="str">
        <x:v>For that, what matters is: leather; 👟BEST MATERIAL.These mens shoes casual slip on has premium microfiber leather upper,soft rubber sole.It's a good choice for outdoor all season.</x:v>
      </x:c>
      <x:c r="I556" s="17" t="str"/>
    </x:row>
    <x:row r="557">
      <x:c r="A557" t="str">
        <x:v>public_0049</x:v>
      </x:c>
      <x:c r="B557" t="str">
        <x:v>browsing</x:v>
      </x:c>
      <x:c r="C557" t="str">
        <x:v>medium</x:v>
      </x:c>
      <x:c r="D557" s="17" t="str">
        <x:v>next ask before hit/override</x:v>
      </x:c>
      <x:c r="E557" s="17" t="str">
        <x:v>color</x:v>
      </x:c>
      <x:c r="F557" s="17" t="str">
        <x:v>constraint revealed</x:v>
      </x:c>
      <x:c r="G557" s="17" t="str">
        <x:v>color: brown</x:v>
      </x:c>
      <x:c r="H557" s="17" t="str">
        <x:v>For that, what matters is: color: brown.</x:v>
      </x:c>
      <x:c r="I557" s="17" t="str"/>
    </x:row>
    <x:row r="558">
      <x:c r="A558" t="str">
        <x:v>public_0049</x:v>
      </x:c>
      <x:c r="B558" t="str">
        <x:v>browsing</x:v>
      </x:c>
      <x:c r="C558" t="str">
        <x:v>medium</x:v>
      </x:c>
      <x:c r="D558" s="17" t="str">
        <x:v>next ask before hit/override</x:v>
      </x:c>
      <x:c r="E558" s="17" t="str">
        <x:v>size</x:v>
      </x:c>
      <x:c r="F558" s="17" t="str">
        <x:v>no new constraint</x:v>
      </x:c>
      <x:c r="G558" s="17" t="str"/>
      <x:c r="H558" s="17" t="str">
        <x:v>I don't have an additional preference for size.</x:v>
      </x:c>
      <x:c r="I558" s="17" t="str"/>
    </x:row>
    <x:row r="559">
      <x:c r="A559" t="str">
        <x:v>public_0049</x:v>
      </x:c>
      <x:c r="B559" t="str">
        <x:v>browsing</x:v>
      </x:c>
      <x:c r="C559" t="str">
        <x:v>medium</x:v>
      </x:c>
      <x:c r="D559" s="17" t="str">
        <x:v>next ask before hit/override</x:v>
      </x:c>
      <x:c r="E559" s="17" t="str">
        <x:v>style</x:v>
      </x:c>
      <x:c r="F559" s="17" t="str">
        <x:v>no new constraint</x:v>
      </x:c>
      <x:c r="G559" s="17" t="str"/>
      <x:c r="H559" s="17" t="str">
        <x:v>I don't have an additional preference for style.</x:v>
      </x:c>
      <x:c r="I559" s="17" t="str"/>
    </x:row>
    <x:row r="560">
      <x:c r="A560" t="str">
        <x:v>public_0049</x:v>
      </x:c>
      <x:c r="B560" t="str">
        <x:v>browsing</x:v>
      </x:c>
      <x:c r="C560" t="str">
        <x:v>medium</x:v>
      </x:c>
      <x:c r="D560" s="17" t="str">
        <x:v>next ask before hit/override</x:v>
      </x:c>
      <x:c r="E560" s="17" t="str">
        <x:v>brand</x:v>
      </x:c>
      <x:c r="F560" s="17" t="str">
        <x:v>no new constraint</x:v>
      </x:c>
      <x:c r="G560" s="17" t="str"/>
      <x:c r="H560" s="17" t="str">
        <x:v>I don't have an additional preference for brand.</x:v>
      </x:c>
      <x:c r="I560" s="17" t="str"/>
    </x:row>
    <x:row r="561">
      <x:c r="A561" t="str">
        <x:v>public_0049</x:v>
      </x:c>
      <x:c r="B561" t="str">
        <x:v>browsing</x:v>
      </x:c>
      <x:c r="C561" t="str">
        <x:v>medium</x:v>
      </x:c>
      <x:c r="D561" s="17" t="str">
        <x:v>next ask before hit/override</x:v>
      </x:c>
      <x:c r="E561" s="17" t="str">
        <x:v>budget</x:v>
      </x:c>
      <x:c r="F561" s="17" t="str">
        <x:v>no new constraint</x:v>
      </x:c>
      <x:c r="G561" s="17" t="str"/>
      <x:c r="H561" s="17" t="str">
        <x:v>I don't have an additional preference for budget.</x:v>
      </x:c>
      <x:c r="I561" s="17" t="str"/>
    </x:row>
    <x:row r="562">
      <x:c r="A562" t="str">
        <x:v>public_0049</x:v>
      </x:c>
      <x:c r="B562" t="str">
        <x:v>browsing</x:v>
      </x:c>
      <x:c r="C562" t="str">
        <x:v>medium</x:v>
      </x:c>
      <x:c r="D562" s="17" t="str">
        <x:v>next ask before hit/override</x:v>
      </x:c>
      <x:c r="E562" s="17" t="str">
        <x:v>feature</x:v>
      </x:c>
      <x:c r="F562" s="17" t="str">
        <x:v>constraint revealed</x:v>
      </x:c>
      <x:c r="G562" s="17" t="str">
        <x:v>Rubber sole</x:v>
      </x:c>
      <x:c r="H562" s="17" t="str">
        <x:v>For that, what matters is: Rubber sole.</x:v>
      </x:c>
      <x:c r="I562" s="17" t="str"/>
    </x:row>
    <x:row r="563">
      <x:c r="A563" t="str">
        <x:v>public_0049</x:v>
      </x:c>
      <x:c r="B563" t="str">
        <x:v>browsing</x:v>
      </x:c>
      <x:c r="C563" t="str">
        <x:v>medium</x:v>
      </x:c>
      <x:c r="D563" s="17" t="str">
        <x:v>next ask before hit/override</x:v>
      </x:c>
      <x:c r="E563" s="17" t="str">
        <x:v>use_case</x:v>
      </x:c>
      <x:c r="F563" s="17" t="str">
        <x:v>no new constraint</x:v>
      </x:c>
      <x:c r="G563" s="17" t="str"/>
      <x:c r="H563" s="17" t="str">
        <x:v>I don't have an additional preference for use_case.</x:v>
      </x:c>
      <x:c r="I563" s="17" t="str"/>
    </x:row>
    <x:row r="564">
      <x:c r="A564" t="str">
        <x:v>public_0049</x:v>
      </x:c>
      <x:c r="B564" t="str">
        <x:v>browsing</x:v>
      </x:c>
      <x:c r="C564" t="str">
        <x:v>medium</x:v>
      </x:c>
      <x:c r="D564" s="17" t="str">
        <x:v>next ask before hit/override</x:v>
      </x:c>
      <x:c r="E564" s="17" t="str">
        <x:v>other</x:v>
      </x:c>
      <x:c r="F564" s="17" t="str">
        <x:v>constraint revealed</x:v>
      </x:c>
      <x:c r="G564" s="17" t="str">
        <x:v>leather | color: brown</x:v>
      </x:c>
      <x:c r="H564" s="17" t="str">
        <x:v>For that, what matters is: leather; color: brown.</x:v>
      </x:c>
      <x:c r="I564" s="17" t="str"/>
    </x:row>
    <x:row r="565">
      <x:c r="A565" t="str">
        <x:v>public_0049</x:v>
      </x:c>
      <x:c r="B565" t="str">
        <x:v>browsing</x:v>
      </x:c>
      <x:c r="C565" t="str">
        <x:v>medium</x:v>
      </x:c>
      <x:c r="D565" s="17" t="str">
        <x:v>next ask before hit/override</x:v>
      </x:c>
      <x:c r="E565" s="17" t="str">
        <x:v>(no ask_attribute)</x:v>
      </x:c>
      <x:c r="F565" s="17" t="str">
        <x:v>agent did not ask</x:v>
      </x:c>
      <x:c r="G565" s="17" t="str"/>
      <x:c r="H565" s="17" t="str">
        <x:v>Those options are not quite right yet. Ask me about one specific attribute.</x:v>
      </x:c>
      <x:c r="I565" s="17" t="str"/>
    </x:row>
    <x:row r="566">
      <x:c r="A566" t="str">
        <x:v>public_0050</x:v>
      </x:c>
      <x:c r="B566" t="str">
        <x:v>boundary</x:v>
      </x:c>
      <x:c r="C566" t="str">
        <x:v>medium</x:v>
      </x:c>
      <x:c r="D566" s="17" t="str">
        <x:v>first ask (boundary unused)</x:v>
      </x:c>
      <x:c r="E566" s="17" t="str">
        <x:v>category</x:v>
      </x:c>
      <x:c r="F566" s="17" t="str">
        <x:v>boundary no-preference</x:v>
      </x:c>
      <x:c r="G566" s="17" t="str"/>
      <x:c r="H566" s="17" t="str">
        <x:v>I don't have a preference for category; please use your judgment.</x:v>
      </x:c>
      <x:c r="I566" s="17" t="str"/>
    </x:row>
    <x:row r="567">
      <x:c r="A567" t="str">
        <x:v>public_0050</x:v>
      </x:c>
      <x:c r="B567" t="str">
        <x:v>boundary</x:v>
      </x:c>
      <x:c r="C567" t="str">
        <x:v>medium</x:v>
      </x:c>
      <x:c r="D567" s="17" t="str">
        <x:v>first ask (boundary unused)</x:v>
      </x:c>
      <x:c r="E567" s="17" t="str">
        <x:v>material</x:v>
      </x:c>
      <x:c r="F567" s="17" t="str">
        <x:v>boundary no-preference</x:v>
      </x:c>
      <x:c r="G567" s="17" t="str"/>
      <x:c r="H567" s="17" t="str">
        <x:v>I don't have a preference for material; please use your judgment.</x:v>
      </x:c>
      <x:c r="I567" s="17" t="str"/>
    </x:row>
    <x:row r="568">
      <x:c r="A568" t="str">
        <x:v>public_0050</x:v>
      </x:c>
      <x:c r="B568" t="str">
        <x:v>boundary</x:v>
      </x:c>
      <x:c r="C568" t="str">
        <x:v>medium</x:v>
      </x:c>
      <x:c r="D568" s="17" t="str">
        <x:v>first ask (boundary unused)</x:v>
      </x:c>
      <x:c r="E568" s="17" t="str">
        <x:v>color</x:v>
      </x:c>
      <x:c r="F568" s="17" t="str">
        <x:v>boundary no-preference</x:v>
      </x:c>
      <x:c r="G568" s="17" t="str"/>
      <x:c r="H568" s="17" t="str">
        <x:v>I don't have a preference for color; please use your judgment.</x:v>
      </x:c>
      <x:c r="I568" s="17" t="str"/>
    </x:row>
    <x:row r="569">
      <x:c r="A569" t="str">
        <x:v>public_0050</x:v>
      </x:c>
      <x:c r="B569" t="str">
        <x:v>boundary</x:v>
      </x:c>
      <x:c r="C569" t="str">
        <x:v>medium</x:v>
      </x:c>
      <x:c r="D569" s="17" t="str">
        <x:v>first ask (boundary unused)</x:v>
      </x:c>
      <x:c r="E569" s="17" t="str">
        <x:v>size</x:v>
      </x:c>
      <x:c r="F569" s="17" t="str">
        <x:v>boundary no-preference</x:v>
      </x:c>
      <x:c r="G569" s="17" t="str"/>
      <x:c r="H569" s="17" t="str">
        <x:v>I don't have a preference for size; please use your judgment.</x:v>
      </x:c>
      <x:c r="I569" s="17" t="str"/>
    </x:row>
    <x:row r="570">
      <x:c r="A570" t="str">
        <x:v>public_0050</x:v>
      </x:c>
      <x:c r="B570" t="str">
        <x:v>boundary</x:v>
      </x:c>
      <x:c r="C570" t="str">
        <x:v>medium</x:v>
      </x:c>
      <x:c r="D570" s="17" t="str">
        <x:v>first ask (boundary unused)</x:v>
      </x:c>
      <x:c r="E570" s="17" t="str">
        <x:v>style</x:v>
      </x:c>
      <x:c r="F570" s="17" t="str">
        <x:v>boundary no-preference</x:v>
      </x:c>
      <x:c r="G570" s="17" t="str"/>
      <x:c r="H570" s="17" t="str">
        <x:v>I don't have a preference for style; please use your judgment.</x:v>
      </x:c>
      <x:c r="I570" s="17" t="str"/>
    </x:row>
    <x:row r="571">
      <x:c r="A571" t="str">
        <x:v>public_0050</x:v>
      </x:c>
      <x:c r="B571" t="str">
        <x:v>boundary</x:v>
      </x:c>
      <x:c r="C571" t="str">
        <x:v>medium</x:v>
      </x:c>
      <x:c r="D571" s="17" t="str">
        <x:v>first ask (boundary unused)</x:v>
      </x:c>
      <x:c r="E571" s="17" t="str">
        <x:v>brand</x:v>
      </x:c>
      <x:c r="F571" s="17" t="str">
        <x:v>boundary no-preference</x:v>
      </x:c>
      <x:c r="G571" s="17" t="str"/>
      <x:c r="H571" s="17" t="str">
        <x:v>I don't have a preference for brand; please use your judgment.</x:v>
      </x:c>
      <x:c r="I571" s="17" t="str"/>
    </x:row>
    <x:row r="572">
      <x:c r="A572" t="str">
        <x:v>public_0050</x:v>
      </x:c>
      <x:c r="B572" t="str">
        <x:v>boundary</x:v>
      </x:c>
      <x:c r="C572" t="str">
        <x:v>medium</x:v>
      </x:c>
      <x:c r="D572" s="17" t="str">
        <x:v>first ask (boundary unused)</x:v>
      </x:c>
      <x:c r="E572" s="17" t="str">
        <x:v>budget</x:v>
      </x:c>
      <x:c r="F572" s="17" t="str">
        <x:v>boundary no-preference</x:v>
      </x:c>
      <x:c r="G572" s="17" t="str"/>
      <x:c r="H572" s="17" t="str">
        <x:v>I don't have a preference for budget; please use your judgment.</x:v>
      </x:c>
      <x:c r="I572" s="17" t="str"/>
    </x:row>
    <x:row r="573">
      <x:c r="A573" t="str">
        <x:v>public_0050</x:v>
      </x:c>
      <x:c r="B573" t="str">
        <x:v>boundary</x:v>
      </x:c>
      <x:c r="C573" t="str">
        <x:v>medium</x:v>
      </x:c>
      <x:c r="D573" s="17" t="str">
        <x:v>first ask (boundary unused)</x:v>
      </x:c>
      <x:c r="E573" s="17" t="str">
        <x:v>feature</x:v>
      </x:c>
      <x:c r="F573" s="17" t="str">
        <x:v>boundary no-preference</x:v>
      </x:c>
      <x:c r="G573" s="17" t="str"/>
      <x:c r="H573" s="17" t="str">
        <x:v>I don't have a preference for feature; please use your judgment.</x:v>
      </x:c>
      <x:c r="I573" s="17" t="str"/>
    </x:row>
    <x:row r="574">
      <x:c r="A574" t="str">
        <x:v>public_0050</x:v>
      </x:c>
      <x:c r="B574" t="str">
        <x:v>boundary</x:v>
      </x:c>
      <x:c r="C574" t="str">
        <x:v>medium</x:v>
      </x:c>
      <x:c r="D574" s="17" t="str">
        <x:v>first ask (boundary unused)</x:v>
      </x:c>
      <x:c r="E574" s="17" t="str">
        <x:v>use_case</x:v>
      </x:c>
      <x:c r="F574" s="17" t="str">
        <x:v>boundary no-preference</x:v>
      </x:c>
      <x:c r="G574" s="17" t="str"/>
      <x:c r="H574" s="17" t="str">
        <x:v>I don't have a preference for use_case; please use your judgment.</x:v>
      </x:c>
      <x:c r="I574" s="17" t="str"/>
    </x:row>
    <x:row r="575">
      <x:c r="A575" t="str">
        <x:v>public_0050</x:v>
      </x:c>
      <x:c r="B575" t="str">
        <x:v>boundary</x:v>
      </x:c>
      <x:c r="C575" t="str">
        <x:v>medium</x:v>
      </x:c>
      <x:c r="D575" s="17" t="str">
        <x:v>first ask (boundary unused)</x:v>
      </x:c>
      <x:c r="E575" s="17" t="str">
        <x:v>other</x:v>
      </x:c>
      <x:c r="F575" s="17" t="str">
        <x:v>boundary no-preference</x:v>
      </x:c>
      <x:c r="G575" s="17" t="str"/>
      <x:c r="H575" s="17" t="str">
        <x:v>I don't have a preference for other; please use your judgment.</x:v>
      </x:c>
      <x:c r="I575" s="17" t="str"/>
    </x:row>
    <x:row r="576">
      <x:c r="A576" t="str">
        <x:v>public_0050</x:v>
      </x:c>
      <x:c r="B576" t="str">
        <x:v>boundary</x:v>
      </x:c>
      <x:c r="C576" t="str">
        <x:v>medium</x:v>
      </x:c>
      <x:c r="D576" s="17" t="str">
        <x:v>first ask (boundary unused)</x:v>
      </x:c>
      <x:c r="E576" s="17" t="str">
        <x:v>(no ask_attribute)</x:v>
      </x:c>
      <x:c r="F576" s="17" t="str">
        <x:v>agent did not ask</x:v>
      </x:c>
      <x:c r="G576" s="17" t="str"/>
      <x:c r="H576" s="17" t="str">
        <x:v>Those options are not quite right yet. Ask me about one specific attribute.</x:v>
      </x:c>
      <x:c r="I576" s="17" t="str"/>
    </x:row>
    <x:row r="577">
      <x:c r="A577" t="str">
        <x:v>public_0050</x:v>
      </x:c>
      <x:c r="B577" t="str">
        <x:v>boundary</x:v>
      </x:c>
      <x:c r="C577" t="str">
        <x:v>medium</x:v>
      </x:c>
      <x:c r="D577" s="17" t="str">
        <x:v>after no-preference used</x:v>
      </x:c>
      <x:c r="E577" s="17" t="str">
        <x:v>category</x:v>
      </x:c>
      <x:c r="F577" s="17" t="str">
        <x:v>no new constraint</x:v>
      </x:c>
      <x:c r="G577" s="17" t="str"/>
      <x:c r="H577" s="17" t="str">
        <x:v>I don't have an additional preference for category.</x:v>
      </x:c>
      <x:c r="I577" s="17" t="str"/>
    </x:row>
    <x:row r="578">
      <x:c r="A578" t="str">
        <x:v>public_0050</x:v>
      </x:c>
      <x:c r="B578" t="str">
        <x:v>boundary</x:v>
      </x:c>
      <x:c r="C578" t="str">
        <x:v>medium</x:v>
      </x:c>
      <x:c r="D578" s="17" t="str">
        <x:v>after no-preference used</x:v>
      </x:c>
      <x:c r="E578" s="17" t="str">
        <x:v>material</x:v>
      </x:c>
      <x:c r="F578" s="17" t="str">
        <x:v>constraint revealed</x:v>
      </x:c>
      <x:c r="G578" s="17" t="str">
        <x:v>leather | 100% Leather</x:v>
      </x:c>
      <x:c r="H578" s="17" t="str">
        <x:v>For that, what matters is: leather; 100% Leather.</x:v>
      </x:c>
      <x:c r="I578" s="17" t="str"/>
    </x:row>
    <x:row r="579">
      <x:c r="A579" t="str">
        <x:v>public_0050</x:v>
      </x:c>
      <x:c r="B579" t="str">
        <x:v>boundary</x:v>
      </x:c>
      <x:c r="C579" t="str">
        <x:v>medium</x:v>
      </x:c>
      <x:c r="D579" s="17" t="str">
        <x:v>after no-preference used</x:v>
      </x:c>
      <x:c r="E579" s="17" t="str">
        <x:v>color</x:v>
      </x:c>
      <x:c r="F579" s="17" t="str">
        <x:v>no new constraint</x:v>
      </x:c>
      <x:c r="G579" s="17" t="str"/>
      <x:c r="H579" s="17" t="str">
        <x:v>I don't have an additional preference for color.</x:v>
      </x:c>
      <x:c r="I579" s="17" t="str"/>
    </x:row>
    <x:row r="580">
      <x:c r="A580" t="str">
        <x:v>public_0050</x:v>
      </x:c>
      <x:c r="B580" t="str">
        <x:v>boundary</x:v>
      </x:c>
      <x:c r="C580" t="str">
        <x:v>medium</x:v>
      </x:c>
      <x:c r="D580" s="17" t="str">
        <x:v>after no-preference used</x:v>
      </x:c>
      <x:c r="E580" s="17" t="str">
        <x:v>size</x:v>
      </x:c>
      <x:c r="F580" s="17" t="str">
        <x:v>no new constraint</x:v>
      </x:c>
      <x:c r="G580" s="17" t="str"/>
      <x:c r="H580" s="17" t="str">
        <x:v>I don't have an additional preference for size.</x:v>
      </x:c>
      <x:c r="I580" s="17" t="str"/>
    </x:row>
    <x:row r="581">
      <x:c r="A581" t="str">
        <x:v>public_0050</x:v>
      </x:c>
      <x:c r="B581" t="str">
        <x:v>boundary</x:v>
      </x:c>
      <x:c r="C581" t="str">
        <x:v>medium</x:v>
      </x:c>
      <x:c r="D581" s="17" t="str">
        <x:v>after no-preference used</x:v>
      </x:c>
      <x:c r="E581" s="17" t="str">
        <x:v>style</x:v>
      </x:c>
      <x:c r="F581" s="17" t="str">
        <x:v>no new constraint</x:v>
      </x:c>
      <x:c r="G581" s="17" t="str"/>
      <x:c r="H581" s="17" t="str">
        <x:v>I don't have an additional preference for style.</x:v>
      </x:c>
      <x:c r="I581" s="17" t="str"/>
    </x:row>
    <x:row r="582">
      <x:c r="A582" t="str">
        <x:v>public_0050</x:v>
      </x:c>
      <x:c r="B582" t="str">
        <x:v>boundary</x:v>
      </x:c>
      <x:c r="C582" t="str">
        <x:v>medium</x:v>
      </x:c>
      <x:c r="D582" s="17" t="str">
        <x:v>after no-preference used</x:v>
      </x:c>
      <x:c r="E582" s="17" t="str">
        <x:v>brand</x:v>
      </x:c>
      <x:c r="F582" s="17" t="str">
        <x:v>no new constraint</x:v>
      </x:c>
      <x:c r="G582" s="17" t="str"/>
      <x:c r="H582" s="17" t="str">
        <x:v>I don't have an additional preference for brand.</x:v>
      </x:c>
      <x:c r="I582" s="17" t="str"/>
    </x:row>
    <x:row r="583">
      <x:c r="A583" t="str">
        <x:v>public_0050</x:v>
      </x:c>
      <x:c r="B583" t="str">
        <x:v>boundary</x:v>
      </x:c>
      <x:c r="C583" t="str">
        <x:v>medium</x:v>
      </x:c>
      <x:c r="D583" s="17" t="str">
        <x:v>after no-preference used</x:v>
      </x:c>
      <x:c r="E583" s="17" t="str">
        <x:v>budget</x:v>
      </x:c>
      <x:c r="F583" s="17" t="str">
        <x:v>no new constraint</x:v>
      </x:c>
      <x:c r="G583" s="17" t="str"/>
      <x:c r="H583" s="17" t="str">
        <x:v>I don't have an additional preference for budget.</x:v>
      </x:c>
      <x:c r="I583" s="17" t="str"/>
    </x:row>
    <x:row r="584">
      <x:c r="A584" t="str">
        <x:v>public_0050</x:v>
      </x:c>
      <x:c r="B584" t="str">
        <x:v>boundary</x:v>
      </x:c>
      <x:c r="C584" t="str">
        <x:v>medium</x:v>
      </x:c>
      <x:c r="D584" s="17" t="str">
        <x:v>after no-preference used</x:v>
      </x:c>
      <x:c r="E584" s="17" t="str">
        <x:v>feature</x:v>
      </x:c>
      <x:c r="F584" s="17" t="str">
        <x:v>constraint revealed</x:v>
      </x:c>
      <x:c r="G584" s="17" t="str">
        <x:v>EVA/Rubber sole | Shaft measures approximately 6inch from arch</x:v>
      </x:c>
      <x:c r="H584" s="17" t="str">
        <x:v>For that, what matters is: EVA/Rubber sole; Shaft measures approximately 6inch from arch.</x:v>
      </x:c>
      <x:c r="I584" s="17" t="str"/>
    </x:row>
    <x:row r="585">
      <x:c r="A585" t="str">
        <x:v>public_0050</x:v>
      </x:c>
      <x:c r="B585" t="str">
        <x:v>boundary</x:v>
      </x:c>
      <x:c r="C585" t="str">
        <x:v>medium</x:v>
      </x:c>
      <x:c r="D585" s="17" t="str">
        <x:v>after no-preference used</x:v>
      </x:c>
      <x:c r="E585" s="17" t="str">
        <x:v>use_case</x:v>
      </x:c>
      <x:c r="F585" s="17" t="str">
        <x:v>no new constraint</x:v>
      </x:c>
      <x:c r="G585" s="17" t="str"/>
      <x:c r="H585" s="17" t="str">
        <x:v>I don't have an additional preference for use_case.</x:v>
      </x:c>
      <x:c r="I585" s="17" t="str"/>
    </x:row>
    <x:row r="586">
      <x:c r="A586" t="str">
        <x:v>public_0050</x:v>
      </x:c>
      <x:c r="B586" t="str">
        <x:v>boundary</x:v>
      </x:c>
      <x:c r="C586" t="str">
        <x:v>medium</x:v>
      </x:c>
      <x:c r="D586" s="17" t="str">
        <x:v>after no-preference used</x:v>
      </x:c>
      <x:c r="E586" s="17" t="str">
        <x:v>other</x:v>
      </x:c>
      <x:c r="F586" s="17" t="str">
        <x:v>constraint revealed</x:v>
      </x:c>
      <x:c r="G586" s="17" t="str">
        <x:v>leather | 100% Leather</x:v>
      </x:c>
      <x:c r="H586" s="17" t="str">
        <x:v>For that, what matters is: leather; 100% Leather.</x:v>
      </x:c>
      <x:c r="I586" s="17" t="str"/>
    </x:row>
    <x:row r="587">
      <x:c r="A587" t="str">
        <x:v>public_0050</x:v>
      </x:c>
      <x:c r="B587" t="str">
        <x:v>boundary</x:v>
      </x:c>
      <x:c r="C587" t="str">
        <x:v>medium</x:v>
      </x:c>
      <x:c r="D587" s="17" t="str">
        <x:v>after no-preference used</x:v>
      </x:c>
      <x:c r="E587" s="17" t="str">
        <x:v>(no ask_attribute)</x:v>
      </x:c>
      <x:c r="F587" s="17" t="str">
        <x:v>agent did not ask</x:v>
      </x:c>
      <x:c r="G587" s="17" t="str"/>
      <x:c r="H587" s="17" t="str">
        <x:v>Those options are not quite right yet. Ask me about one specific attribute.</x:v>
      </x:c>
      <x:c r="I587" s="17" t="str"/>
    </x:row>
    <x:row r="588">
      <x:c r="A588" t="str">
        <x:v>public_0051</x:v>
      </x:c>
      <x:c r="B588" t="str">
        <x:v>browsing</x:v>
      </x:c>
      <x:c r="C588" t="str">
        <x:v>medium</x:v>
      </x:c>
      <x:c r="D588" s="17" t="str">
        <x:v>next ask before hit/override</x:v>
      </x:c>
      <x:c r="E588" s="17" t="str">
        <x:v>category</x:v>
      </x:c>
      <x:c r="F588" s="17" t="str">
        <x:v>no new constraint</x:v>
      </x:c>
      <x:c r="G588" s="17" t="str"/>
      <x:c r="H588" s="17" t="str">
        <x:v>I don't have an additional preference for category.</x:v>
      </x:c>
      <x:c r="I588" s="17" t="str"/>
    </x:row>
    <x:row r="589">
      <x:c r="A589" t="str">
        <x:v>public_0051</x:v>
      </x:c>
      <x:c r="B589" t="str">
        <x:v>browsing</x:v>
      </x:c>
      <x:c r="C589" t="str">
        <x:v>medium</x:v>
      </x:c>
      <x:c r="D589" s="17" t="str">
        <x:v>next ask before hit/override</x:v>
      </x:c>
      <x:c r="E589" s="17" t="str">
        <x:v>material</x:v>
      </x:c>
      <x:c r="F589" s="17" t="str">
        <x:v>no new constraint</x:v>
      </x:c>
      <x:c r="G589" s="17" t="str"/>
      <x:c r="H589" s="17" t="str">
        <x:v>I don't have an additional preference for material.</x:v>
      </x:c>
      <x:c r="I589" s="17" t="str"/>
    </x:row>
    <x:row r="590">
      <x:c r="A590" t="str">
        <x:v>public_0051</x:v>
      </x:c>
      <x:c r="B590" t="str">
        <x:v>browsing</x:v>
      </x:c>
      <x:c r="C590" t="str">
        <x:v>medium</x:v>
      </x:c>
      <x:c r="D590" s="17" t="str">
        <x:v>next ask before hit/override</x:v>
      </x:c>
      <x:c r="E590" s="17" t="str">
        <x:v>color</x:v>
      </x:c>
      <x:c r="F590" s="17" t="str">
        <x:v>no new constraint</x:v>
      </x:c>
      <x:c r="G590" s="17" t="str"/>
      <x:c r="H590" s="17" t="str">
        <x:v>I don't have an additional preference for color.</x:v>
      </x:c>
      <x:c r="I590" s="17" t="str"/>
    </x:row>
    <x:row r="591">
      <x:c r="A591" t="str">
        <x:v>public_0051</x:v>
      </x:c>
      <x:c r="B591" t="str">
        <x:v>browsing</x:v>
      </x:c>
      <x:c r="C591" t="str">
        <x:v>medium</x:v>
      </x:c>
      <x:c r="D591" s="17" t="str">
        <x:v>next ask before hit/override</x:v>
      </x:c>
      <x:c r="E591" s="17" t="str">
        <x:v>size</x:v>
      </x:c>
      <x:c r="F591" s="17" t="str">
        <x:v>no new constraint</x:v>
      </x:c>
      <x:c r="G591" s="17" t="str"/>
      <x:c r="H591" s="17" t="str">
        <x:v>I don't have an additional preference for size.</x:v>
      </x:c>
      <x:c r="I591" s="17" t="str"/>
    </x:row>
    <x:row r="592">
      <x:c r="A592" t="str">
        <x:v>public_0051</x:v>
      </x:c>
      <x:c r="B592" t="str">
        <x:v>browsing</x:v>
      </x:c>
      <x:c r="C592" t="str">
        <x:v>medium</x:v>
      </x:c>
      <x:c r="D592" s="17" t="str">
        <x:v>next ask before hit/override</x:v>
      </x:c>
      <x:c r="E592" s="17" t="str">
        <x:v>style</x:v>
      </x:c>
      <x:c r="F592" s="17" t="str">
        <x:v>no new constraint</x:v>
      </x:c>
      <x:c r="G592" s="17" t="str"/>
      <x:c r="H592" s="17" t="str">
        <x:v>I don't have an additional preference for style.</x:v>
      </x:c>
      <x:c r="I592" s="17" t="str"/>
    </x:row>
    <x:row r="593">
      <x:c r="A593" t="str">
        <x:v>public_0051</x:v>
      </x:c>
      <x:c r="B593" t="str">
        <x:v>browsing</x:v>
      </x:c>
      <x:c r="C593" t="str">
        <x:v>medium</x:v>
      </x:c>
      <x:c r="D593" s="17" t="str">
        <x:v>next ask before hit/override</x:v>
      </x:c>
      <x:c r="E593" s="17" t="str">
        <x:v>brand</x:v>
      </x:c>
      <x:c r="F593" s="17" t="str">
        <x:v>no new constraint</x:v>
      </x:c>
      <x:c r="G593" s="17" t="str"/>
      <x:c r="H593" s="17" t="str">
        <x:v>I don't have an additional preference for brand.</x:v>
      </x:c>
      <x:c r="I593" s="17" t="str"/>
    </x:row>
    <x:row r="594">
      <x:c r="A594" t="str">
        <x:v>public_0051</x:v>
      </x:c>
      <x:c r="B594" t="str">
        <x:v>browsing</x:v>
      </x:c>
      <x:c r="C594" t="str">
        <x:v>medium</x:v>
      </x:c>
      <x:c r="D594" s="17" t="str">
        <x:v>next ask before hit/override</x:v>
      </x:c>
      <x:c r="E594" s="17" t="str">
        <x:v>budget</x:v>
      </x:c>
      <x:c r="F594" s="17" t="str">
        <x:v>no new constraint</x:v>
      </x:c>
      <x:c r="G594" s="17" t="str"/>
      <x:c r="H594" s="17" t="str">
        <x:v>I don't have an additional preference for budget.</x:v>
      </x:c>
      <x:c r="I594" s="17" t="str"/>
    </x:row>
    <x:row r="595">
      <x:c r="A595" t="str">
        <x:v>public_0051</x:v>
      </x:c>
      <x:c r="B595" t="str">
        <x:v>browsing</x:v>
      </x:c>
      <x:c r="C595" t="str">
        <x:v>medium</x:v>
      </x:c>
      <x:c r="D595" s="17" t="str">
        <x:v>next ask before hit/override</x:v>
      </x:c>
      <x:c r="E595" s="17" t="str">
        <x:v>feature</x:v>
      </x:c>
      <x:c r="F595" s="17" t="str">
        <x:v>constraint revealed</x:v>
      </x:c>
      <x:c r="G595" s="17" t="str">
        <x:v>Rubber sole | Skechers Go Walk 5-True shoe is designed with high-rebound comfort pillar technology underfoot that reacts to your every step for the ultimate comfort</x:v>
      </x:c>
      <x:c r="H595" s="17" t="str">
        <x:v>For that, what matters is: Rubber sole; Skechers Go Walk 5-True shoe is designed with high-rebound comfort pillar technology underfoot that reacts to your every step for the ultimate comfort.</x:v>
      </x:c>
      <x:c r="I595" s="17" t="str"/>
    </x:row>
    <x:row r="596">
      <x:c r="A596" t="str">
        <x:v>public_0051</x:v>
      </x:c>
      <x:c r="B596" t="str">
        <x:v>browsing</x:v>
      </x:c>
      <x:c r="C596" t="str">
        <x:v>medium</x:v>
      </x:c>
      <x:c r="D596" s="17" t="str">
        <x:v>next ask before hit/override</x:v>
      </x:c>
      <x:c r="E596" s="17" t="str">
        <x:v>use_case</x:v>
      </x:c>
      <x:c r="F596" s="17" t="str">
        <x:v>no new constraint</x:v>
      </x:c>
      <x:c r="G596" s="17" t="str"/>
      <x:c r="H596" s="17" t="str">
        <x:v>I don't have an additional preference for use_case.</x:v>
      </x:c>
      <x:c r="I596" s="17" t="str"/>
    </x:row>
    <x:row r="597">
      <x:c r="A597" t="str">
        <x:v>public_0051</x:v>
      </x:c>
      <x:c r="B597" t="str">
        <x:v>browsing</x:v>
      </x:c>
      <x:c r="C597" t="str">
        <x:v>medium</x:v>
      </x:c>
      <x:c r="D597" s="17" t="str">
        <x:v>next ask before hit/override</x:v>
      </x:c>
      <x:c r="E597" s="17" t="str">
        <x:v>other</x:v>
      </x:c>
      <x:c r="F597" s="17" t="str">
        <x:v>constraint revealed</x:v>
      </x:c>
      <x:c r="G597" s="17" t="str">
        <x:v>Rubber sole | Skechers Go Walk 5-True shoe is designed with high-rebound comfort pillar technology underfoot that reacts to your every step for the ultimate comfort</x:v>
      </x:c>
      <x:c r="H597" s="17" t="str">
        <x:v>For that, what matters is: Rubber sole; Skechers Go Walk 5-True shoe is designed with high-rebound comfort pillar technology underfoot that reacts to your every step for the ultimate comfort.</x:v>
      </x:c>
      <x:c r="I597" s="17" t="str"/>
    </x:row>
    <x:row r="598">
      <x:c r="A598" t="str">
        <x:v>public_0051</x:v>
      </x:c>
      <x:c r="B598" t="str">
        <x:v>browsing</x:v>
      </x:c>
      <x:c r="C598" t="str">
        <x:v>medium</x:v>
      </x:c>
      <x:c r="D598" s="17" t="str">
        <x:v>next ask before hit/override</x:v>
      </x:c>
      <x:c r="E598" s="17" t="str">
        <x:v>(no ask_attribute)</x:v>
      </x:c>
      <x:c r="F598" s="17" t="str">
        <x:v>agent did not ask</x:v>
      </x:c>
      <x:c r="G598" s="17" t="str"/>
      <x:c r="H598" s="17" t="str">
        <x:v>Those options are not quite right yet. Ask me about one specific attribute.</x:v>
      </x:c>
      <x:c r="I598" s="17" t="str"/>
    </x:row>
    <x:row r="599">
      <x:c r="A599" t="str">
        <x:v>public_0052</x:v>
      </x:c>
      <x:c r="B599" t="str">
        <x:v>intent_override</x:v>
      </x:c>
      <x:c r="C599" t="str">
        <x:v>hard</x:v>
      </x:c>
      <x:c r="D599" s="17" t="str">
        <x:v>next ask before hit/override</x:v>
      </x:c>
      <x:c r="E599" s="17" t="str">
        <x:v>category</x:v>
      </x:c>
      <x:c r="F599" s="17" t="str">
        <x:v>no new constraint</x:v>
      </x:c>
      <x:c r="G599" s="17" t="str"/>
      <x:c r="H599" s="17" t="str">
        <x:v>I don't have an additional preference for category.</x:v>
      </x:c>
      <x:c r="I599" s="17" t="str">
        <x:v>Override message occurs automatically on turn 3 or 4 before this reply when scheduled.</x:v>
      </x:c>
    </x:row>
    <x:row r="600">
      <x:c r="A600" t="str">
        <x:v>public_0052</x:v>
      </x:c>
      <x:c r="B600" t="str">
        <x:v>intent_override</x:v>
      </x:c>
      <x:c r="C600" t="str">
        <x:v>hard</x:v>
      </x:c>
      <x:c r="D600" s="17" t="str">
        <x:v>next ask before hit/override</x:v>
      </x:c>
      <x:c r="E600" s="17" t="str">
        <x:v>material</x:v>
      </x:c>
      <x:c r="F600" s="17" t="str">
        <x:v>constraint revealed</x:v>
      </x:c>
      <x:c r="G600" s="17" t="str">
        <x:v>polyester | 60% polyester</x:v>
      </x:c>
      <x:c r="H600" s="17" t="str">
        <x:v>For that, what matters is: polyester; 60% polyester.</x:v>
      </x:c>
      <x:c r="I600" s="17" t="str">
        <x:v>Override message occurs automatically on turn 3 or 4 before this reply when scheduled.</x:v>
      </x:c>
    </x:row>
    <x:row r="601">
      <x:c r="A601" t="str">
        <x:v>public_0052</x:v>
      </x:c>
      <x:c r="B601" t="str">
        <x:v>intent_override</x:v>
      </x:c>
      <x:c r="C601" t="str">
        <x:v>hard</x:v>
      </x:c>
      <x:c r="D601" s="17" t="str">
        <x:v>next ask before hit/override</x:v>
      </x:c>
      <x:c r="E601" s="17" t="str">
        <x:v>color</x:v>
      </x:c>
      <x:c r="F601" s="17" t="str">
        <x:v>no new constraint</x:v>
      </x:c>
      <x:c r="G601" s="17" t="str"/>
      <x:c r="H601" s="17" t="str">
        <x:v>I don't have an additional preference for color.</x:v>
      </x:c>
      <x:c r="I601" s="17" t="str">
        <x:v>Override message occurs automatically on turn 3 or 4 before this reply when scheduled.</x:v>
      </x:c>
    </x:row>
    <x:row r="602">
      <x:c r="A602" t="str">
        <x:v>public_0052</x:v>
      </x:c>
      <x:c r="B602" t="str">
        <x:v>intent_override</x:v>
      </x:c>
      <x:c r="C602" t="str">
        <x:v>hard</x:v>
      </x:c>
      <x:c r="D602" s="17" t="str">
        <x:v>next ask before hit/override</x:v>
      </x:c>
      <x:c r="E602" s="17" t="str">
        <x:v>size</x:v>
      </x:c>
      <x:c r="F602" s="17" t="str">
        <x:v>no new constraint</x:v>
      </x:c>
      <x:c r="G602" s="17" t="str"/>
      <x:c r="H602" s="17" t="str">
        <x:v>I don't have an additional preference for size.</x:v>
      </x:c>
      <x:c r="I602" s="17" t="str">
        <x:v>Override message occurs automatically on turn 3 or 4 before this reply when scheduled.</x:v>
      </x:c>
    </x:row>
    <x:row r="603">
      <x:c r="A603" t="str">
        <x:v>public_0052</x:v>
      </x:c>
      <x:c r="B603" t="str">
        <x:v>intent_override</x:v>
      </x:c>
      <x:c r="C603" t="str">
        <x:v>hard</x:v>
      </x:c>
      <x:c r="D603" s="17" t="str">
        <x:v>next ask before hit/override</x:v>
      </x:c>
      <x:c r="E603" s="17" t="str">
        <x:v>style</x:v>
      </x:c>
      <x:c r="F603" s="17" t="str">
        <x:v>no new constraint</x:v>
      </x:c>
      <x:c r="G603" s="17" t="str"/>
      <x:c r="H603" s="17" t="str">
        <x:v>I don't have an additional preference for style.</x:v>
      </x:c>
      <x:c r="I603" s="17" t="str">
        <x:v>Override message occurs automatically on turn 3 or 4 before this reply when scheduled.</x:v>
      </x:c>
    </x:row>
    <x:row r="604">
      <x:c r="A604" t="str">
        <x:v>public_0052</x:v>
      </x:c>
      <x:c r="B604" t="str">
        <x:v>intent_override</x:v>
      </x:c>
      <x:c r="C604" t="str">
        <x:v>hard</x:v>
      </x:c>
      <x:c r="D604" s="17" t="str">
        <x:v>next ask before hit/override</x:v>
      </x:c>
      <x:c r="E604" s="17" t="str">
        <x:v>brand</x:v>
      </x:c>
      <x:c r="F604" s="17" t="str">
        <x:v>no new constraint</x:v>
      </x:c>
      <x:c r="G604" s="17" t="str"/>
      <x:c r="H604" s="17" t="str">
        <x:v>I don't have an additional preference for brand.</x:v>
      </x:c>
      <x:c r="I604" s="17" t="str">
        <x:v>Override message occurs automatically on turn 3 or 4 before this reply when scheduled.</x:v>
      </x:c>
    </x:row>
    <x:row r="605">
      <x:c r="A605" t="str">
        <x:v>public_0052</x:v>
      </x:c>
      <x:c r="B605" t="str">
        <x:v>intent_override</x:v>
      </x:c>
      <x:c r="C605" t="str">
        <x:v>hard</x:v>
      </x:c>
      <x:c r="D605" s="17" t="str">
        <x:v>next ask before hit/override</x:v>
      </x:c>
      <x:c r="E605" s="17" t="str">
        <x:v>budget</x:v>
      </x:c>
      <x:c r="F605" s="17" t="str">
        <x:v>no new constraint</x:v>
      </x:c>
      <x:c r="G605" s="17" t="str"/>
      <x:c r="H605" s="17" t="str">
        <x:v>I don't have an additional preference for budget.</x:v>
      </x:c>
      <x:c r="I605" s="17" t="str">
        <x:v>Override message occurs automatically on turn 3 or 4 before this reply when scheduled.</x:v>
      </x:c>
    </x:row>
    <x:row r="606">
      <x:c r="A606" t="str">
        <x:v>public_0052</x:v>
      </x:c>
      <x:c r="B606" t="str">
        <x:v>intent_override</x:v>
      </x:c>
      <x:c r="C606" t="str">
        <x:v>hard</x:v>
      </x:c>
      <x:c r="D606" s="17" t="str">
        <x:v>next ask before hit/override</x:v>
      </x:c>
      <x:c r="E606" s="17" t="str">
        <x:v>feature</x:v>
      </x:c>
      <x:c r="F606" s="17" t="str">
        <x:v>constraint revealed</x:v>
      </x:c>
      <x:c r="G606" s="17" t="str">
        <x:v>Button closure | Hand Wash Only</x:v>
      </x:c>
      <x:c r="H606" s="17" t="str">
        <x:v>For that, what matters is: Button closure; Hand Wash Only.</x:v>
      </x:c>
      <x:c r="I606" s="17" t="str">
        <x:v>Override message occurs automatically on turn 3 or 4 before this reply when scheduled.</x:v>
      </x:c>
    </x:row>
    <x:row r="607">
      <x:c r="A607" t="str">
        <x:v>public_0052</x:v>
      </x:c>
      <x:c r="B607" t="str">
        <x:v>intent_override</x:v>
      </x:c>
      <x:c r="C607" t="str">
        <x:v>hard</x:v>
      </x:c>
      <x:c r="D607" s="17" t="str">
        <x:v>next ask before hit/override</x:v>
      </x:c>
      <x:c r="E607" s="17" t="str">
        <x:v>use_case</x:v>
      </x:c>
      <x:c r="F607" s="17" t="str">
        <x:v>no new constraint</x:v>
      </x:c>
      <x:c r="G607" s="17" t="str"/>
      <x:c r="H607" s="17" t="str">
        <x:v>I don't have an additional preference for use_case.</x:v>
      </x:c>
      <x:c r="I607" s="17" t="str">
        <x:v>Override message occurs automatically on turn 3 or 4 before this reply when scheduled.</x:v>
      </x:c>
    </x:row>
    <x:row r="608">
      <x:c r="A608" t="str">
        <x:v>public_0052</x:v>
      </x:c>
      <x:c r="B608" t="str">
        <x:v>intent_override</x:v>
      </x:c>
      <x:c r="C608" t="str">
        <x:v>hard</x:v>
      </x:c>
      <x:c r="D608" s="17" t="str">
        <x:v>next ask before hit/override</x:v>
      </x:c>
      <x:c r="E608" s="17" t="str">
        <x:v>other</x:v>
      </x:c>
      <x:c r="F608" s="17" t="str">
        <x:v>constraint revealed</x:v>
      </x:c>
      <x:c r="G608" s="17" t="str">
        <x:v>polyester | 60% polyester</x:v>
      </x:c>
      <x:c r="H608" s="17" t="str">
        <x:v>For that, what matters is: polyester; 60% polyester.</x:v>
      </x:c>
      <x:c r="I608" s="17" t="str">
        <x:v>Override message occurs automatically on turn 3 or 4 before this reply when scheduled.</x:v>
      </x:c>
    </x:row>
    <x:row r="609">
      <x:c r="A609" t="str">
        <x:v>public_0052</x:v>
      </x:c>
      <x:c r="B609" t="str">
        <x:v>intent_override</x:v>
      </x:c>
      <x:c r="C609" t="str">
        <x:v>hard</x:v>
      </x:c>
      <x:c r="D609" s="17" t="str">
        <x:v>next ask before hit/override</x:v>
      </x:c>
      <x:c r="E609" s="17" t="str">
        <x:v>(no ask_attribute)</x:v>
      </x:c>
      <x:c r="F609" s="17" t="str">
        <x:v>agent did not ask</x:v>
      </x:c>
      <x:c r="G609" s="17" t="str"/>
      <x:c r="H609" s="17" t="str">
        <x:v>Those options are not quite right yet. Ask me about one specific attribute.</x:v>
      </x:c>
      <x:c r="I609" s="17" t="str">
        <x:v>Override message occurs automatically on turn 3 or 4 before this reply when scheduled.</x:v>
      </x:c>
    </x:row>
    <x:row r="610">
      <x:c r="A610" t="str">
        <x:v>public_0053</x:v>
      </x:c>
      <x:c r="B610" t="str">
        <x:v>buying</x:v>
      </x:c>
      <x:c r="C610" t="str">
        <x:v>easy</x:v>
      </x:c>
      <x:c r="D610" s="17" t="str">
        <x:v>next ask before hit/override</x:v>
      </x:c>
      <x:c r="E610" s="17" t="str">
        <x:v>category</x:v>
      </x:c>
      <x:c r="F610" s="17" t="str">
        <x:v>no new constraint</x:v>
      </x:c>
      <x:c r="G610" s="17" t="str"/>
      <x:c r="H610" s="17" t="str">
        <x:v>I don't have an additional preference for category.</x:v>
      </x:c>
      <x:c r="I610" s="17" t="str"/>
    </x:row>
    <x:row r="611">
      <x:c r="A611" t="str">
        <x:v>public_0053</x:v>
      </x:c>
      <x:c r="B611" t="str">
        <x:v>buying</x:v>
      </x:c>
      <x:c r="C611" t="str">
        <x:v>easy</x:v>
      </x:c>
      <x:c r="D611" s="17" t="str">
        <x:v>next ask before hit/override</x:v>
      </x:c>
      <x:c r="E611" s="17" t="str">
        <x:v>material</x:v>
      </x:c>
      <x:c r="F611" s="17" t="str">
        <x:v>constraint revealed</x:v>
      </x:c>
      <x:c r="G611" s="17" t="str">
        <x:v>Leather lining</x:v>
      </x:c>
      <x:c r="H611" s="17" t="str">
        <x:v>For that, what matters is: Leather lining.</x:v>
      </x:c>
      <x:c r="I611" s="17" t="str"/>
    </x:row>
    <x:row r="612">
      <x:c r="A612" t="str">
        <x:v>public_0053</x:v>
      </x:c>
      <x:c r="B612" t="str">
        <x:v>buying</x:v>
      </x:c>
      <x:c r="C612" t="str">
        <x:v>easy</x:v>
      </x:c>
      <x:c r="D612" s="17" t="str">
        <x:v>next ask before hit/override</x:v>
      </x:c>
      <x:c r="E612" s="17" t="str">
        <x:v>color</x:v>
      </x:c>
      <x:c r="F612" s="17" t="str">
        <x:v>constraint revealed</x:v>
      </x:c>
      <x:c r="G612" s="17" t="str">
        <x:v>color: black</x:v>
      </x:c>
      <x:c r="H612" s="17" t="str">
        <x:v>For that, what matters is: color: black.</x:v>
      </x:c>
      <x:c r="I612" s="17" t="str"/>
    </x:row>
    <x:row r="613">
      <x:c r="A613" t="str">
        <x:v>public_0053</x:v>
      </x:c>
      <x:c r="B613" t="str">
        <x:v>buying</x:v>
      </x:c>
      <x:c r="C613" t="str">
        <x:v>easy</x:v>
      </x:c>
      <x:c r="D613" s="17" t="str">
        <x:v>next ask before hit/override</x:v>
      </x:c>
      <x:c r="E613" s="17" t="str">
        <x:v>size</x:v>
      </x:c>
      <x:c r="F613" s="17" t="str">
        <x:v>no new constraint</x:v>
      </x:c>
      <x:c r="G613" s="17" t="str"/>
      <x:c r="H613" s="17" t="str">
        <x:v>I don't have an additional preference for size.</x:v>
      </x:c>
      <x:c r="I613" s="17" t="str"/>
    </x:row>
    <x:row r="614">
      <x:c r="A614" t="str">
        <x:v>public_0053</x:v>
      </x:c>
      <x:c r="B614" t="str">
        <x:v>buying</x:v>
      </x:c>
      <x:c r="C614" t="str">
        <x:v>easy</x:v>
      </x:c>
      <x:c r="D614" s="17" t="str">
        <x:v>next ask before hit/override</x:v>
      </x:c>
      <x:c r="E614" s="17" t="str">
        <x:v>style</x:v>
      </x:c>
      <x:c r="F614" s="17" t="str">
        <x:v>no new constraint</x:v>
      </x:c>
      <x:c r="G614" s="17" t="str"/>
      <x:c r="H614" s="17" t="str">
        <x:v>I don't have an additional preference for style.</x:v>
      </x:c>
      <x:c r="I614" s="17" t="str"/>
    </x:row>
    <x:row r="615">
      <x:c r="A615" t="str">
        <x:v>public_0053</x:v>
      </x:c>
      <x:c r="B615" t="str">
        <x:v>buying</x:v>
      </x:c>
      <x:c r="C615" t="str">
        <x:v>easy</x:v>
      </x:c>
      <x:c r="D615" s="17" t="str">
        <x:v>next ask before hit/override</x:v>
      </x:c>
      <x:c r="E615" s="17" t="str">
        <x:v>brand</x:v>
      </x:c>
      <x:c r="F615" s="17" t="str">
        <x:v>no new constraint</x:v>
      </x:c>
      <x:c r="G615" s="17" t="str"/>
      <x:c r="H615" s="17" t="str">
        <x:v>I don't have an additional preference for brand.</x:v>
      </x:c>
      <x:c r="I615" s="17" t="str"/>
    </x:row>
    <x:row r="616">
      <x:c r="A616" t="str">
        <x:v>public_0053</x:v>
      </x:c>
      <x:c r="B616" t="str">
        <x:v>buying</x:v>
      </x:c>
      <x:c r="C616" t="str">
        <x:v>easy</x:v>
      </x:c>
      <x:c r="D616" s="17" t="str">
        <x:v>next ask before hit/override</x:v>
      </x:c>
      <x:c r="E616" s="17" t="str">
        <x:v>budget</x:v>
      </x:c>
      <x:c r="F616" s="17" t="str">
        <x:v>no new constraint</x:v>
      </x:c>
      <x:c r="G616" s="17" t="str"/>
      <x:c r="H616" s="17" t="str">
        <x:v>I don't have an additional preference for budget.</x:v>
      </x:c>
      <x:c r="I616" s="17" t="str"/>
    </x:row>
    <x:row r="617">
      <x:c r="A617" t="str">
        <x:v>public_0053</x:v>
      </x:c>
      <x:c r="B617" t="str">
        <x:v>buying</x:v>
      </x:c>
      <x:c r="C617" t="str">
        <x:v>easy</x:v>
      </x:c>
      <x:c r="D617" s="17" t="str">
        <x:v>next ask before hit/override</x:v>
      </x:c>
      <x:c r="E617" s="17" t="str">
        <x:v>feature</x:v>
      </x:c>
      <x:c r="F617" s="17" t="str">
        <x:v>constraint revealed</x:v>
      </x:c>
      <x:c r="G617" s="17" t="str">
        <x:v>Dry Cloth Clean</x:v>
      </x:c>
      <x:c r="H617" s="17" t="str">
        <x:v>For that, what matters is: Dry Cloth Clean.</x:v>
      </x:c>
      <x:c r="I617" s="17" t="str"/>
    </x:row>
    <x:row r="618">
      <x:c r="A618" t="str">
        <x:v>public_0053</x:v>
      </x:c>
      <x:c r="B618" t="str">
        <x:v>buying</x:v>
      </x:c>
      <x:c r="C618" t="str">
        <x:v>easy</x:v>
      </x:c>
      <x:c r="D618" s="17" t="str">
        <x:v>next ask before hit/override</x:v>
      </x:c>
      <x:c r="E618" s="17" t="str">
        <x:v>use_case</x:v>
      </x:c>
      <x:c r="F618" s="17" t="str">
        <x:v>no new constraint</x:v>
      </x:c>
      <x:c r="G618" s="17" t="str"/>
      <x:c r="H618" s="17" t="str">
        <x:v>I don't have an additional preference for use_case.</x:v>
      </x:c>
      <x:c r="I618" s="17" t="str"/>
    </x:row>
    <x:row r="619">
      <x:c r="A619" t="str">
        <x:v>public_0053</x:v>
      </x:c>
      <x:c r="B619" t="str">
        <x:v>buying</x:v>
      </x:c>
      <x:c r="C619" t="str">
        <x:v>easy</x:v>
      </x:c>
      <x:c r="D619" s="17" t="str">
        <x:v>next ask before hit/override</x:v>
      </x:c>
      <x:c r="E619" s="17" t="str">
        <x:v>other</x:v>
      </x:c>
      <x:c r="F619" s="17" t="str">
        <x:v>constraint revealed</x:v>
      </x:c>
      <x:c r="G619" s="17" t="str">
        <x:v>color: black | Leather lining</x:v>
      </x:c>
      <x:c r="H619" s="17" t="str">
        <x:v>For that, what matters is: color: black; Leather lining.</x:v>
      </x:c>
      <x:c r="I619" s="17" t="str"/>
    </x:row>
    <x:row r="620">
      <x:c r="A620" t="str">
        <x:v>public_0053</x:v>
      </x:c>
      <x:c r="B620" t="str">
        <x:v>buying</x:v>
      </x:c>
      <x:c r="C620" t="str">
        <x:v>easy</x:v>
      </x:c>
      <x:c r="D620" s="17" t="str">
        <x:v>next ask before hit/override</x:v>
      </x:c>
      <x:c r="E620" s="17" t="str">
        <x:v>(no ask_attribute)</x:v>
      </x:c>
      <x:c r="F620" s="17" t="str">
        <x:v>agent did not ask</x:v>
      </x:c>
      <x:c r="G620" s="17" t="str"/>
      <x:c r="H620" s="17" t="str">
        <x:v>Those options are not quite right yet. Ask me about one specific attribute.</x:v>
      </x:c>
      <x:c r="I620" s="17" t="str"/>
    </x:row>
    <x:row r="621">
      <x:c r="A621" t="str">
        <x:v>public_0054</x:v>
      </x:c>
      <x:c r="B621" t="str">
        <x:v>buying</x:v>
      </x:c>
      <x:c r="C621" t="str">
        <x:v>easy</x:v>
      </x:c>
      <x:c r="D621" s="17" t="str">
        <x:v>next ask before hit/override</x:v>
      </x:c>
      <x:c r="E621" s="17" t="str">
        <x:v>category</x:v>
      </x:c>
      <x:c r="F621" s="17" t="str">
        <x:v>no new constraint</x:v>
      </x:c>
      <x:c r="G621" s="17" t="str"/>
      <x:c r="H621" s="17" t="str">
        <x:v>I don't have an additional preference for category.</x:v>
      </x:c>
      <x:c r="I621" s="17" t="str"/>
    </x:row>
    <x:row r="622">
      <x:c r="A622" t="str">
        <x:v>public_0054</x:v>
      </x:c>
      <x:c r="B622" t="str">
        <x:v>buying</x:v>
      </x:c>
      <x:c r="C622" t="str">
        <x:v>easy</x:v>
      </x:c>
      <x:c r="D622" s="17" t="str">
        <x:v>next ask before hit/override</x:v>
      </x:c>
      <x:c r="E622" s="17" t="str">
        <x:v>material</x:v>
      </x:c>
      <x:c r="F622" s="17" t="str">
        <x:v>constraint revealed</x:v>
      </x:c>
      <x:c r="G622" s="17" t="str">
        <x:v>Soft Fabric</x:v>
      </x:c>
      <x:c r="H622" s="17" t="str">
        <x:v>For that, what matters is: Soft Fabric.</x:v>
      </x:c>
      <x:c r="I622" s="17" t="str"/>
    </x:row>
    <x:row r="623">
      <x:c r="A623" t="str">
        <x:v>public_0054</x:v>
      </x:c>
      <x:c r="B623" t="str">
        <x:v>buying</x:v>
      </x:c>
      <x:c r="C623" t="str">
        <x:v>easy</x:v>
      </x:c>
      <x:c r="D623" s="17" t="str">
        <x:v>next ask before hit/override</x:v>
      </x:c>
      <x:c r="E623" s="17" t="str">
        <x:v>color</x:v>
      </x:c>
      <x:c r="F623" s="17" t="str">
        <x:v>no new constraint</x:v>
      </x:c>
      <x:c r="G623" s="17" t="str"/>
      <x:c r="H623" s="17" t="str">
        <x:v>I don't have an additional preference for color.</x:v>
      </x:c>
      <x:c r="I623" s="17" t="str"/>
    </x:row>
    <x:row r="624">
      <x:c r="A624" t="str">
        <x:v>public_0054</x:v>
      </x:c>
      <x:c r="B624" t="str">
        <x:v>buying</x:v>
      </x:c>
      <x:c r="C624" t="str">
        <x:v>easy</x:v>
      </x:c>
      <x:c r="D624" s="17" t="str">
        <x:v>next ask before hit/override</x:v>
      </x:c>
      <x:c r="E624" s="17" t="str">
        <x:v>size</x:v>
      </x:c>
      <x:c r="F624" s="17" t="str">
        <x:v>no new constraint</x:v>
      </x:c>
      <x:c r="G624" s="17" t="str"/>
      <x:c r="H624" s="17" t="str">
        <x:v>I don't have an additional preference for size.</x:v>
      </x:c>
      <x:c r="I624" s="17" t="str"/>
    </x:row>
    <x:row r="625">
      <x:c r="A625" t="str">
        <x:v>public_0054</x:v>
      </x:c>
      <x:c r="B625" t="str">
        <x:v>buying</x:v>
      </x:c>
      <x:c r="C625" t="str">
        <x:v>easy</x:v>
      </x:c>
      <x:c r="D625" s="17" t="str">
        <x:v>next ask before hit/override</x:v>
      </x:c>
      <x:c r="E625" s="17" t="str">
        <x:v>style</x:v>
      </x:c>
      <x:c r="F625" s="17" t="str">
        <x:v>no new constraint</x:v>
      </x:c>
      <x:c r="G625" s="17" t="str"/>
      <x:c r="H625" s="17" t="str">
        <x:v>I don't have an additional preference for style.</x:v>
      </x:c>
      <x:c r="I625" s="17" t="str"/>
    </x:row>
    <x:row r="626">
      <x:c r="A626" t="str">
        <x:v>public_0054</x:v>
      </x:c>
      <x:c r="B626" t="str">
        <x:v>buying</x:v>
      </x:c>
      <x:c r="C626" t="str">
        <x:v>easy</x:v>
      </x:c>
      <x:c r="D626" s="17" t="str">
        <x:v>next ask before hit/override</x:v>
      </x:c>
      <x:c r="E626" s="17" t="str">
        <x:v>brand</x:v>
      </x:c>
      <x:c r="F626" s="17" t="str">
        <x:v>no new constraint</x:v>
      </x:c>
      <x:c r="G626" s="17" t="str"/>
      <x:c r="H626" s="17" t="str">
        <x:v>I don't have an additional preference for brand.</x:v>
      </x:c>
      <x:c r="I626" s="17" t="str"/>
    </x:row>
    <x:row r="627">
      <x:c r="A627" t="str">
        <x:v>public_0054</x:v>
      </x:c>
      <x:c r="B627" t="str">
        <x:v>buying</x:v>
      </x:c>
      <x:c r="C627" t="str">
        <x:v>easy</x:v>
      </x:c>
      <x:c r="D627" s="17" t="str">
        <x:v>next ask before hit/override</x:v>
      </x:c>
      <x:c r="E627" s="17" t="str">
        <x:v>budget</x:v>
      </x:c>
      <x:c r="F627" s="17" t="str">
        <x:v>no new constraint</x:v>
      </x:c>
      <x:c r="G627" s="17" t="str"/>
      <x:c r="H627" s="17" t="str">
        <x:v>I don't have an additional preference for budget.</x:v>
      </x:c>
      <x:c r="I627" s="17" t="str"/>
    </x:row>
    <x:row r="628">
      <x:c r="A628" t="str">
        <x:v>public_0054</x:v>
      </x:c>
      <x:c r="B628" t="str">
        <x:v>buying</x:v>
      </x:c>
      <x:c r="C628" t="str">
        <x:v>easy</x:v>
      </x:c>
      <x:c r="D628" s="17" t="str">
        <x:v>next ask before hit/override</x:v>
      </x:c>
      <x:c r="E628" s="17" t="str">
        <x:v>feature</x:v>
      </x:c>
      <x:c r="F628" s="17" t="str">
        <x:v>constraint revealed</x:v>
      </x:c>
      <x:c r="G628" s="17" t="str">
        <x:v>Pull On closure | Machine Wash</x:v>
      </x:c>
      <x:c r="H628" s="17" t="str">
        <x:v>For that, what matters is: Pull On closure; Machine Wash.</x:v>
      </x:c>
      <x:c r="I628" s="17" t="str"/>
    </x:row>
    <x:row r="629">
      <x:c r="A629" t="str">
        <x:v>public_0054</x:v>
      </x:c>
      <x:c r="B629" t="str">
        <x:v>buying</x:v>
      </x:c>
      <x:c r="C629" t="str">
        <x:v>easy</x:v>
      </x:c>
      <x:c r="D629" s="17" t="str">
        <x:v>next ask before hit/override</x:v>
      </x:c>
      <x:c r="E629" s="17" t="str">
        <x:v>use_case</x:v>
      </x:c>
      <x:c r="F629" s="17" t="str">
        <x:v>no new constraint</x:v>
      </x:c>
      <x:c r="G629" s="17" t="str"/>
      <x:c r="H629" s="17" t="str">
        <x:v>I don't have an additional preference for use_case.</x:v>
      </x:c>
      <x:c r="I629" s="17" t="str"/>
    </x:row>
    <x:row r="630">
      <x:c r="A630" t="str">
        <x:v>public_0054</x:v>
      </x:c>
      <x:c r="B630" t="str">
        <x:v>buying</x:v>
      </x:c>
      <x:c r="C630" t="str">
        <x:v>easy</x:v>
      </x:c>
      <x:c r="D630" s="17" t="str">
        <x:v>next ask before hit/override</x:v>
      </x:c>
      <x:c r="E630" s="17" t="str">
        <x:v>other</x:v>
      </x:c>
      <x:c r="F630" s="17" t="str">
        <x:v>constraint revealed</x:v>
      </x:c>
      <x:c r="G630" s="17" t="str">
        <x:v>Soft Fabric | Pull On closure</x:v>
      </x:c>
      <x:c r="H630" s="17" t="str">
        <x:v>For that, what matters is: Soft Fabric; Pull On closure.</x:v>
      </x:c>
      <x:c r="I630" s="17" t="str"/>
    </x:row>
    <x:row r="631">
      <x:c r="A631" t="str">
        <x:v>public_0054</x:v>
      </x:c>
      <x:c r="B631" t="str">
        <x:v>buying</x:v>
      </x:c>
      <x:c r="C631" t="str">
        <x:v>easy</x:v>
      </x:c>
      <x:c r="D631" s="17" t="str">
        <x:v>next ask before hit/override</x:v>
      </x:c>
      <x:c r="E631" s="17" t="str">
        <x:v>(no ask_attribute)</x:v>
      </x:c>
      <x:c r="F631" s="17" t="str">
        <x:v>agent did not ask</x:v>
      </x:c>
      <x:c r="G631" s="17" t="str"/>
      <x:c r="H631" s="17" t="str">
        <x:v>Those options are not quite right yet. Ask me about one specific attribute.</x:v>
      </x:c>
      <x:c r="I631" s="17" t="str"/>
    </x:row>
    <x:row r="632">
      <x:c r="A632" t="str">
        <x:v>public_0055</x:v>
      </x:c>
      <x:c r="B632" t="str">
        <x:v>browsing</x:v>
      </x:c>
      <x:c r="C632" t="str">
        <x:v>medium</x:v>
      </x:c>
      <x:c r="D632" s="17" t="str">
        <x:v>next ask before hit/override</x:v>
      </x:c>
      <x:c r="E632" s="17" t="str">
        <x:v>category</x:v>
      </x:c>
      <x:c r="F632" s="17" t="str">
        <x:v>no new constraint</x:v>
      </x:c>
      <x:c r="G632" s="17" t="str"/>
      <x:c r="H632" s="17" t="str">
        <x:v>I don't have an additional preference for category.</x:v>
      </x:c>
      <x:c r="I632" s="17" t="str"/>
    </x:row>
    <x:row r="633">
      <x:c r="A633" t="str">
        <x:v>public_0055</x:v>
      </x:c>
      <x:c r="B633" t="str">
        <x:v>browsing</x:v>
      </x:c>
      <x:c r="C633" t="str">
        <x:v>medium</x:v>
      </x:c>
      <x:c r="D633" s="17" t="str">
        <x:v>next ask before hit/override</x:v>
      </x:c>
      <x:c r="E633" s="17" t="str">
        <x:v>material</x:v>
      </x:c>
      <x:c r="F633" s="17" t="str">
        <x:v>no new constraint</x:v>
      </x:c>
      <x:c r="G633" s="17" t="str"/>
      <x:c r="H633" s="17" t="str">
        <x:v>I don't have an additional preference for material.</x:v>
      </x:c>
      <x:c r="I633" s="17" t="str"/>
    </x:row>
    <x:row r="634">
      <x:c r="A634" t="str">
        <x:v>public_0055</x:v>
      </x:c>
      <x:c r="B634" t="str">
        <x:v>browsing</x:v>
      </x:c>
      <x:c r="C634" t="str">
        <x:v>medium</x:v>
      </x:c>
      <x:c r="D634" s="17" t="str">
        <x:v>next ask before hit/override</x:v>
      </x:c>
      <x:c r="E634" s="17" t="str">
        <x:v>color</x:v>
      </x:c>
      <x:c r="F634" s="17" t="str">
        <x:v>no new constraint</x:v>
      </x:c>
      <x:c r="G634" s="17" t="str"/>
      <x:c r="H634" s="17" t="str">
        <x:v>I don't have an additional preference for color.</x:v>
      </x:c>
      <x:c r="I634" s="17" t="str"/>
    </x:row>
    <x:row r="635">
      <x:c r="A635" t="str">
        <x:v>public_0055</x:v>
      </x:c>
      <x:c r="B635" t="str">
        <x:v>browsing</x:v>
      </x:c>
      <x:c r="C635" t="str">
        <x:v>medium</x:v>
      </x:c>
      <x:c r="D635" s="17" t="str">
        <x:v>next ask before hit/override</x:v>
      </x:c>
      <x:c r="E635" s="17" t="str">
        <x:v>size</x:v>
      </x:c>
      <x:c r="F635" s="17" t="str">
        <x:v>no new constraint</x:v>
      </x:c>
      <x:c r="G635" s="17" t="str"/>
      <x:c r="H635" s="17" t="str">
        <x:v>I don't have an additional preference for size.</x:v>
      </x:c>
      <x:c r="I635" s="17" t="str"/>
    </x:row>
    <x:row r="636">
      <x:c r="A636" t="str">
        <x:v>public_0055</x:v>
      </x:c>
      <x:c r="B636" t="str">
        <x:v>browsing</x:v>
      </x:c>
      <x:c r="C636" t="str">
        <x:v>medium</x:v>
      </x:c>
      <x:c r="D636" s="17" t="str">
        <x:v>next ask before hit/override</x:v>
      </x:c>
      <x:c r="E636" s="17" t="str">
        <x:v>style</x:v>
      </x:c>
      <x:c r="F636" s="17" t="str">
        <x:v>no new constraint</x:v>
      </x:c>
      <x:c r="G636" s="17" t="str"/>
      <x:c r="H636" s="17" t="str">
        <x:v>I don't have an additional preference for style.</x:v>
      </x:c>
      <x:c r="I636" s="17" t="str"/>
    </x:row>
    <x:row r="637">
      <x:c r="A637" t="str">
        <x:v>public_0055</x:v>
      </x:c>
      <x:c r="B637" t="str">
        <x:v>browsing</x:v>
      </x:c>
      <x:c r="C637" t="str">
        <x:v>medium</x:v>
      </x:c>
      <x:c r="D637" s="17" t="str">
        <x:v>next ask before hit/override</x:v>
      </x:c>
      <x:c r="E637" s="17" t="str">
        <x:v>brand</x:v>
      </x:c>
      <x:c r="F637" s="17" t="str">
        <x:v>no new constraint</x:v>
      </x:c>
      <x:c r="G637" s="17" t="str"/>
      <x:c r="H637" s="17" t="str">
        <x:v>I don't have an additional preference for brand.</x:v>
      </x:c>
      <x:c r="I637" s="17" t="str"/>
    </x:row>
    <x:row r="638">
      <x:c r="A638" t="str">
        <x:v>public_0055</x:v>
      </x:c>
      <x:c r="B638" t="str">
        <x:v>browsing</x:v>
      </x:c>
      <x:c r="C638" t="str">
        <x:v>medium</x:v>
      </x:c>
      <x:c r="D638" s="17" t="str">
        <x:v>next ask before hit/override</x:v>
      </x:c>
      <x:c r="E638" s="17" t="str">
        <x:v>budget</x:v>
      </x:c>
      <x:c r="F638" s="17" t="str">
        <x:v>no new constraint</x:v>
      </x:c>
      <x:c r="G638" s="17" t="str"/>
      <x:c r="H638" s="17" t="str">
        <x:v>I don't have an additional preference for budget.</x:v>
      </x:c>
      <x:c r="I638" s="17" t="str"/>
    </x:row>
    <x:row r="639">
      <x:c r="A639" t="str">
        <x:v>public_0055</x:v>
      </x:c>
      <x:c r="B639" t="str">
        <x:v>browsing</x:v>
      </x:c>
      <x:c r="C639" t="str">
        <x:v>medium</x:v>
      </x:c>
      <x:c r="D639" s="17" t="str">
        <x:v>next ask before hit/override</x:v>
      </x:c>
      <x:c r="E639" s="17" t="str">
        <x:v>feature</x:v>
      </x:c>
      <x:c r="F639" s="17" t="str">
        <x:v>constraint revealed</x:v>
      </x:c>
      <x:c r="G639" s="17" t="str">
        <x:v>100% Croslite Foam | Imported</x:v>
      </x:c>
      <x:c r="H639" s="17" t="str">
        <x:v>For that, what matters is: 100% Croslite Foam; Imported.</x:v>
      </x:c>
      <x:c r="I639" s="17" t="str"/>
    </x:row>
    <x:row r="640">
      <x:c r="A640" t="str">
        <x:v>public_0055</x:v>
      </x:c>
      <x:c r="B640" t="str">
        <x:v>browsing</x:v>
      </x:c>
      <x:c r="C640" t="str">
        <x:v>medium</x:v>
      </x:c>
      <x:c r="D640" s="17" t="str">
        <x:v>next ask before hit/override</x:v>
      </x:c>
      <x:c r="E640" s="17" t="str">
        <x:v>use_case</x:v>
      </x:c>
      <x:c r="F640" s="17" t="str">
        <x:v>no new constraint</x:v>
      </x:c>
      <x:c r="G640" s="17" t="str"/>
      <x:c r="H640" s="17" t="str">
        <x:v>I don't have an additional preference for use_case.</x:v>
      </x:c>
      <x:c r="I640" s="17" t="str"/>
    </x:row>
    <x:row r="641">
      <x:c r="A641" t="str">
        <x:v>public_0055</x:v>
      </x:c>
      <x:c r="B641" t="str">
        <x:v>browsing</x:v>
      </x:c>
      <x:c r="C641" t="str">
        <x:v>medium</x:v>
      </x:c>
      <x:c r="D641" s="17" t="str">
        <x:v>next ask before hit/override</x:v>
      </x:c>
      <x:c r="E641" s="17" t="str">
        <x:v>other</x:v>
      </x:c>
      <x:c r="F641" s="17" t="str">
        <x:v>constraint revealed</x:v>
      </x:c>
      <x:c r="G641" s="17" t="str">
        <x:v>100% Croslite Foam | Imported</x:v>
      </x:c>
      <x:c r="H641" s="17" t="str">
        <x:v>For that, what matters is: 100% Croslite Foam; Imported.</x:v>
      </x:c>
      <x:c r="I641" s="17" t="str"/>
    </x:row>
    <x:row r="642">
      <x:c r="A642" t="str">
        <x:v>public_0055</x:v>
      </x:c>
      <x:c r="B642" t="str">
        <x:v>browsing</x:v>
      </x:c>
      <x:c r="C642" t="str">
        <x:v>medium</x:v>
      </x:c>
      <x:c r="D642" s="17" t="str">
        <x:v>next ask before hit/override</x:v>
      </x:c>
      <x:c r="E642" s="17" t="str">
        <x:v>(no ask_attribute)</x:v>
      </x:c>
      <x:c r="F642" s="17" t="str">
        <x:v>agent did not ask</x:v>
      </x:c>
      <x:c r="G642" s="17" t="str"/>
      <x:c r="H642" s="17" t="str">
        <x:v>Those options are not quite right yet. Ask me about one specific attribute.</x:v>
      </x:c>
      <x:c r="I642" s="17" t="str"/>
    </x:row>
    <x:row r="643">
      <x:c r="A643" t="str">
        <x:v>public_0056</x:v>
      </x:c>
      <x:c r="B643" t="str">
        <x:v>browsing</x:v>
      </x:c>
      <x:c r="C643" t="str">
        <x:v>medium</x:v>
      </x:c>
      <x:c r="D643" s="17" t="str">
        <x:v>next ask before hit/override</x:v>
      </x:c>
      <x:c r="E643" s="17" t="str">
        <x:v>category</x:v>
      </x:c>
      <x:c r="F643" s="17" t="str">
        <x:v>no new constraint</x:v>
      </x:c>
      <x:c r="G643" s="17" t="str"/>
      <x:c r="H643" s="17" t="str">
        <x:v>I don't have an additional preference for category.</x:v>
      </x:c>
      <x:c r="I643" s="17" t="str"/>
    </x:row>
    <x:row r="644">
      <x:c r="A644" t="str">
        <x:v>public_0056</x:v>
      </x:c>
      <x:c r="B644" t="str">
        <x:v>browsing</x:v>
      </x:c>
      <x:c r="C644" t="str">
        <x:v>medium</x:v>
      </x:c>
      <x:c r="D644" s="17" t="str">
        <x:v>next ask before hit/override</x:v>
      </x:c>
      <x:c r="E644" s="17" t="str">
        <x:v>material</x:v>
      </x:c>
      <x:c r="F644" s="17" t="str">
        <x:v>constraint revealed</x:v>
      </x:c>
      <x:c r="G644" s="17" t="str">
        <x:v>cotton | Solids: 100% Cotton; Heathers: 60% Cotton, 40% Polyester</x:v>
      </x:c>
      <x:c r="H644" s="17" t="str">
        <x:v>For that, what matters is: cotton; Solids: 100% Cotton; Heathers: 60% Cotton, 40% Polyester.</x:v>
      </x:c>
      <x:c r="I644" s="17" t="str"/>
    </x:row>
    <x:row r="645">
      <x:c r="A645" t="str">
        <x:v>public_0056</x:v>
      </x:c>
      <x:c r="B645" t="str">
        <x:v>browsing</x:v>
      </x:c>
      <x:c r="C645" t="str">
        <x:v>medium</x:v>
      </x:c>
      <x:c r="D645" s="17" t="str">
        <x:v>next ask before hit/override</x:v>
      </x:c>
      <x:c r="E645" s="17" t="str">
        <x:v>color</x:v>
      </x:c>
      <x:c r="F645" s="17" t="str">
        <x:v>no new constraint</x:v>
      </x:c>
      <x:c r="G645" s="17" t="str"/>
      <x:c r="H645" s="17" t="str">
        <x:v>I don't have an additional preference for color.</x:v>
      </x:c>
      <x:c r="I645" s="17" t="str"/>
    </x:row>
    <x:row r="646">
      <x:c r="A646" t="str">
        <x:v>public_0056</x:v>
      </x:c>
      <x:c r="B646" t="str">
        <x:v>browsing</x:v>
      </x:c>
      <x:c r="C646" t="str">
        <x:v>medium</x:v>
      </x:c>
      <x:c r="D646" s="17" t="str">
        <x:v>next ask before hit/override</x:v>
      </x:c>
      <x:c r="E646" s="17" t="str">
        <x:v>size</x:v>
      </x:c>
      <x:c r="F646" s="17" t="str">
        <x:v>no new constraint</x:v>
      </x:c>
      <x:c r="G646" s="17" t="str"/>
      <x:c r="H646" s="17" t="str">
        <x:v>I don't have an additional preference for size.</x:v>
      </x:c>
      <x:c r="I646" s="17" t="str"/>
    </x:row>
    <x:row r="647">
      <x:c r="A647" t="str">
        <x:v>public_0056</x:v>
      </x:c>
      <x:c r="B647" t="str">
        <x:v>browsing</x:v>
      </x:c>
      <x:c r="C647" t="str">
        <x:v>medium</x:v>
      </x:c>
      <x:c r="D647" s="17" t="str">
        <x:v>next ask before hit/override</x:v>
      </x:c>
      <x:c r="E647" s="17" t="str">
        <x:v>style</x:v>
      </x:c>
      <x:c r="F647" s="17" t="str">
        <x:v>no new constraint</x:v>
      </x:c>
      <x:c r="G647" s="17" t="str"/>
      <x:c r="H647" s="17" t="str">
        <x:v>I don't have an additional preference for style.</x:v>
      </x:c>
      <x:c r="I647" s="17" t="str"/>
    </x:row>
    <x:row r="648">
      <x:c r="A648" t="str">
        <x:v>public_0056</x:v>
      </x:c>
      <x:c r="B648" t="str">
        <x:v>browsing</x:v>
      </x:c>
      <x:c r="C648" t="str">
        <x:v>medium</x:v>
      </x:c>
      <x:c r="D648" s="17" t="str">
        <x:v>next ask before hit/override</x:v>
      </x:c>
      <x:c r="E648" s="17" t="str">
        <x:v>brand</x:v>
      </x:c>
      <x:c r="F648" s="17" t="str">
        <x:v>no new constraint</x:v>
      </x:c>
      <x:c r="G648" s="17" t="str"/>
      <x:c r="H648" s="17" t="str">
        <x:v>I don't have an additional preference for brand.</x:v>
      </x:c>
      <x:c r="I648" s="17" t="str"/>
    </x:row>
    <x:row r="649">
      <x:c r="A649" t="str">
        <x:v>public_0056</x:v>
      </x:c>
      <x:c r="B649" t="str">
        <x:v>browsing</x:v>
      </x:c>
      <x:c r="C649" t="str">
        <x:v>medium</x:v>
      </x:c>
      <x:c r="D649" s="17" t="str">
        <x:v>next ask before hit/override</x:v>
      </x:c>
      <x:c r="E649" s="17" t="str">
        <x:v>budget</x:v>
      </x:c>
      <x:c r="F649" s="17" t="str">
        <x:v>no new constraint</x:v>
      </x:c>
      <x:c r="G649" s="17" t="str"/>
      <x:c r="H649" s="17" t="str">
        <x:v>I don't have an additional preference for budget.</x:v>
      </x:c>
      <x:c r="I649" s="17" t="str"/>
    </x:row>
    <x:row r="650">
      <x:c r="A650" t="str">
        <x:v>public_0056</x:v>
      </x:c>
      <x:c r="B650" t="str">
        <x:v>browsing</x:v>
      </x:c>
      <x:c r="C650" t="str">
        <x:v>medium</x:v>
      </x:c>
      <x:c r="D650" s="17" t="str">
        <x:v>next ask before hit/override</x:v>
      </x:c>
      <x:c r="E650" s="17" t="str">
        <x:v>feature</x:v>
      </x:c>
      <x:c r="F650" s="17" t="str">
        <x:v>constraint revealed</x:v>
      </x:c>
      <x:c r="G650" s="17" t="str">
        <x:v>Imported | No Closure closure</x:v>
      </x:c>
      <x:c r="H650" s="17" t="str">
        <x:v>For that, what matters is: Imported; No Closure closure.</x:v>
      </x:c>
      <x:c r="I650" s="17" t="str"/>
    </x:row>
    <x:row r="651">
      <x:c r="A651" t="str">
        <x:v>public_0056</x:v>
      </x:c>
      <x:c r="B651" t="str">
        <x:v>browsing</x:v>
      </x:c>
      <x:c r="C651" t="str">
        <x:v>medium</x:v>
      </x:c>
      <x:c r="D651" s="17" t="str">
        <x:v>next ask before hit/override</x:v>
      </x:c>
      <x:c r="E651" s="17" t="str">
        <x:v>use_case</x:v>
      </x:c>
      <x:c r="F651" s="17" t="str">
        <x:v>no new constraint</x:v>
      </x:c>
      <x:c r="G651" s="17" t="str"/>
      <x:c r="H651" s="17" t="str">
        <x:v>I don't have an additional preference for use_case.</x:v>
      </x:c>
      <x:c r="I651" s="17" t="str"/>
    </x:row>
    <x:row r="652">
      <x:c r="A652" t="str">
        <x:v>public_0056</x:v>
      </x:c>
      <x:c r="B652" t="str">
        <x:v>browsing</x:v>
      </x:c>
      <x:c r="C652" t="str">
        <x:v>medium</x:v>
      </x:c>
      <x:c r="D652" s="17" t="str">
        <x:v>next ask before hit/override</x:v>
      </x:c>
      <x:c r="E652" s="17" t="str">
        <x:v>other</x:v>
      </x:c>
      <x:c r="F652" s="17" t="str">
        <x:v>constraint revealed</x:v>
      </x:c>
      <x:c r="G652" s="17" t="str">
        <x:v>cotton | Solids: 100% Cotton; Heathers: 60% Cotton, 40% Polyester</x:v>
      </x:c>
      <x:c r="H652" s="17" t="str">
        <x:v>For that, what matters is: cotton; Solids: 100% Cotton; Heathers: 60% Cotton, 40% Polyester.</x:v>
      </x:c>
      <x:c r="I652" s="17" t="str"/>
    </x:row>
    <x:row r="653">
      <x:c r="A653" t="str">
        <x:v>public_0056</x:v>
      </x:c>
      <x:c r="B653" t="str">
        <x:v>browsing</x:v>
      </x:c>
      <x:c r="C653" t="str">
        <x:v>medium</x:v>
      </x:c>
      <x:c r="D653" s="17" t="str">
        <x:v>next ask before hit/override</x:v>
      </x:c>
      <x:c r="E653" s="17" t="str">
        <x:v>(no ask_attribute)</x:v>
      </x:c>
      <x:c r="F653" s="17" t="str">
        <x:v>agent did not ask</x:v>
      </x:c>
      <x:c r="G653" s="17" t="str"/>
      <x:c r="H653" s="17" t="str">
        <x:v>Those options are not quite right yet. Ask me about one specific attribute.</x:v>
      </x:c>
      <x:c r="I653" s="17" t="str"/>
    </x:row>
    <x:row r="654">
      <x:c r="A654" t="str">
        <x:v>public_0057</x:v>
      </x:c>
      <x:c r="B654" t="str">
        <x:v>browsing</x:v>
      </x:c>
      <x:c r="C654" t="str">
        <x:v>medium</x:v>
      </x:c>
      <x:c r="D654" s="17" t="str">
        <x:v>next ask before hit/override</x:v>
      </x:c>
      <x:c r="E654" s="17" t="str">
        <x:v>category</x:v>
      </x:c>
      <x:c r="F654" s="17" t="str">
        <x:v>no new constraint</x:v>
      </x:c>
      <x:c r="G654" s="17" t="str"/>
      <x:c r="H654" s="17" t="str">
        <x:v>I don't have an additional preference for category.</x:v>
      </x:c>
      <x:c r="I654" s="17" t="str"/>
    </x:row>
    <x:row r="655">
      <x:c r="A655" t="str">
        <x:v>public_0057</x:v>
      </x:c>
      <x:c r="B655" t="str">
        <x:v>browsing</x:v>
      </x:c>
      <x:c r="C655" t="str">
        <x:v>medium</x:v>
      </x:c>
      <x:c r="D655" s="17" t="str">
        <x:v>next ask before hit/override</x:v>
      </x:c>
      <x:c r="E655" s="17" t="str">
        <x:v>material</x:v>
      </x:c>
      <x:c r="F655" s="17" t="str">
        <x:v>no new constraint</x:v>
      </x:c>
      <x:c r="G655" s="17" t="str"/>
      <x:c r="H655" s="17" t="str">
        <x:v>I don't have an additional preference for material.</x:v>
      </x:c>
      <x:c r="I655" s="17" t="str"/>
    </x:row>
    <x:row r="656">
      <x:c r="A656" t="str">
        <x:v>public_0057</x:v>
      </x:c>
      <x:c r="B656" t="str">
        <x:v>browsing</x:v>
      </x:c>
      <x:c r="C656" t="str">
        <x:v>medium</x:v>
      </x:c>
      <x:c r="D656" s="17" t="str">
        <x:v>next ask before hit/override</x:v>
      </x:c>
      <x:c r="E656" s="17" t="str">
        <x:v>color</x:v>
      </x:c>
      <x:c r="F656" s="17" t="str">
        <x:v>no new constraint</x:v>
      </x:c>
      <x:c r="G656" s="17" t="str"/>
      <x:c r="H656" s="17" t="str">
        <x:v>I don't have an additional preference for color.</x:v>
      </x:c>
      <x:c r="I656" s="17" t="str"/>
    </x:row>
    <x:row r="657">
      <x:c r="A657" t="str">
        <x:v>public_0057</x:v>
      </x:c>
      <x:c r="B657" t="str">
        <x:v>browsing</x:v>
      </x:c>
      <x:c r="C657" t="str">
        <x:v>medium</x:v>
      </x:c>
      <x:c r="D657" s="17" t="str">
        <x:v>next ask before hit/override</x:v>
      </x:c>
      <x:c r="E657" s="17" t="str">
        <x:v>size</x:v>
      </x:c>
      <x:c r="F657" s="17" t="str">
        <x:v>no new constraint</x:v>
      </x:c>
      <x:c r="G657" s="17" t="str"/>
      <x:c r="H657" s="17" t="str">
        <x:v>I don't have an additional preference for size.</x:v>
      </x:c>
      <x:c r="I657" s="17" t="str"/>
    </x:row>
    <x:row r="658">
      <x:c r="A658" t="str">
        <x:v>public_0057</x:v>
      </x:c>
      <x:c r="B658" t="str">
        <x:v>browsing</x:v>
      </x:c>
      <x:c r="C658" t="str">
        <x:v>medium</x:v>
      </x:c>
      <x:c r="D658" s="17" t="str">
        <x:v>next ask before hit/override</x:v>
      </x:c>
      <x:c r="E658" s="17" t="str">
        <x:v>style</x:v>
      </x:c>
      <x:c r="F658" s="17" t="str">
        <x:v>no new constraint</x:v>
      </x:c>
      <x:c r="G658" s="17" t="str"/>
      <x:c r="H658" s="17" t="str">
        <x:v>I don't have an additional preference for style.</x:v>
      </x:c>
      <x:c r="I658" s="17" t="str"/>
    </x:row>
    <x:row r="659">
      <x:c r="A659" t="str">
        <x:v>public_0057</x:v>
      </x:c>
      <x:c r="B659" t="str">
        <x:v>browsing</x:v>
      </x:c>
      <x:c r="C659" t="str">
        <x:v>medium</x:v>
      </x:c>
      <x:c r="D659" s="17" t="str">
        <x:v>next ask before hit/override</x:v>
      </x:c>
      <x:c r="E659" s="17" t="str">
        <x:v>brand</x:v>
      </x:c>
      <x:c r="F659" s="17" t="str">
        <x:v>no new constraint</x:v>
      </x:c>
      <x:c r="G659" s="17" t="str"/>
      <x:c r="H659" s="17" t="str">
        <x:v>I don't have an additional preference for brand.</x:v>
      </x:c>
      <x:c r="I659" s="17" t="str"/>
    </x:row>
    <x:row r="660">
      <x:c r="A660" t="str">
        <x:v>public_0057</x:v>
      </x:c>
      <x:c r="B660" t="str">
        <x:v>browsing</x:v>
      </x:c>
      <x:c r="C660" t="str">
        <x:v>medium</x:v>
      </x:c>
      <x:c r="D660" s="17" t="str">
        <x:v>next ask before hit/override</x:v>
      </x:c>
      <x:c r="E660" s="17" t="str">
        <x:v>budget</x:v>
      </x:c>
      <x:c r="F660" s="17" t="str">
        <x:v>no new constraint</x:v>
      </x:c>
      <x:c r="G660" s="17" t="str"/>
      <x:c r="H660" s="17" t="str">
        <x:v>I don't have an additional preference for budget.</x:v>
      </x:c>
      <x:c r="I660" s="17" t="str"/>
    </x:row>
    <x:row r="661">
      <x:c r="A661" t="str">
        <x:v>public_0057</x:v>
      </x:c>
      <x:c r="B661" t="str">
        <x:v>browsing</x:v>
      </x:c>
      <x:c r="C661" t="str">
        <x:v>medium</x:v>
      </x:c>
      <x:c r="D661" s="17" t="str">
        <x:v>next ask before hit/override</x:v>
      </x:c>
      <x:c r="E661" s="17" t="str">
        <x:v>feature</x:v>
      </x:c>
      <x:c r="F661" s="17" t="str">
        <x:v>constraint revealed</x:v>
      </x:c>
      <x:c r="G661" s="17" t="str">
        <x:v>100% Croslite | Imported</x:v>
      </x:c>
      <x:c r="H661" s="17" t="str">
        <x:v>For that, what matters is: 100% Croslite; Imported.</x:v>
      </x:c>
      <x:c r="I661" s="17" t="str"/>
    </x:row>
    <x:row r="662">
      <x:c r="A662" t="str">
        <x:v>public_0057</x:v>
      </x:c>
      <x:c r="B662" t="str">
        <x:v>browsing</x:v>
      </x:c>
      <x:c r="C662" t="str">
        <x:v>medium</x:v>
      </x:c>
      <x:c r="D662" s="17" t="str">
        <x:v>next ask before hit/override</x:v>
      </x:c>
      <x:c r="E662" s="17" t="str">
        <x:v>use_case</x:v>
      </x:c>
      <x:c r="F662" s="17" t="str">
        <x:v>no new constraint</x:v>
      </x:c>
      <x:c r="G662" s="17" t="str"/>
      <x:c r="H662" s="17" t="str">
        <x:v>I don't have an additional preference for use_case.</x:v>
      </x:c>
      <x:c r="I662" s="17" t="str"/>
    </x:row>
    <x:row r="663">
      <x:c r="A663" t="str">
        <x:v>public_0057</x:v>
      </x:c>
      <x:c r="B663" t="str">
        <x:v>browsing</x:v>
      </x:c>
      <x:c r="C663" t="str">
        <x:v>medium</x:v>
      </x:c>
      <x:c r="D663" s="17" t="str">
        <x:v>next ask before hit/override</x:v>
      </x:c>
      <x:c r="E663" s="17" t="str">
        <x:v>other</x:v>
      </x:c>
      <x:c r="F663" s="17" t="str">
        <x:v>constraint revealed</x:v>
      </x:c>
      <x:c r="G663" s="17" t="str">
        <x:v>100% Croslite | Imported</x:v>
      </x:c>
      <x:c r="H663" s="17" t="str">
        <x:v>For that, what matters is: 100% Croslite; Imported.</x:v>
      </x:c>
      <x:c r="I663" s="17" t="str"/>
    </x:row>
    <x:row r="664">
      <x:c r="A664" t="str">
        <x:v>public_0057</x:v>
      </x:c>
      <x:c r="B664" t="str">
        <x:v>browsing</x:v>
      </x:c>
      <x:c r="C664" t="str">
        <x:v>medium</x:v>
      </x:c>
      <x:c r="D664" s="17" t="str">
        <x:v>next ask before hit/override</x:v>
      </x:c>
      <x:c r="E664" s="17" t="str">
        <x:v>(no ask_attribute)</x:v>
      </x:c>
      <x:c r="F664" s="17" t="str">
        <x:v>agent did not ask</x:v>
      </x:c>
      <x:c r="G664" s="17" t="str"/>
      <x:c r="H664" s="17" t="str">
        <x:v>Those options are not quite right yet. Ask me about one specific attribute.</x:v>
      </x:c>
      <x:c r="I664" s="17" t="str"/>
    </x:row>
    <x:row r="665">
      <x:c r="A665" t="str">
        <x:v>public_0058</x:v>
      </x:c>
      <x:c r="B665" t="str">
        <x:v>buying</x:v>
      </x:c>
      <x:c r="C665" t="str">
        <x:v>easy</x:v>
      </x:c>
      <x:c r="D665" s="17" t="str">
        <x:v>next ask before hit/override</x:v>
      </x:c>
      <x:c r="E665" s="17" t="str">
        <x:v>category</x:v>
      </x:c>
      <x:c r="F665" s="17" t="str">
        <x:v>no new constraint</x:v>
      </x:c>
      <x:c r="G665" s="17" t="str"/>
      <x:c r="H665" s="17" t="str">
        <x:v>I don't have an additional preference for category.</x:v>
      </x:c>
      <x:c r="I665" s="17" t="str"/>
    </x:row>
    <x:row r="666">
      <x:c r="A666" t="str">
        <x:v>public_0058</x:v>
      </x:c>
      <x:c r="B666" t="str">
        <x:v>buying</x:v>
      </x:c>
      <x:c r="C666" t="str">
        <x:v>easy</x:v>
      </x:c>
      <x:c r="D666" s="17" t="str">
        <x:v>next ask before hit/override</x:v>
      </x:c>
      <x:c r="E666" s="17" t="str">
        <x:v>material</x:v>
      </x:c>
      <x:c r="F666" s="17" t="str">
        <x:v>constraint revealed</x:v>
      </x:c>
      <x:c r="G666" s="17" t="str">
        <x:v>100% Polyester</x:v>
      </x:c>
      <x:c r="H666" s="17" t="str">
        <x:v>For that, what matters is: 100% Polyester.</x:v>
      </x:c>
      <x:c r="I666" s="17" t="str"/>
    </x:row>
    <x:row r="667">
      <x:c r="A667" t="str">
        <x:v>public_0058</x:v>
      </x:c>
      <x:c r="B667" t="str">
        <x:v>buying</x:v>
      </x:c>
      <x:c r="C667" t="str">
        <x:v>easy</x:v>
      </x:c>
      <x:c r="D667" s="17" t="str">
        <x:v>next ask before hit/override</x:v>
      </x:c>
      <x:c r="E667" s="17" t="str">
        <x:v>color</x:v>
      </x:c>
      <x:c r="F667" s="17" t="str">
        <x:v>no new constraint</x:v>
      </x:c>
      <x:c r="G667" s="17" t="str"/>
      <x:c r="H667" s="17" t="str">
        <x:v>I don't have an additional preference for color.</x:v>
      </x:c>
      <x:c r="I667" s="17" t="str"/>
    </x:row>
    <x:row r="668">
      <x:c r="A668" t="str">
        <x:v>public_0058</x:v>
      </x:c>
      <x:c r="B668" t="str">
        <x:v>buying</x:v>
      </x:c>
      <x:c r="C668" t="str">
        <x:v>easy</x:v>
      </x:c>
      <x:c r="D668" s="17" t="str">
        <x:v>next ask before hit/override</x:v>
      </x:c>
      <x:c r="E668" s="17" t="str">
        <x:v>size</x:v>
      </x:c>
      <x:c r="F668" s="17" t="str">
        <x:v>no new constraint</x:v>
      </x:c>
      <x:c r="G668" s="17" t="str"/>
      <x:c r="H668" s="17" t="str">
        <x:v>I don't have an additional preference for size.</x:v>
      </x:c>
      <x:c r="I668" s="17" t="str"/>
    </x:row>
    <x:row r="669">
      <x:c r="A669" t="str">
        <x:v>public_0058</x:v>
      </x:c>
      <x:c r="B669" t="str">
        <x:v>buying</x:v>
      </x:c>
      <x:c r="C669" t="str">
        <x:v>easy</x:v>
      </x:c>
      <x:c r="D669" s="17" t="str">
        <x:v>next ask before hit/override</x:v>
      </x:c>
      <x:c r="E669" s="17" t="str">
        <x:v>style</x:v>
      </x:c>
      <x:c r="F669" s="17" t="str">
        <x:v>no new constraint</x:v>
      </x:c>
      <x:c r="G669" s="17" t="str"/>
      <x:c r="H669" s="17" t="str">
        <x:v>I don't have an additional preference for style.</x:v>
      </x:c>
      <x:c r="I669" s="17" t="str"/>
    </x:row>
    <x:row r="670">
      <x:c r="A670" t="str">
        <x:v>public_0058</x:v>
      </x:c>
      <x:c r="B670" t="str">
        <x:v>buying</x:v>
      </x:c>
      <x:c r="C670" t="str">
        <x:v>easy</x:v>
      </x:c>
      <x:c r="D670" s="17" t="str">
        <x:v>next ask before hit/override</x:v>
      </x:c>
      <x:c r="E670" s="17" t="str">
        <x:v>brand</x:v>
      </x:c>
      <x:c r="F670" s="17" t="str">
        <x:v>no new constraint</x:v>
      </x:c>
      <x:c r="G670" s="17" t="str"/>
      <x:c r="H670" s="17" t="str">
        <x:v>I don't have an additional preference for brand.</x:v>
      </x:c>
      <x:c r="I670" s="17" t="str"/>
    </x:row>
    <x:row r="671">
      <x:c r="A671" t="str">
        <x:v>public_0058</x:v>
      </x:c>
      <x:c r="B671" t="str">
        <x:v>buying</x:v>
      </x:c>
      <x:c r="C671" t="str">
        <x:v>easy</x:v>
      </x:c>
      <x:c r="D671" s="17" t="str">
        <x:v>next ask before hit/override</x:v>
      </x:c>
      <x:c r="E671" s="17" t="str">
        <x:v>budget</x:v>
      </x:c>
      <x:c r="F671" s="17" t="str">
        <x:v>no new constraint</x:v>
      </x:c>
      <x:c r="G671" s="17" t="str"/>
      <x:c r="H671" s="17" t="str">
        <x:v>I don't have an additional preference for budget.</x:v>
      </x:c>
      <x:c r="I671" s="17" t="str"/>
    </x:row>
    <x:row r="672">
      <x:c r="A672" t="str">
        <x:v>public_0058</x:v>
      </x:c>
      <x:c r="B672" t="str">
        <x:v>buying</x:v>
      </x:c>
      <x:c r="C672" t="str">
        <x:v>easy</x:v>
      </x:c>
      <x:c r="D672" s="17" t="str">
        <x:v>next ask before hit/override</x:v>
      </x:c>
      <x:c r="E672" s="17" t="str">
        <x:v>feature</x:v>
      </x:c>
      <x:c r="F672" s="17" t="str">
        <x:v>constraint revealed</x:v>
      </x:c>
      <x:c r="G672" s="17" t="str">
        <x:v>Imported | Zipper closure</x:v>
      </x:c>
      <x:c r="H672" s="17" t="str">
        <x:v>For that, what matters is: Imported; Zipper closure.</x:v>
      </x:c>
      <x:c r="I672" s="17" t="str"/>
    </x:row>
    <x:row r="673">
      <x:c r="A673" t="str">
        <x:v>public_0058</x:v>
      </x:c>
      <x:c r="B673" t="str">
        <x:v>buying</x:v>
      </x:c>
      <x:c r="C673" t="str">
        <x:v>easy</x:v>
      </x:c>
      <x:c r="D673" s="17" t="str">
        <x:v>next ask before hit/override</x:v>
      </x:c>
      <x:c r="E673" s="17" t="str">
        <x:v>use_case</x:v>
      </x:c>
      <x:c r="F673" s="17" t="str">
        <x:v>no new constraint</x:v>
      </x:c>
      <x:c r="G673" s="17" t="str"/>
      <x:c r="H673" s="17" t="str">
        <x:v>I don't have an additional preference for use_case.</x:v>
      </x:c>
      <x:c r="I673" s="17" t="str"/>
    </x:row>
    <x:row r="674">
      <x:c r="A674" t="str">
        <x:v>public_0058</x:v>
      </x:c>
      <x:c r="B674" t="str">
        <x:v>buying</x:v>
      </x:c>
      <x:c r="C674" t="str">
        <x:v>easy</x:v>
      </x:c>
      <x:c r="D674" s="17" t="str">
        <x:v>next ask before hit/override</x:v>
      </x:c>
      <x:c r="E674" s="17" t="str">
        <x:v>other</x:v>
      </x:c>
      <x:c r="F674" s="17" t="str">
        <x:v>constraint revealed</x:v>
      </x:c>
      <x:c r="G674" s="17" t="str">
        <x:v>100% Polyester | Imported</x:v>
      </x:c>
      <x:c r="H674" s="17" t="str">
        <x:v>For that, what matters is: 100% Polyester; Imported.</x:v>
      </x:c>
      <x:c r="I674" s="17" t="str"/>
    </x:row>
    <x:row r="675">
      <x:c r="A675" t="str">
        <x:v>public_0058</x:v>
      </x:c>
      <x:c r="B675" t="str">
        <x:v>buying</x:v>
      </x:c>
      <x:c r="C675" t="str">
        <x:v>easy</x:v>
      </x:c>
      <x:c r="D675" s="17" t="str">
        <x:v>next ask before hit/override</x:v>
      </x:c>
      <x:c r="E675" s="17" t="str">
        <x:v>(no ask_attribute)</x:v>
      </x:c>
      <x:c r="F675" s="17" t="str">
        <x:v>agent did not ask</x:v>
      </x:c>
      <x:c r="G675" s="17" t="str"/>
      <x:c r="H675" s="17" t="str">
        <x:v>Those options are not quite right yet. Ask me about one specific attribute.</x:v>
      </x:c>
      <x:c r="I675" s="17" t="str"/>
    </x:row>
    <x:row r="676">
      <x:c r="A676" t="str">
        <x:v>public_0059</x:v>
      </x:c>
      <x:c r="B676" t="str">
        <x:v>browsing</x:v>
      </x:c>
      <x:c r="C676" t="str">
        <x:v>medium</x:v>
      </x:c>
      <x:c r="D676" s="17" t="str">
        <x:v>next ask before hit/override</x:v>
      </x:c>
      <x:c r="E676" s="17" t="str">
        <x:v>category</x:v>
      </x:c>
      <x:c r="F676" s="17" t="str">
        <x:v>no new constraint</x:v>
      </x:c>
      <x:c r="G676" s="17" t="str"/>
      <x:c r="H676" s="17" t="str">
        <x:v>I don't have an additional preference for category.</x:v>
      </x:c>
      <x:c r="I676" s="17" t="str"/>
    </x:row>
    <x:row r="677">
      <x:c r="A677" t="str">
        <x:v>public_0059</x:v>
      </x:c>
      <x:c r="B677" t="str">
        <x:v>browsing</x:v>
      </x:c>
      <x:c r="C677" t="str">
        <x:v>medium</x:v>
      </x:c>
      <x:c r="D677" s="17" t="str">
        <x:v>next ask before hit/override</x:v>
      </x:c>
      <x:c r="E677" s="17" t="str">
        <x:v>material</x:v>
      </x:c>
      <x:c r="F677" s="17" t="str">
        <x:v>constraint revealed</x:v>
      </x:c>
      <x:c r="G677" s="17" t="str">
        <x:v>nylon | 62.4% Nylon 37.6% Spandex</x:v>
      </x:c>
      <x:c r="H677" s="17" t="str">
        <x:v>For that, what matters is: nylon; 62.4% Nylon 37.6% Spandex.</x:v>
      </x:c>
      <x:c r="I677" s="17" t="str"/>
    </x:row>
    <x:row r="678">
      <x:c r="A678" t="str">
        <x:v>public_0059</x:v>
      </x:c>
      <x:c r="B678" t="str">
        <x:v>browsing</x:v>
      </x:c>
      <x:c r="C678" t="str">
        <x:v>medium</x:v>
      </x:c>
      <x:c r="D678" s="17" t="str">
        <x:v>next ask before hit/override</x:v>
      </x:c>
      <x:c r="E678" s="17" t="str">
        <x:v>color</x:v>
      </x:c>
      <x:c r="F678" s="17" t="str">
        <x:v>no new constraint</x:v>
      </x:c>
      <x:c r="G678" s="17" t="str"/>
      <x:c r="H678" s="17" t="str">
        <x:v>I don't have an additional preference for color.</x:v>
      </x:c>
      <x:c r="I678" s="17" t="str"/>
    </x:row>
    <x:row r="679">
      <x:c r="A679" t="str">
        <x:v>public_0059</x:v>
      </x:c>
      <x:c r="B679" t="str">
        <x:v>browsing</x:v>
      </x:c>
      <x:c r="C679" t="str">
        <x:v>medium</x:v>
      </x:c>
      <x:c r="D679" s="17" t="str">
        <x:v>next ask before hit/override</x:v>
      </x:c>
      <x:c r="E679" s="17" t="str">
        <x:v>size</x:v>
      </x:c>
      <x:c r="F679" s="17" t="str">
        <x:v>no new constraint</x:v>
      </x:c>
      <x:c r="G679" s="17" t="str"/>
      <x:c r="H679" s="17" t="str">
        <x:v>I don't have an additional preference for size.</x:v>
      </x:c>
      <x:c r="I679" s="17" t="str"/>
    </x:row>
    <x:row r="680">
      <x:c r="A680" t="str">
        <x:v>public_0059</x:v>
      </x:c>
      <x:c r="B680" t="str">
        <x:v>browsing</x:v>
      </x:c>
      <x:c r="C680" t="str">
        <x:v>medium</x:v>
      </x:c>
      <x:c r="D680" s="17" t="str">
        <x:v>next ask before hit/override</x:v>
      </x:c>
      <x:c r="E680" s="17" t="str">
        <x:v>style</x:v>
      </x:c>
      <x:c r="F680" s="17" t="str">
        <x:v>no new constraint</x:v>
      </x:c>
      <x:c r="G680" s="17" t="str"/>
      <x:c r="H680" s="17" t="str">
        <x:v>I don't have an additional preference for style.</x:v>
      </x:c>
      <x:c r="I680" s="17" t="str"/>
    </x:row>
    <x:row r="681">
      <x:c r="A681" t="str">
        <x:v>public_0059</x:v>
      </x:c>
      <x:c r="B681" t="str">
        <x:v>browsing</x:v>
      </x:c>
      <x:c r="C681" t="str">
        <x:v>medium</x:v>
      </x:c>
      <x:c r="D681" s="17" t="str">
        <x:v>next ask before hit/override</x:v>
      </x:c>
      <x:c r="E681" s="17" t="str">
        <x:v>brand</x:v>
      </x:c>
      <x:c r="F681" s="17" t="str">
        <x:v>no new constraint</x:v>
      </x:c>
      <x:c r="G681" s="17" t="str"/>
      <x:c r="H681" s="17" t="str">
        <x:v>I don't have an additional preference for brand.</x:v>
      </x:c>
      <x:c r="I681" s="17" t="str"/>
    </x:row>
    <x:row r="682">
      <x:c r="A682" t="str">
        <x:v>public_0059</x:v>
      </x:c>
      <x:c r="B682" t="str">
        <x:v>browsing</x:v>
      </x:c>
      <x:c r="C682" t="str">
        <x:v>medium</x:v>
      </x:c>
      <x:c r="D682" s="17" t="str">
        <x:v>next ask before hit/override</x:v>
      </x:c>
      <x:c r="E682" s="17" t="str">
        <x:v>budget</x:v>
      </x:c>
      <x:c r="F682" s="17" t="str">
        <x:v>no new constraint</x:v>
      </x:c>
      <x:c r="G682" s="17" t="str"/>
      <x:c r="H682" s="17" t="str">
        <x:v>I don't have an additional preference for budget.</x:v>
      </x:c>
      <x:c r="I682" s="17" t="str"/>
    </x:row>
    <x:row r="683">
      <x:c r="A683" t="str">
        <x:v>public_0059</x:v>
      </x:c>
      <x:c r="B683" t="str">
        <x:v>browsing</x:v>
      </x:c>
      <x:c r="C683" t="str">
        <x:v>medium</x:v>
      </x:c>
      <x:c r="D683" s="17" t="str">
        <x:v>next ask before hit/override</x:v>
      </x:c>
      <x:c r="E683" s="17" t="str">
        <x:v>feature</x:v>
      </x:c>
      <x:c r="F683" s="17" t="str">
        <x:v>constraint revealed</x:v>
      </x:c>
      <x:c r="G683" s="17" t="str">
        <x:v>Imported | Pull On closure</x:v>
      </x:c>
      <x:c r="H683" s="17" t="str">
        <x:v>For that, what matters is: Imported; Pull On closure.</x:v>
      </x:c>
      <x:c r="I683" s="17" t="str"/>
    </x:row>
    <x:row r="684">
      <x:c r="A684" t="str">
        <x:v>public_0059</x:v>
      </x:c>
      <x:c r="B684" t="str">
        <x:v>browsing</x:v>
      </x:c>
      <x:c r="C684" t="str">
        <x:v>medium</x:v>
      </x:c>
      <x:c r="D684" s="17" t="str">
        <x:v>next ask before hit/override</x:v>
      </x:c>
      <x:c r="E684" s="17" t="str">
        <x:v>use_case</x:v>
      </x:c>
      <x:c r="F684" s="17" t="str">
        <x:v>no new constraint</x:v>
      </x:c>
      <x:c r="G684" s="17" t="str"/>
      <x:c r="H684" s="17" t="str">
        <x:v>I don't have an additional preference for use_case.</x:v>
      </x:c>
      <x:c r="I684" s="17" t="str"/>
    </x:row>
    <x:row r="685">
      <x:c r="A685" t="str">
        <x:v>public_0059</x:v>
      </x:c>
      <x:c r="B685" t="str">
        <x:v>browsing</x:v>
      </x:c>
      <x:c r="C685" t="str">
        <x:v>medium</x:v>
      </x:c>
      <x:c r="D685" s="17" t="str">
        <x:v>next ask before hit/override</x:v>
      </x:c>
      <x:c r="E685" s="17" t="str">
        <x:v>other</x:v>
      </x:c>
      <x:c r="F685" s="17" t="str">
        <x:v>constraint revealed</x:v>
      </x:c>
      <x:c r="G685" s="17" t="str">
        <x:v>nylon | 62.4% Nylon 37.6% Spandex</x:v>
      </x:c>
      <x:c r="H685" s="17" t="str">
        <x:v>For that, what matters is: nylon; 62.4% Nylon 37.6% Spandex.</x:v>
      </x:c>
      <x:c r="I685" s="17" t="str"/>
    </x:row>
    <x:row r="686">
      <x:c r="A686" t="str">
        <x:v>public_0059</x:v>
      </x:c>
      <x:c r="B686" t="str">
        <x:v>browsing</x:v>
      </x:c>
      <x:c r="C686" t="str">
        <x:v>medium</x:v>
      </x:c>
      <x:c r="D686" s="17" t="str">
        <x:v>next ask before hit/override</x:v>
      </x:c>
      <x:c r="E686" s="17" t="str">
        <x:v>(no ask_attribute)</x:v>
      </x:c>
      <x:c r="F686" s="17" t="str">
        <x:v>agent did not ask</x:v>
      </x:c>
      <x:c r="G686" s="17" t="str"/>
      <x:c r="H686" s="17" t="str">
        <x:v>Those options are not quite right yet. Ask me about one specific attribute.</x:v>
      </x:c>
      <x:c r="I686" s="17" t="str"/>
    </x:row>
    <x:row r="687">
      <x:c r="A687" t="str">
        <x:v>public_0060</x:v>
      </x:c>
      <x:c r="B687" t="str">
        <x:v>browsing</x:v>
      </x:c>
      <x:c r="C687" t="str">
        <x:v>medium</x:v>
      </x:c>
      <x:c r="D687" s="17" t="str">
        <x:v>next ask before hit/override</x:v>
      </x:c>
      <x:c r="E687" s="17" t="str">
        <x:v>category</x:v>
      </x:c>
      <x:c r="F687" s="17" t="str">
        <x:v>no new constraint</x:v>
      </x:c>
      <x:c r="G687" s="17" t="str"/>
      <x:c r="H687" s="17" t="str">
        <x:v>I don't have an additional preference for category.</x:v>
      </x:c>
      <x:c r="I687" s="17" t="str"/>
    </x:row>
    <x:row r="688">
      <x:c r="A688" t="str">
        <x:v>public_0060</x:v>
      </x:c>
      <x:c r="B688" t="str">
        <x:v>browsing</x:v>
      </x:c>
      <x:c r="C688" t="str">
        <x:v>medium</x:v>
      </x:c>
      <x:c r="D688" s="17" t="str">
        <x:v>next ask before hit/override</x:v>
      </x:c>
      <x:c r="E688" s="17" t="str">
        <x:v>material</x:v>
      </x:c>
      <x:c r="F688" s="17" t="str">
        <x:v>constraint revealed</x:v>
      </x:c>
      <x:c r="G688" s="17" t="str">
        <x:v>cotton | 55% Cotton, 45% Polyester</x:v>
      </x:c>
      <x:c r="H688" s="17" t="str">
        <x:v>For that, what matters is: cotton; 55% Cotton, 45% Polyester.</x:v>
      </x:c>
      <x:c r="I688" s="17" t="str"/>
    </x:row>
    <x:row r="689">
      <x:c r="A689" t="str">
        <x:v>public_0060</x:v>
      </x:c>
      <x:c r="B689" t="str">
        <x:v>browsing</x:v>
      </x:c>
      <x:c r="C689" t="str">
        <x:v>medium</x:v>
      </x:c>
      <x:c r="D689" s="17" t="str">
        <x:v>next ask before hit/override</x:v>
      </x:c>
      <x:c r="E689" s="17" t="str">
        <x:v>color</x:v>
      </x:c>
      <x:c r="F689" s="17" t="str">
        <x:v>no new constraint</x:v>
      </x:c>
      <x:c r="G689" s="17" t="str"/>
      <x:c r="H689" s="17" t="str">
        <x:v>I don't have an additional preference for color.</x:v>
      </x:c>
      <x:c r="I689" s="17" t="str"/>
    </x:row>
    <x:row r="690">
      <x:c r="A690" t="str">
        <x:v>public_0060</x:v>
      </x:c>
      <x:c r="B690" t="str">
        <x:v>browsing</x:v>
      </x:c>
      <x:c r="C690" t="str">
        <x:v>medium</x:v>
      </x:c>
      <x:c r="D690" s="17" t="str">
        <x:v>next ask before hit/override</x:v>
      </x:c>
      <x:c r="E690" s="17" t="str">
        <x:v>size</x:v>
      </x:c>
      <x:c r="F690" s="17" t="str">
        <x:v>no new constraint</x:v>
      </x:c>
      <x:c r="G690" s="17" t="str"/>
      <x:c r="H690" s="17" t="str">
        <x:v>I don't have an additional preference for size.</x:v>
      </x:c>
      <x:c r="I690" s="17" t="str"/>
    </x:row>
    <x:row r="691">
      <x:c r="A691" t="str">
        <x:v>public_0060</x:v>
      </x:c>
      <x:c r="B691" t="str">
        <x:v>browsing</x:v>
      </x:c>
      <x:c r="C691" t="str">
        <x:v>medium</x:v>
      </x:c>
      <x:c r="D691" s="17" t="str">
        <x:v>next ask before hit/override</x:v>
      </x:c>
      <x:c r="E691" s="17" t="str">
        <x:v>style</x:v>
      </x:c>
      <x:c r="F691" s="17" t="str">
        <x:v>no new constraint</x:v>
      </x:c>
      <x:c r="G691" s="17" t="str"/>
      <x:c r="H691" s="17" t="str">
        <x:v>I don't have an additional preference for style.</x:v>
      </x:c>
      <x:c r="I691" s="17" t="str"/>
    </x:row>
    <x:row r="692">
      <x:c r="A692" t="str">
        <x:v>public_0060</x:v>
      </x:c>
      <x:c r="B692" t="str">
        <x:v>browsing</x:v>
      </x:c>
      <x:c r="C692" t="str">
        <x:v>medium</x:v>
      </x:c>
      <x:c r="D692" s="17" t="str">
        <x:v>next ask before hit/override</x:v>
      </x:c>
      <x:c r="E692" s="17" t="str">
        <x:v>brand</x:v>
      </x:c>
      <x:c r="F692" s="17" t="str">
        <x:v>no new constraint</x:v>
      </x:c>
      <x:c r="G692" s="17" t="str"/>
      <x:c r="H692" s="17" t="str">
        <x:v>I don't have an additional preference for brand.</x:v>
      </x:c>
      <x:c r="I692" s="17" t="str"/>
    </x:row>
    <x:row r="693">
      <x:c r="A693" t="str">
        <x:v>public_0060</x:v>
      </x:c>
      <x:c r="B693" t="str">
        <x:v>browsing</x:v>
      </x:c>
      <x:c r="C693" t="str">
        <x:v>medium</x:v>
      </x:c>
      <x:c r="D693" s="17" t="str">
        <x:v>next ask before hit/override</x:v>
      </x:c>
      <x:c r="E693" s="17" t="str">
        <x:v>budget</x:v>
      </x:c>
      <x:c r="F693" s="17" t="str">
        <x:v>no new constraint</x:v>
      </x:c>
      <x:c r="G693" s="17" t="str"/>
      <x:c r="H693" s="17" t="str">
        <x:v>I don't have an additional preference for budget.</x:v>
      </x:c>
      <x:c r="I693" s="17" t="str"/>
    </x:row>
    <x:row r="694">
      <x:c r="A694" t="str">
        <x:v>public_0060</x:v>
      </x:c>
      <x:c r="B694" t="str">
        <x:v>browsing</x:v>
      </x:c>
      <x:c r="C694" t="str">
        <x:v>medium</x:v>
      </x:c>
      <x:c r="D694" s="17" t="str">
        <x:v>next ask before hit/override</x:v>
      </x:c>
      <x:c r="E694" s="17" t="str">
        <x:v>feature</x:v>
      </x:c>
      <x:c r="F694" s="17" t="str">
        <x:v>constraint revealed</x:v>
      </x:c>
      <x:c r="G694" s="17" t="str">
        <x:v>Imported | Drawstring Waist closure</x:v>
      </x:c>
      <x:c r="H694" s="17" t="str">
        <x:v>For that, what matters is: Imported; Drawstring Waist closure.</x:v>
      </x:c>
      <x:c r="I694" s="17" t="str"/>
    </x:row>
    <x:row r="695">
      <x:c r="A695" t="str">
        <x:v>public_0060</x:v>
      </x:c>
      <x:c r="B695" t="str">
        <x:v>browsing</x:v>
      </x:c>
      <x:c r="C695" t="str">
        <x:v>medium</x:v>
      </x:c>
      <x:c r="D695" s="17" t="str">
        <x:v>next ask before hit/override</x:v>
      </x:c>
      <x:c r="E695" s="17" t="str">
        <x:v>use_case</x:v>
      </x:c>
      <x:c r="F695" s="17" t="str">
        <x:v>no new constraint</x:v>
      </x:c>
      <x:c r="G695" s="17" t="str"/>
      <x:c r="H695" s="17" t="str">
        <x:v>I don't have an additional preference for use_case.</x:v>
      </x:c>
      <x:c r="I695" s="17" t="str"/>
    </x:row>
    <x:row r="696">
      <x:c r="A696" t="str">
        <x:v>public_0060</x:v>
      </x:c>
      <x:c r="B696" t="str">
        <x:v>browsing</x:v>
      </x:c>
      <x:c r="C696" t="str">
        <x:v>medium</x:v>
      </x:c>
      <x:c r="D696" s="17" t="str">
        <x:v>next ask before hit/override</x:v>
      </x:c>
      <x:c r="E696" s="17" t="str">
        <x:v>other</x:v>
      </x:c>
      <x:c r="F696" s="17" t="str">
        <x:v>constraint revealed</x:v>
      </x:c>
      <x:c r="G696" s="17" t="str">
        <x:v>cotton | 55% Cotton, 45% Polyester</x:v>
      </x:c>
      <x:c r="H696" s="17" t="str">
        <x:v>For that, what matters is: cotton; 55% Cotton, 45% Polyester.</x:v>
      </x:c>
      <x:c r="I696" s="17" t="str"/>
    </x:row>
    <x:row r="697">
      <x:c r="A697" t="str">
        <x:v>public_0060</x:v>
      </x:c>
      <x:c r="B697" t="str">
        <x:v>browsing</x:v>
      </x:c>
      <x:c r="C697" t="str">
        <x:v>medium</x:v>
      </x:c>
      <x:c r="D697" s="17" t="str">
        <x:v>next ask before hit/override</x:v>
      </x:c>
      <x:c r="E697" s="17" t="str">
        <x:v>(no ask_attribute)</x:v>
      </x:c>
      <x:c r="F697" s="17" t="str">
        <x:v>agent did not ask</x:v>
      </x:c>
      <x:c r="G697" s="17" t="str"/>
      <x:c r="H697" s="17" t="str">
        <x:v>Those options are not quite right yet. Ask me about one specific attribute.</x:v>
      </x:c>
      <x:c r="I697" s="17" t="str"/>
    </x:row>
    <x:row r="698">
      <x:c r="A698" t="str">
        <x:v>public_0061</x:v>
      </x:c>
      <x:c r="B698" t="str">
        <x:v>buying</x:v>
      </x:c>
      <x:c r="C698" t="str">
        <x:v>easy</x:v>
      </x:c>
      <x:c r="D698" s="17" t="str">
        <x:v>next ask before hit/override</x:v>
      </x:c>
      <x:c r="E698" s="17" t="str">
        <x:v>category</x:v>
      </x:c>
      <x:c r="F698" s="17" t="str">
        <x:v>no new constraint</x:v>
      </x:c>
      <x:c r="G698" s="17" t="str"/>
      <x:c r="H698" s="17" t="str">
        <x:v>I don't have an additional preference for category.</x:v>
      </x:c>
      <x:c r="I698" s="17" t="str"/>
    </x:row>
    <x:row r="699">
      <x:c r="A699" t="str">
        <x:v>public_0061</x:v>
      </x:c>
      <x:c r="B699" t="str">
        <x:v>buying</x:v>
      </x:c>
      <x:c r="C699" t="str">
        <x:v>easy</x:v>
      </x:c>
      <x:c r="D699" s="17" t="str">
        <x:v>next ask before hit/override</x:v>
      </x:c>
      <x:c r="E699" s="17" t="str">
        <x:v>material</x:v>
      </x:c>
      <x:c r="F699" s="17" t="str">
        <x:v>no new constraint</x:v>
      </x:c>
      <x:c r="G699" s="17" t="str"/>
      <x:c r="H699" s="17" t="str">
        <x:v>I don't have an additional preference for material.</x:v>
      </x:c>
      <x:c r="I699" s="17" t="str"/>
    </x:row>
    <x:row r="700">
      <x:c r="A700" t="str">
        <x:v>public_0061</x:v>
      </x:c>
      <x:c r="B700" t="str">
        <x:v>buying</x:v>
      </x:c>
      <x:c r="C700" t="str">
        <x:v>easy</x:v>
      </x:c>
      <x:c r="D700" s="17" t="str">
        <x:v>next ask before hit/override</x:v>
      </x:c>
      <x:c r="E700" s="17" t="str">
        <x:v>color</x:v>
      </x:c>
      <x:c r="F700" s="17" t="str">
        <x:v>constraint revealed</x:v>
      </x:c>
      <x:c r="G700" s="17" t="str">
        <x:v>color: black</x:v>
      </x:c>
      <x:c r="H700" s="17" t="str">
        <x:v>For that, what matters is: color: black.</x:v>
      </x:c>
      <x:c r="I700" s="17" t="str"/>
    </x:row>
    <x:row r="701">
      <x:c r="A701" t="str">
        <x:v>public_0061</x:v>
      </x:c>
      <x:c r="B701" t="str">
        <x:v>buying</x:v>
      </x:c>
      <x:c r="C701" t="str">
        <x:v>easy</x:v>
      </x:c>
      <x:c r="D701" s="17" t="str">
        <x:v>next ask before hit/override</x:v>
      </x:c>
      <x:c r="E701" s="17" t="str">
        <x:v>size</x:v>
      </x:c>
      <x:c r="F701" s="17" t="str">
        <x:v>constraint revealed</x:v>
      </x:c>
      <x:c r="G701" s="17" t="str">
        <x:v>Sold by piece! 14g nose hoop ring size: 14 gauge (ring thickness: 1.6mm), inner diameter 6mm (15/64" ).Gauge means the thickness of the hoop.Please decide the gauge firstly (measur</x:v>
      </x:c>
      <x:c r="H701" s="17" t="str">
        <x:v>For that, what matters is: Sold by piece! 14g nose hoop ring size: 14 gauge (ring thickness: 1.6mm), inner diameter 6mm (15/64" ).Gauge means the thickness of the hoop.Please decide the gauge firstly (measur.</x:v>
      </x:c>
      <x:c r="I701" s="17" t="str"/>
    </x:row>
    <x:row r="702">
      <x:c r="A702" t="str">
        <x:v>public_0061</x:v>
      </x:c>
      <x:c r="B702" t="str">
        <x:v>buying</x:v>
      </x:c>
      <x:c r="C702" t="str">
        <x:v>easy</x:v>
      </x:c>
      <x:c r="D702" s="17" t="str">
        <x:v>next ask before hit/override</x:v>
      </x:c>
      <x:c r="E702" s="17" t="str">
        <x:v>style</x:v>
      </x:c>
      <x:c r="F702" s="17" t="str">
        <x:v>no new constraint</x:v>
      </x:c>
      <x:c r="G702" s="17" t="str"/>
      <x:c r="H702" s="17" t="str">
        <x:v>I don't have an additional preference for style.</x:v>
      </x:c>
      <x:c r="I702" s="17" t="str"/>
    </x:row>
    <x:row r="703">
      <x:c r="A703" t="str">
        <x:v>public_0061</x:v>
      </x:c>
      <x:c r="B703" t="str">
        <x:v>buying</x:v>
      </x:c>
      <x:c r="C703" t="str">
        <x:v>easy</x:v>
      </x:c>
      <x:c r="D703" s="17" t="str">
        <x:v>next ask before hit/override</x:v>
      </x:c>
      <x:c r="E703" s="17" t="str">
        <x:v>brand</x:v>
      </x:c>
      <x:c r="F703" s="17" t="str">
        <x:v>no new constraint</x:v>
      </x:c>
      <x:c r="G703" s="17" t="str"/>
      <x:c r="H703" s="17" t="str">
        <x:v>I don't have an additional preference for brand.</x:v>
      </x:c>
      <x:c r="I703" s="17" t="str"/>
    </x:row>
    <x:row r="704">
      <x:c r="A704" t="str">
        <x:v>public_0061</x:v>
      </x:c>
      <x:c r="B704" t="str">
        <x:v>buying</x:v>
      </x:c>
      <x:c r="C704" t="str">
        <x:v>easy</x:v>
      </x:c>
      <x:c r="D704" s="17" t="str">
        <x:v>next ask before hit/override</x:v>
      </x:c>
      <x:c r="E704" s="17" t="str">
        <x:v>budget</x:v>
      </x:c>
      <x:c r="F704" s="17" t="str">
        <x:v>no new constraint</x:v>
      </x:c>
      <x:c r="G704" s="17" t="str"/>
      <x:c r="H704" s="17" t="str">
        <x:v>I don't have an additional preference for budget.</x:v>
      </x:c>
      <x:c r="I704" s="17" t="str"/>
    </x:row>
    <x:row r="705">
      <x:c r="A705" t="str">
        <x:v>public_0061</x:v>
      </x:c>
      <x:c r="B705" t="str">
        <x:v>buying</x:v>
      </x:c>
      <x:c r="C705" t="str">
        <x:v>easy</x:v>
      </x:c>
      <x:c r="D705" s="17" t="str">
        <x:v>next ask before hit/override</x:v>
      </x:c>
      <x:c r="E705" s="17" t="str">
        <x:v>feature</x:v>
      </x:c>
      <x:c r="F705" s="17" t="str">
        <x:v>constraint revealed</x:v>
      </x:c>
      <x:c r="G705" s="17" t="str">
        <x:v>This hinged nose ring hoop is very easy to put in and close and you can't see the seams, comfortable to wear without sharp edge. It spins completely, makes for easy cleaning. You c</x:v>
      </x:c>
      <x:c r="H705" s="17" t="str">
        <x:v>For that, what matters is: This hinged nose ring hoop is very easy to put in and close and you can't see the seams, comfortable to wear without sharp edge. It spins completely, makes for easy cleaning. You c.</x:v>
      </x:c>
      <x:c r="I705" s="17" t="str"/>
    </x:row>
    <x:row r="706">
      <x:c r="A706" t="str">
        <x:v>public_0061</x:v>
      </x:c>
      <x:c r="B706" t="str">
        <x:v>buying</x:v>
      </x:c>
      <x:c r="C706" t="str">
        <x:v>easy</x:v>
      </x:c>
      <x:c r="D706" s="17" t="str">
        <x:v>next ask before hit/override</x:v>
      </x:c>
      <x:c r="E706" s="17" t="str">
        <x:v>use_case</x:v>
      </x:c>
      <x:c r="F706" s="17" t="str">
        <x:v>no new constraint</x:v>
      </x:c>
      <x:c r="G706" s="17" t="str"/>
      <x:c r="H706" s="17" t="str">
        <x:v>I don't have an additional preference for use_case.</x:v>
      </x:c>
      <x:c r="I706" s="17" t="str"/>
    </x:row>
    <x:row r="707">
      <x:c r="A707" t="str">
        <x:v>public_0061</x:v>
      </x:c>
      <x:c r="B707" t="str">
        <x:v>buying</x:v>
      </x:c>
      <x:c r="C707" t="str">
        <x:v>easy</x:v>
      </x:c>
      <x:c r="D707" s="17" t="str">
        <x:v>next ask before hit/override</x:v>
      </x:c>
      <x:c r="E707" s="17" t="str">
        <x:v>other</x:v>
      </x:c>
      <x:c r="F707" s="17" t="str">
        <x:v>constraint revealed</x:v>
      </x:c>
      <x:c r="G707" s="17" t="str">
        <x:v>color: black | Sold by piece! 14g nose hoop ring size: 14 gauge (ring thickness: 1.6mm), inner diameter 6mm (15/64" ).Gauge means the thickness of the hoop.Please decide the gauge firstly (measur</x:v>
      </x:c>
      <x:c r="H707" s="17" t="str">
        <x:v>For that, what matters is: color: black; Sold by piece! 14g nose hoop ring size: 14 gauge (ring thickness: 1.6mm), inner diameter 6mm (15/64" ).Gauge means the thickness of the hoop.Please decide the gauge firstly (measur.</x:v>
      </x:c>
      <x:c r="I707" s="17" t="str"/>
    </x:row>
    <x:row r="708">
      <x:c r="A708" t="str">
        <x:v>public_0061</x:v>
      </x:c>
      <x:c r="B708" t="str">
        <x:v>buying</x:v>
      </x:c>
      <x:c r="C708" t="str">
        <x:v>easy</x:v>
      </x:c>
      <x:c r="D708" s="17" t="str">
        <x:v>next ask before hit/override</x:v>
      </x:c>
      <x:c r="E708" s="17" t="str">
        <x:v>(no ask_attribute)</x:v>
      </x:c>
      <x:c r="F708" s="17" t="str">
        <x:v>agent did not ask</x:v>
      </x:c>
      <x:c r="G708" s="17" t="str"/>
      <x:c r="H708" s="17" t="str">
        <x:v>Those options are not quite right yet. Ask me about one specific attribute.</x:v>
      </x:c>
      <x:c r="I708" s="17" t="str"/>
    </x:row>
    <x:row r="709">
      <x:c r="A709" t="str">
        <x:v>public_0062</x:v>
      </x:c>
      <x:c r="B709" t="str">
        <x:v>browsing</x:v>
      </x:c>
      <x:c r="C709" t="str">
        <x:v>medium</x:v>
      </x:c>
      <x:c r="D709" s="17" t="str">
        <x:v>next ask before hit/override</x:v>
      </x:c>
      <x:c r="E709" s="17" t="str">
        <x:v>category</x:v>
      </x:c>
      <x:c r="F709" s="17" t="str">
        <x:v>no new constraint</x:v>
      </x:c>
      <x:c r="G709" s="17" t="str"/>
      <x:c r="H709" s="17" t="str">
        <x:v>I don't have an additional preference for category.</x:v>
      </x:c>
      <x:c r="I709" s="17" t="str"/>
    </x:row>
    <x:row r="710">
      <x:c r="A710" t="str">
        <x:v>public_0062</x:v>
      </x:c>
      <x:c r="B710" t="str">
        <x:v>browsing</x:v>
      </x:c>
      <x:c r="C710" t="str">
        <x:v>medium</x:v>
      </x:c>
      <x:c r="D710" s="17" t="str">
        <x:v>next ask before hit/override</x:v>
      </x:c>
      <x:c r="E710" s="17" t="str">
        <x:v>material</x:v>
      </x:c>
      <x:c r="F710" s="17" t="str">
        <x:v>constraint revealed</x:v>
      </x:c>
      <x:c r="G710" s="17" t="str">
        <x:v>fabric | Fabric: 70%Cotton, 28.5%Polyester, 1.5%Spandex</x:v>
      </x:c>
      <x:c r="H710" s="17" t="str">
        <x:v>For that, what matters is: fabric; Fabric: 70%Cotton, 28.5%Polyester, 1.5%Spandex.</x:v>
      </x:c>
      <x:c r="I710" s="17" t="str"/>
    </x:row>
    <x:row r="711">
      <x:c r="A711" t="str">
        <x:v>public_0062</x:v>
      </x:c>
      <x:c r="B711" t="str">
        <x:v>browsing</x:v>
      </x:c>
      <x:c r="C711" t="str">
        <x:v>medium</x:v>
      </x:c>
      <x:c r="D711" s="17" t="str">
        <x:v>next ask before hit/override</x:v>
      </x:c>
      <x:c r="E711" s="17" t="str">
        <x:v>color</x:v>
      </x:c>
      <x:c r="F711" s="17" t="str">
        <x:v>constraint revealed</x:v>
      </x:c>
      <x:c r="G711" s="17" t="str">
        <x:v>color: black</x:v>
      </x:c>
      <x:c r="H711" s="17" t="str">
        <x:v>For that, what matters is: color: black.</x:v>
      </x:c>
      <x:c r="I711" s="17" t="str"/>
    </x:row>
    <x:row r="712">
      <x:c r="A712" t="str">
        <x:v>public_0062</x:v>
      </x:c>
      <x:c r="B712" t="str">
        <x:v>browsing</x:v>
      </x:c>
      <x:c r="C712" t="str">
        <x:v>medium</x:v>
      </x:c>
      <x:c r="D712" s="17" t="str">
        <x:v>next ask before hit/override</x:v>
      </x:c>
      <x:c r="E712" s="17" t="str">
        <x:v>size</x:v>
      </x:c>
      <x:c r="F712" s="17" t="str">
        <x:v>no new constraint</x:v>
      </x:c>
      <x:c r="G712" s="17" t="str"/>
      <x:c r="H712" s="17" t="str">
        <x:v>I don't have an additional preference for size.</x:v>
      </x:c>
      <x:c r="I712" s="17" t="str"/>
    </x:row>
    <x:row r="713">
      <x:c r="A713" t="str">
        <x:v>public_0062</x:v>
      </x:c>
      <x:c r="B713" t="str">
        <x:v>browsing</x:v>
      </x:c>
      <x:c r="C713" t="str">
        <x:v>medium</x:v>
      </x:c>
      <x:c r="D713" s="17" t="str">
        <x:v>next ask before hit/override</x:v>
      </x:c>
      <x:c r="E713" s="17" t="str">
        <x:v>style</x:v>
      </x:c>
      <x:c r="F713" s="17" t="str">
        <x:v>no new constraint</x:v>
      </x:c>
      <x:c r="G713" s="17" t="str"/>
      <x:c r="H713" s="17" t="str">
        <x:v>I don't have an additional preference for style.</x:v>
      </x:c>
      <x:c r="I713" s="17" t="str"/>
    </x:row>
    <x:row r="714">
      <x:c r="A714" t="str">
        <x:v>public_0062</x:v>
      </x:c>
      <x:c r="B714" t="str">
        <x:v>browsing</x:v>
      </x:c>
      <x:c r="C714" t="str">
        <x:v>medium</x:v>
      </x:c>
      <x:c r="D714" s="17" t="str">
        <x:v>next ask before hit/override</x:v>
      </x:c>
      <x:c r="E714" s="17" t="str">
        <x:v>brand</x:v>
      </x:c>
      <x:c r="F714" s="17" t="str">
        <x:v>no new constraint</x:v>
      </x:c>
      <x:c r="G714" s="17" t="str"/>
      <x:c r="H714" s="17" t="str">
        <x:v>I don't have an additional preference for brand.</x:v>
      </x:c>
      <x:c r="I714" s="17" t="str"/>
    </x:row>
    <x:row r="715">
      <x:c r="A715" t="str">
        <x:v>public_0062</x:v>
      </x:c>
      <x:c r="B715" t="str">
        <x:v>browsing</x:v>
      </x:c>
      <x:c r="C715" t="str">
        <x:v>medium</x:v>
      </x:c>
      <x:c r="D715" s="17" t="str">
        <x:v>next ask before hit/override</x:v>
      </x:c>
      <x:c r="E715" s="17" t="str">
        <x:v>budget</x:v>
      </x:c>
      <x:c r="F715" s="17" t="str">
        <x:v>no new constraint</x:v>
      </x:c>
      <x:c r="G715" s="17" t="str"/>
      <x:c r="H715" s="17" t="str">
        <x:v>I don't have an additional preference for budget.</x:v>
      </x:c>
      <x:c r="I715" s="17" t="str"/>
    </x:row>
    <x:row r="716">
      <x:c r="A716" t="str">
        <x:v>public_0062</x:v>
      </x:c>
      <x:c r="B716" t="str">
        <x:v>browsing</x:v>
      </x:c>
      <x:c r="C716" t="str">
        <x:v>medium</x:v>
      </x:c>
      <x:c r="D716" s="17" t="str">
        <x:v>next ask before hit/override</x:v>
      </x:c>
      <x:c r="E716" s="17" t="str">
        <x:v>feature</x:v>
      </x:c>
      <x:c r="F716" s="17" t="str">
        <x:v>constraint revealed</x:v>
      </x:c>
      <x:c r="G716" s="17" t="str">
        <x:v>Imported</x:v>
      </x:c>
      <x:c r="H716" s="17" t="str">
        <x:v>For that, what matters is: Imported.</x:v>
      </x:c>
      <x:c r="I716" s="17" t="str"/>
    </x:row>
    <x:row r="717">
      <x:c r="A717" t="str">
        <x:v>public_0062</x:v>
      </x:c>
      <x:c r="B717" t="str">
        <x:v>browsing</x:v>
      </x:c>
      <x:c r="C717" t="str">
        <x:v>medium</x:v>
      </x:c>
      <x:c r="D717" s="17" t="str">
        <x:v>next ask before hit/override</x:v>
      </x:c>
      <x:c r="E717" s="17" t="str">
        <x:v>use_case</x:v>
      </x:c>
      <x:c r="F717" s="17" t="str">
        <x:v>no new constraint</x:v>
      </x:c>
      <x:c r="G717" s="17" t="str"/>
      <x:c r="H717" s="17" t="str">
        <x:v>I don't have an additional preference for use_case.</x:v>
      </x:c>
      <x:c r="I717" s="17" t="str"/>
    </x:row>
    <x:row r="718">
      <x:c r="A718" t="str">
        <x:v>public_0062</x:v>
      </x:c>
      <x:c r="B718" t="str">
        <x:v>browsing</x:v>
      </x:c>
      <x:c r="C718" t="str">
        <x:v>medium</x:v>
      </x:c>
      <x:c r="D718" s="17" t="str">
        <x:v>next ask before hit/override</x:v>
      </x:c>
      <x:c r="E718" s="17" t="str">
        <x:v>other</x:v>
      </x:c>
      <x:c r="F718" s="17" t="str">
        <x:v>constraint revealed</x:v>
      </x:c>
      <x:c r="G718" s="17" t="str">
        <x:v>fabric | color: black</x:v>
      </x:c>
      <x:c r="H718" s="17" t="str">
        <x:v>For that, what matters is: fabric; color: black.</x:v>
      </x:c>
      <x:c r="I718" s="17" t="str"/>
    </x:row>
    <x:row r="719">
      <x:c r="A719" t="str">
        <x:v>public_0062</x:v>
      </x:c>
      <x:c r="B719" t="str">
        <x:v>browsing</x:v>
      </x:c>
      <x:c r="C719" t="str">
        <x:v>medium</x:v>
      </x:c>
      <x:c r="D719" s="17" t="str">
        <x:v>next ask before hit/override</x:v>
      </x:c>
      <x:c r="E719" s="17" t="str">
        <x:v>(no ask_attribute)</x:v>
      </x:c>
      <x:c r="F719" s="17" t="str">
        <x:v>agent did not ask</x:v>
      </x:c>
      <x:c r="G719" s="17" t="str"/>
      <x:c r="H719" s="17" t="str">
        <x:v>Those options are not quite right yet. Ask me about one specific attribute.</x:v>
      </x:c>
      <x:c r="I719" s="17" t="str"/>
    </x:row>
    <x:row r="720">
      <x:c r="A720" t="str">
        <x:v>public_0063</x:v>
      </x:c>
      <x:c r="B720" t="str">
        <x:v>browsing</x:v>
      </x:c>
      <x:c r="C720" t="str">
        <x:v>medium</x:v>
      </x:c>
      <x:c r="D720" s="17" t="str">
        <x:v>next ask before hit/override</x:v>
      </x:c>
      <x:c r="E720" s="17" t="str">
        <x:v>category</x:v>
      </x:c>
      <x:c r="F720" s="17" t="str">
        <x:v>no new constraint</x:v>
      </x:c>
      <x:c r="G720" s="17" t="str"/>
      <x:c r="H720" s="17" t="str">
        <x:v>I don't have an additional preference for category.</x:v>
      </x:c>
      <x:c r="I720" s="17" t="str"/>
    </x:row>
    <x:row r="721">
      <x:c r="A721" t="str">
        <x:v>public_0063</x:v>
      </x:c>
      <x:c r="B721" t="str">
        <x:v>browsing</x:v>
      </x:c>
      <x:c r="C721" t="str">
        <x:v>medium</x:v>
      </x:c>
      <x:c r="D721" s="17" t="str">
        <x:v>next ask before hit/override</x:v>
      </x:c>
      <x:c r="E721" s="17" t="str">
        <x:v>material</x:v>
      </x:c>
      <x:c r="F721" s="17" t="str">
        <x:v>constraint revealed</x:v>
      </x:c>
      <x:c r="G721" s="17" t="str">
        <x:v>polyester | Body: 95% Polyester, 5% Spandex; Waist: 90% Polyester, 10% Spandex; Liner: 90% Polyester, 10% Spandex</x:v>
      </x:c>
      <x:c r="H721" s="17" t="str">
        <x:v>For that, what matters is: polyester; Body: 95% Polyester, 5% Spandex; Waist: 90% Polyester, 10% Spandex; Liner: 90% Polyester, 10% Spandex.</x:v>
      </x:c>
      <x:c r="I721" s="17" t="str"/>
    </x:row>
    <x:row r="722">
      <x:c r="A722" t="str">
        <x:v>public_0063</x:v>
      </x:c>
      <x:c r="B722" t="str">
        <x:v>browsing</x:v>
      </x:c>
      <x:c r="C722" t="str">
        <x:v>medium</x:v>
      </x:c>
      <x:c r="D722" s="17" t="str">
        <x:v>next ask before hit/override</x:v>
      </x:c>
      <x:c r="E722" s="17" t="str">
        <x:v>color</x:v>
      </x:c>
      <x:c r="F722" s="17" t="str">
        <x:v>no new constraint</x:v>
      </x:c>
      <x:c r="G722" s="17" t="str"/>
      <x:c r="H722" s="17" t="str">
        <x:v>I don't have an additional preference for color.</x:v>
      </x:c>
      <x:c r="I722" s="17" t="str"/>
    </x:row>
    <x:row r="723">
      <x:c r="A723" t="str">
        <x:v>public_0063</x:v>
      </x:c>
      <x:c r="B723" t="str">
        <x:v>browsing</x:v>
      </x:c>
      <x:c r="C723" t="str">
        <x:v>medium</x:v>
      </x:c>
      <x:c r="D723" s="17" t="str">
        <x:v>next ask before hit/override</x:v>
      </x:c>
      <x:c r="E723" s="17" t="str">
        <x:v>size</x:v>
      </x:c>
      <x:c r="F723" s="17" t="str">
        <x:v>constraint revealed</x:v>
      </x:c>
      <x:c r="G723" s="17" t="str">
        <x:v>3" Width Waistband: The elastic flat waist provides tummy control and features 4-way stretch performance</x:v>
      </x:c>
      <x:c r="H723" s="17" t="str">
        <x:v>For that, what matters is: 3" Width Waistband: The elastic flat waist provides tummy control and features 4-way stretch performance.</x:v>
      </x:c>
      <x:c r="I723" s="17" t="str"/>
    </x:row>
    <x:row r="724">
      <x:c r="A724" t="str">
        <x:v>public_0063</x:v>
      </x:c>
      <x:c r="B724" t="str">
        <x:v>browsing</x:v>
      </x:c>
      <x:c r="C724" t="str">
        <x:v>medium</x:v>
      </x:c>
      <x:c r="D724" s="17" t="str">
        <x:v>next ask before hit/override</x:v>
      </x:c>
      <x:c r="E724" s="17" t="str">
        <x:v>style</x:v>
      </x:c>
      <x:c r="F724" s="17" t="str">
        <x:v>no new constraint</x:v>
      </x:c>
      <x:c r="G724" s="17" t="str"/>
      <x:c r="H724" s="17" t="str">
        <x:v>I don't have an additional preference for style.</x:v>
      </x:c>
      <x:c r="I724" s="17" t="str"/>
    </x:row>
    <x:row r="725">
      <x:c r="A725" t="str">
        <x:v>public_0063</x:v>
      </x:c>
      <x:c r="B725" t="str">
        <x:v>browsing</x:v>
      </x:c>
      <x:c r="C725" t="str">
        <x:v>medium</x:v>
      </x:c>
      <x:c r="D725" s="17" t="str">
        <x:v>next ask before hit/override</x:v>
      </x:c>
      <x:c r="E725" s="17" t="str">
        <x:v>brand</x:v>
      </x:c>
      <x:c r="F725" s="17" t="str">
        <x:v>no new constraint</x:v>
      </x:c>
      <x:c r="G725" s="17" t="str"/>
      <x:c r="H725" s="17" t="str">
        <x:v>I don't have an additional preference for brand.</x:v>
      </x:c>
      <x:c r="I725" s="17" t="str"/>
    </x:row>
    <x:row r="726">
      <x:c r="A726" t="str">
        <x:v>public_0063</x:v>
      </x:c>
      <x:c r="B726" t="str">
        <x:v>browsing</x:v>
      </x:c>
      <x:c r="C726" t="str">
        <x:v>medium</x:v>
      </x:c>
      <x:c r="D726" s="17" t="str">
        <x:v>next ask before hit/override</x:v>
      </x:c>
      <x:c r="E726" s="17" t="str">
        <x:v>budget</x:v>
      </x:c>
      <x:c r="F726" s="17" t="str">
        <x:v>no new constraint</x:v>
      </x:c>
      <x:c r="G726" s="17" t="str"/>
      <x:c r="H726" s="17" t="str">
        <x:v>I don't have an additional preference for budget.</x:v>
      </x:c>
      <x:c r="I726" s="17" t="str"/>
    </x:row>
    <x:row r="727">
      <x:c r="A727" t="str">
        <x:v>public_0063</x:v>
      </x:c>
      <x:c r="B727" t="str">
        <x:v>browsing</x:v>
      </x:c>
      <x:c r="C727" t="str">
        <x:v>medium</x:v>
      </x:c>
      <x:c r="D727" s="17" t="str">
        <x:v>next ask before hit/override</x:v>
      </x:c>
      <x:c r="E727" s="17" t="str">
        <x:v>feature</x:v>
      </x:c>
      <x:c r="F727" s="17" t="str">
        <x:v>constraint revealed</x:v>
      </x:c>
      <x:c r="G727" s="17" t="str">
        <x:v>elastic closure</x:v>
      </x:c>
      <x:c r="H727" s="17" t="str">
        <x:v>For that, what matters is: elastic closure.</x:v>
      </x:c>
      <x:c r="I727" s="17" t="str"/>
    </x:row>
    <x:row r="728">
      <x:c r="A728" t="str">
        <x:v>public_0063</x:v>
      </x:c>
      <x:c r="B728" t="str">
        <x:v>browsing</x:v>
      </x:c>
      <x:c r="C728" t="str">
        <x:v>medium</x:v>
      </x:c>
      <x:c r="D728" s="17" t="str">
        <x:v>next ask before hit/override</x:v>
      </x:c>
      <x:c r="E728" s="17" t="str">
        <x:v>use_case</x:v>
      </x:c>
      <x:c r="F728" s="17" t="str">
        <x:v>no new constraint</x:v>
      </x:c>
      <x:c r="G728" s="17" t="str"/>
      <x:c r="H728" s="17" t="str">
        <x:v>I don't have an additional preference for use_case.</x:v>
      </x:c>
      <x:c r="I728" s="17" t="str"/>
    </x:row>
    <x:row r="729">
      <x:c r="A729" t="str">
        <x:v>public_0063</x:v>
      </x:c>
      <x:c r="B729" t="str">
        <x:v>browsing</x:v>
      </x:c>
      <x:c r="C729" t="str">
        <x:v>medium</x:v>
      </x:c>
      <x:c r="D729" s="17" t="str">
        <x:v>next ask before hit/override</x:v>
      </x:c>
      <x:c r="E729" s="17" t="str">
        <x:v>other</x:v>
      </x:c>
      <x:c r="F729" s="17" t="str">
        <x:v>constraint revealed</x:v>
      </x:c>
      <x:c r="G729" s="17" t="str">
        <x:v>polyester | Body: 95% Polyester, 5% Spandex; Waist: 90% Polyester, 10% Spandex; Liner: 90% Polyester, 10% Spandex</x:v>
      </x:c>
      <x:c r="H729" s="17" t="str">
        <x:v>For that, what matters is: polyester; Body: 95% Polyester, 5% Spandex; Waist: 90% Polyester, 10% Spandex; Liner: 90% Polyester, 10% Spandex.</x:v>
      </x:c>
      <x:c r="I729" s="17" t="str"/>
    </x:row>
    <x:row r="730">
      <x:c r="A730" t="str">
        <x:v>public_0063</x:v>
      </x:c>
      <x:c r="B730" t="str">
        <x:v>browsing</x:v>
      </x:c>
      <x:c r="C730" t="str">
        <x:v>medium</x:v>
      </x:c>
      <x:c r="D730" s="17" t="str">
        <x:v>next ask before hit/override</x:v>
      </x:c>
      <x:c r="E730" s="17" t="str">
        <x:v>(no ask_attribute)</x:v>
      </x:c>
      <x:c r="F730" s="17" t="str">
        <x:v>agent did not ask</x:v>
      </x:c>
      <x:c r="G730" s="17" t="str"/>
      <x:c r="H730" s="17" t="str">
        <x:v>Those options are not quite right yet. Ask me about one specific attribute.</x:v>
      </x:c>
      <x:c r="I730" s="17" t="str"/>
    </x:row>
    <x:row r="731">
      <x:c r="A731" t="str">
        <x:v>public_0064</x:v>
      </x:c>
      <x:c r="B731" t="str">
        <x:v>intent_override</x:v>
      </x:c>
      <x:c r="C731" t="str">
        <x:v>hard</x:v>
      </x:c>
      <x:c r="D731" s="17" t="str">
        <x:v>next ask before hit/override</x:v>
      </x:c>
      <x:c r="E731" s="17" t="str">
        <x:v>category</x:v>
      </x:c>
      <x:c r="F731" s="17" t="str">
        <x:v>no new constraint</x:v>
      </x:c>
      <x:c r="G731" s="17" t="str"/>
      <x:c r="H731" s="17" t="str">
        <x:v>I don't have an additional preference for category.</x:v>
      </x:c>
      <x:c r="I731" s="17" t="str">
        <x:v>Override message occurs automatically on turn 3 or 4 before this reply when scheduled.</x:v>
      </x:c>
    </x:row>
    <x:row r="732">
      <x:c r="A732" t="str">
        <x:v>public_0064</x:v>
      </x:c>
      <x:c r="B732" t="str">
        <x:v>intent_override</x:v>
      </x:c>
      <x:c r="C732" t="str">
        <x:v>hard</x:v>
      </x:c>
      <x:c r="D732" s="17" t="str">
        <x:v>next ask before hit/override</x:v>
      </x:c>
      <x:c r="E732" s="17" t="str">
        <x:v>material</x:v>
      </x:c>
      <x:c r="F732" s="17" t="str">
        <x:v>constraint revealed</x:v>
      </x:c>
      <x:c r="G732" s="17" t="str">
        <x:v>cotton | cotton blend</x:v>
      </x:c>
      <x:c r="H732" s="17" t="str">
        <x:v>For that, what matters is: cotton; cotton blend.</x:v>
      </x:c>
      <x:c r="I732" s="17" t="str">
        <x:v>Override message occurs automatically on turn 3 or 4 before this reply when scheduled.</x:v>
      </x:c>
    </x:row>
    <x:row r="733">
      <x:c r="A733" t="str">
        <x:v>public_0064</x:v>
      </x:c>
      <x:c r="B733" t="str">
        <x:v>intent_override</x:v>
      </x:c>
      <x:c r="C733" t="str">
        <x:v>hard</x:v>
      </x:c>
      <x:c r="D733" s="17" t="str">
        <x:v>next ask before hit/override</x:v>
      </x:c>
      <x:c r="E733" s="17" t="str">
        <x:v>color</x:v>
      </x:c>
      <x:c r="F733" s="17" t="str">
        <x:v>no new constraint</x:v>
      </x:c>
      <x:c r="G733" s="17" t="str"/>
      <x:c r="H733" s="17" t="str">
        <x:v>I don't have an additional preference for color.</x:v>
      </x:c>
      <x:c r="I733" s="17" t="str">
        <x:v>Override message occurs automatically on turn 3 or 4 before this reply when scheduled.</x:v>
      </x:c>
    </x:row>
    <x:row r="734">
      <x:c r="A734" t="str">
        <x:v>public_0064</x:v>
      </x:c>
      <x:c r="B734" t="str">
        <x:v>intent_override</x:v>
      </x:c>
      <x:c r="C734" t="str">
        <x:v>hard</x:v>
      </x:c>
      <x:c r="D734" s="17" t="str">
        <x:v>next ask before hit/override</x:v>
      </x:c>
      <x:c r="E734" s="17" t="str">
        <x:v>size</x:v>
      </x:c>
      <x:c r="F734" s="17" t="str">
        <x:v>no new constraint</x:v>
      </x:c>
      <x:c r="G734" s="17" t="str"/>
      <x:c r="H734" s="17" t="str">
        <x:v>I don't have an additional preference for size.</x:v>
      </x:c>
      <x:c r="I734" s="17" t="str">
        <x:v>Override message occurs automatically on turn 3 or 4 before this reply when scheduled.</x:v>
      </x:c>
    </x:row>
    <x:row r="735">
      <x:c r="A735" t="str">
        <x:v>public_0064</x:v>
      </x:c>
      <x:c r="B735" t="str">
        <x:v>intent_override</x:v>
      </x:c>
      <x:c r="C735" t="str">
        <x:v>hard</x:v>
      </x:c>
      <x:c r="D735" s="17" t="str">
        <x:v>next ask before hit/override</x:v>
      </x:c>
      <x:c r="E735" s="17" t="str">
        <x:v>style</x:v>
      </x:c>
      <x:c r="F735" s="17" t="str">
        <x:v>no new constraint</x:v>
      </x:c>
      <x:c r="G735" s="17" t="str"/>
      <x:c r="H735" s="17" t="str">
        <x:v>I don't have an additional preference for style.</x:v>
      </x:c>
      <x:c r="I735" s="17" t="str">
        <x:v>Override message occurs automatically on turn 3 or 4 before this reply when scheduled.</x:v>
      </x:c>
    </x:row>
    <x:row r="736">
      <x:c r="A736" t="str">
        <x:v>public_0064</x:v>
      </x:c>
      <x:c r="B736" t="str">
        <x:v>intent_override</x:v>
      </x:c>
      <x:c r="C736" t="str">
        <x:v>hard</x:v>
      </x:c>
      <x:c r="D736" s="17" t="str">
        <x:v>next ask before hit/override</x:v>
      </x:c>
      <x:c r="E736" s="17" t="str">
        <x:v>brand</x:v>
      </x:c>
      <x:c r="F736" s="17" t="str">
        <x:v>no new constraint</x:v>
      </x:c>
      <x:c r="G736" s="17" t="str"/>
      <x:c r="H736" s="17" t="str">
        <x:v>I don't have an additional preference for brand.</x:v>
      </x:c>
      <x:c r="I736" s="17" t="str">
        <x:v>Override message occurs automatically on turn 3 or 4 before this reply when scheduled.</x:v>
      </x:c>
    </x:row>
    <x:row r="737">
      <x:c r="A737" t="str">
        <x:v>public_0064</x:v>
      </x:c>
      <x:c r="B737" t="str">
        <x:v>intent_override</x:v>
      </x:c>
      <x:c r="C737" t="str">
        <x:v>hard</x:v>
      </x:c>
      <x:c r="D737" s="17" t="str">
        <x:v>next ask before hit/override</x:v>
      </x:c>
      <x:c r="E737" s="17" t="str">
        <x:v>budget</x:v>
      </x:c>
      <x:c r="F737" s="17" t="str">
        <x:v>no new constraint</x:v>
      </x:c>
      <x:c r="G737" s="17" t="str"/>
      <x:c r="H737" s="17" t="str">
        <x:v>I don't have an additional preference for budget.</x:v>
      </x:c>
      <x:c r="I737" s="17" t="str">
        <x:v>Override message occurs automatically on turn 3 or 4 before this reply when scheduled.</x:v>
      </x:c>
    </x:row>
    <x:row r="738">
      <x:c r="A738" t="str">
        <x:v>public_0064</x:v>
      </x:c>
      <x:c r="B738" t="str">
        <x:v>intent_override</x:v>
      </x:c>
      <x:c r="C738" t="str">
        <x:v>hard</x:v>
      </x:c>
      <x:c r="D738" s="17" t="str">
        <x:v>next ask before hit/override</x:v>
      </x:c>
      <x:c r="E738" s="17" t="str">
        <x:v>feature</x:v>
      </x:c>
      <x:c r="F738" s="17" t="str">
        <x:v>constraint revealed</x:v>
      </x:c>
      <x:c r="G738" s="17" t="str">
        <x:v>Pull On closure | Hand Wash Only</x:v>
      </x:c>
      <x:c r="H738" s="17" t="str">
        <x:v>For that, what matters is: Pull On closure; Hand Wash Only.</x:v>
      </x:c>
      <x:c r="I738" s="17" t="str">
        <x:v>Override message occurs automatically on turn 3 or 4 before this reply when scheduled.</x:v>
      </x:c>
    </x:row>
    <x:row r="739">
      <x:c r="A739" t="str">
        <x:v>public_0064</x:v>
      </x:c>
      <x:c r="B739" t="str">
        <x:v>intent_override</x:v>
      </x:c>
      <x:c r="C739" t="str">
        <x:v>hard</x:v>
      </x:c>
      <x:c r="D739" s="17" t="str">
        <x:v>next ask before hit/override</x:v>
      </x:c>
      <x:c r="E739" s="17" t="str">
        <x:v>use_case</x:v>
      </x:c>
      <x:c r="F739" s="17" t="str">
        <x:v>no new constraint</x:v>
      </x:c>
      <x:c r="G739" s="17" t="str"/>
      <x:c r="H739" s="17" t="str">
        <x:v>I don't have an additional preference for use_case.</x:v>
      </x:c>
      <x:c r="I739" s="17" t="str">
        <x:v>Override message occurs automatically on turn 3 or 4 before this reply when scheduled.</x:v>
      </x:c>
    </x:row>
    <x:row r="740">
      <x:c r="A740" t="str">
        <x:v>public_0064</x:v>
      </x:c>
      <x:c r="B740" t="str">
        <x:v>intent_override</x:v>
      </x:c>
      <x:c r="C740" t="str">
        <x:v>hard</x:v>
      </x:c>
      <x:c r="D740" s="17" t="str">
        <x:v>next ask before hit/override</x:v>
      </x:c>
      <x:c r="E740" s="17" t="str">
        <x:v>other</x:v>
      </x:c>
      <x:c r="F740" s="17" t="str">
        <x:v>constraint revealed</x:v>
      </x:c>
      <x:c r="G740" s="17" t="str">
        <x:v>cotton | cotton blend</x:v>
      </x:c>
      <x:c r="H740" s="17" t="str">
        <x:v>For that, what matters is: cotton; cotton blend.</x:v>
      </x:c>
      <x:c r="I740" s="17" t="str">
        <x:v>Override message occurs automatically on turn 3 or 4 before this reply when scheduled.</x:v>
      </x:c>
    </x:row>
    <x:row r="741">
      <x:c r="A741" t="str">
        <x:v>public_0064</x:v>
      </x:c>
      <x:c r="B741" t="str">
        <x:v>intent_override</x:v>
      </x:c>
      <x:c r="C741" t="str">
        <x:v>hard</x:v>
      </x:c>
      <x:c r="D741" s="17" t="str">
        <x:v>next ask before hit/override</x:v>
      </x:c>
      <x:c r="E741" s="17" t="str">
        <x:v>(no ask_attribute)</x:v>
      </x:c>
      <x:c r="F741" s="17" t="str">
        <x:v>agent did not ask</x:v>
      </x:c>
      <x:c r="G741" s="17" t="str"/>
      <x:c r="H741" s="17" t="str">
        <x:v>Those options are not quite right yet. Ask me about one specific attribute.</x:v>
      </x:c>
      <x:c r="I741" s="17" t="str">
        <x:v>Override message occurs automatically on turn 3 or 4 before this reply when scheduled.</x:v>
      </x:c>
    </x:row>
    <x:row r="742">
      <x:c r="A742" t="str">
        <x:v>public_0065</x:v>
      </x:c>
      <x:c r="B742" t="str">
        <x:v>buying</x:v>
      </x:c>
      <x:c r="C742" t="str">
        <x:v>easy</x:v>
      </x:c>
      <x:c r="D742" s="17" t="str">
        <x:v>next ask before hit/override</x:v>
      </x:c>
      <x:c r="E742" s="17" t="str">
        <x:v>category</x:v>
      </x:c>
      <x:c r="F742" s="17" t="str">
        <x:v>no new constraint</x:v>
      </x:c>
      <x:c r="G742" s="17" t="str"/>
      <x:c r="H742" s="17" t="str">
        <x:v>I don't have an additional preference for category.</x:v>
      </x:c>
      <x:c r="I742" s="17" t="str"/>
    </x:row>
    <x:row r="743">
      <x:c r="A743" t="str">
        <x:v>public_0065</x:v>
      </x:c>
      <x:c r="B743" t="str">
        <x:v>buying</x:v>
      </x:c>
      <x:c r="C743" t="str">
        <x:v>easy</x:v>
      </x:c>
      <x:c r="D743" s="17" t="str">
        <x:v>next ask before hit/override</x:v>
      </x:c>
      <x:c r="E743" s="17" t="str">
        <x:v>material</x:v>
      </x:c>
      <x:c r="F743" s="17" t="str">
        <x:v>constraint revealed</x:v>
      </x:c>
      <x:c r="G743" s="17" t="str">
        <x:v>100% Polyester</x:v>
      </x:c>
      <x:c r="H743" s="17" t="str">
        <x:v>For that, what matters is: 100% Polyester.</x:v>
      </x:c>
      <x:c r="I743" s="17" t="str"/>
    </x:row>
    <x:row r="744">
      <x:c r="A744" t="str">
        <x:v>public_0065</x:v>
      </x:c>
      <x:c r="B744" t="str">
        <x:v>buying</x:v>
      </x:c>
      <x:c r="C744" t="str">
        <x:v>easy</x:v>
      </x:c>
      <x:c r="D744" s="17" t="str">
        <x:v>next ask before hit/override</x:v>
      </x:c>
      <x:c r="E744" s="17" t="str">
        <x:v>color</x:v>
      </x:c>
      <x:c r="F744" s="17" t="str">
        <x:v>no new constraint</x:v>
      </x:c>
      <x:c r="G744" s="17" t="str"/>
      <x:c r="H744" s="17" t="str">
        <x:v>I don't have an additional preference for color.</x:v>
      </x:c>
      <x:c r="I744" s="17" t="str"/>
    </x:row>
    <x:row r="745">
      <x:c r="A745" t="str">
        <x:v>public_0065</x:v>
      </x:c>
      <x:c r="B745" t="str">
        <x:v>buying</x:v>
      </x:c>
      <x:c r="C745" t="str">
        <x:v>easy</x:v>
      </x:c>
      <x:c r="D745" s="17" t="str">
        <x:v>next ask before hit/override</x:v>
      </x:c>
      <x:c r="E745" s="17" t="str">
        <x:v>size</x:v>
      </x:c>
      <x:c r="F745" s="17" t="str">
        <x:v>no new constraint</x:v>
      </x:c>
      <x:c r="G745" s="17" t="str"/>
      <x:c r="H745" s="17" t="str">
        <x:v>I don't have an additional preference for size.</x:v>
      </x:c>
      <x:c r="I745" s="17" t="str"/>
    </x:row>
    <x:row r="746">
      <x:c r="A746" t="str">
        <x:v>public_0065</x:v>
      </x:c>
      <x:c r="B746" t="str">
        <x:v>buying</x:v>
      </x:c>
      <x:c r="C746" t="str">
        <x:v>easy</x:v>
      </x:c>
      <x:c r="D746" s="17" t="str">
        <x:v>next ask before hit/override</x:v>
      </x:c>
      <x:c r="E746" s="17" t="str">
        <x:v>style</x:v>
      </x:c>
      <x:c r="F746" s="17" t="str">
        <x:v>no new constraint</x:v>
      </x:c>
      <x:c r="G746" s="17" t="str"/>
      <x:c r="H746" s="17" t="str">
        <x:v>I don't have an additional preference for style.</x:v>
      </x:c>
      <x:c r="I746" s="17" t="str"/>
    </x:row>
    <x:row r="747">
      <x:c r="A747" t="str">
        <x:v>public_0065</x:v>
      </x:c>
      <x:c r="B747" t="str">
        <x:v>buying</x:v>
      </x:c>
      <x:c r="C747" t="str">
        <x:v>easy</x:v>
      </x:c>
      <x:c r="D747" s="17" t="str">
        <x:v>next ask before hit/override</x:v>
      </x:c>
      <x:c r="E747" s="17" t="str">
        <x:v>brand</x:v>
      </x:c>
      <x:c r="F747" s="17" t="str">
        <x:v>no new constraint</x:v>
      </x:c>
      <x:c r="G747" s="17" t="str"/>
      <x:c r="H747" s="17" t="str">
        <x:v>I don't have an additional preference for brand.</x:v>
      </x:c>
      <x:c r="I747" s="17" t="str"/>
    </x:row>
    <x:row r="748">
      <x:c r="A748" t="str">
        <x:v>public_0065</x:v>
      </x:c>
      <x:c r="B748" t="str">
        <x:v>buying</x:v>
      </x:c>
      <x:c r="C748" t="str">
        <x:v>easy</x:v>
      </x:c>
      <x:c r="D748" s="17" t="str">
        <x:v>next ask before hit/override</x:v>
      </x:c>
      <x:c r="E748" s="17" t="str">
        <x:v>budget</x:v>
      </x:c>
      <x:c r="F748" s="17" t="str">
        <x:v>no new constraint</x:v>
      </x:c>
      <x:c r="G748" s="17" t="str"/>
      <x:c r="H748" s="17" t="str">
        <x:v>I don't have an additional preference for budget.</x:v>
      </x:c>
      <x:c r="I748" s="17" t="str"/>
    </x:row>
    <x:row r="749">
      <x:c r="A749" t="str">
        <x:v>public_0065</x:v>
      </x:c>
      <x:c r="B749" t="str">
        <x:v>buying</x:v>
      </x:c>
      <x:c r="C749" t="str">
        <x:v>easy</x:v>
      </x:c>
      <x:c r="D749" s="17" t="str">
        <x:v>next ask before hit/override</x:v>
      </x:c>
      <x:c r="E749" s="17" t="str">
        <x:v>feature</x:v>
      </x:c>
      <x:c r="F749" s="17" t="str">
        <x:v>constraint revealed</x:v>
      </x:c>
      <x:c r="G749" s="17" t="str">
        <x:v>Imported | Zipper closure</x:v>
      </x:c>
      <x:c r="H749" s="17" t="str">
        <x:v>For that, what matters is: Imported; Zipper closure.</x:v>
      </x:c>
      <x:c r="I749" s="17" t="str"/>
    </x:row>
    <x:row r="750">
      <x:c r="A750" t="str">
        <x:v>public_0065</x:v>
      </x:c>
      <x:c r="B750" t="str">
        <x:v>buying</x:v>
      </x:c>
      <x:c r="C750" t="str">
        <x:v>easy</x:v>
      </x:c>
      <x:c r="D750" s="17" t="str">
        <x:v>next ask before hit/override</x:v>
      </x:c>
      <x:c r="E750" s="17" t="str">
        <x:v>use_case</x:v>
      </x:c>
      <x:c r="F750" s="17" t="str">
        <x:v>no new constraint</x:v>
      </x:c>
      <x:c r="G750" s="17" t="str"/>
      <x:c r="H750" s="17" t="str">
        <x:v>I don't have an additional preference for use_case.</x:v>
      </x:c>
      <x:c r="I750" s="17" t="str"/>
    </x:row>
    <x:row r="751">
      <x:c r="A751" t="str">
        <x:v>public_0065</x:v>
      </x:c>
      <x:c r="B751" t="str">
        <x:v>buying</x:v>
      </x:c>
      <x:c r="C751" t="str">
        <x:v>easy</x:v>
      </x:c>
      <x:c r="D751" s="17" t="str">
        <x:v>next ask before hit/override</x:v>
      </x:c>
      <x:c r="E751" s="17" t="str">
        <x:v>other</x:v>
      </x:c>
      <x:c r="F751" s="17" t="str">
        <x:v>constraint revealed</x:v>
      </x:c>
      <x:c r="G751" s="17" t="str">
        <x:v>100% Polyester | Imported</x:v>
      </x:c>
      <x:c r="H751" s="17" t="str">
        <x:v>For that, what matters is: 100% Polyester; Imported.</x:v>
      </x:c>
      <x:c r="I751" s="17" t="str"/>
    </x:row>
    <x:row r="752">
      <x:c r="A752" t="str">
        <x:v>public_0065</x:v>
      </x:c>
      <x:c r="B752" t="str">
        <x:v>buying</x:v>
      </x:c>
      <x:c r="C752" t="str">
        <x:v>easy</x:v>
      </x:c>
      <x:c r="D752" s="17" t="str">
        <x:v>next ask before hit/override</x:v>
      </x:c>
      <x:c r="E752" s="17" t="str">
        <x:v>(no ask_attribute)</x:v>
      </x:c>
      <x:c r="F752" s="17" t="str">
        <x:v>agent did not ask</x:v>
      </x:c>
      <x:c r="G752" s="17" t="str"/>
      <x:c r="H752" s="17" t="str">
        <x:v>Those options are not quite right yet. Ask me about one specific attribute.</x:v>
      </x:c>
      <x:c r="I752" s="17" t="str"/>
    </x:row>
    <x:row r="753">
      <x:c r="A753" t="str">
        <x:v>public_0066</x:v>
      </x:c>
      <x:c r="B753" t="str">
        <x:v>buying</x:v>
      </x:c>
      <x:c r="C753" t="str">
        <x:v>easy</x:v>
      </x:c>
      <x:c r="D753" s="17" t="str">
        <x:v>next ask before hit/override</x:v>
      </x:c>
      <x:c r="E753" s="17" t="str">
        <x:v>category</x:v>
      </x:c>
      <x:c r="F753" s="17" t="str">
        <x:v>no new constraint</x:v>
      </x:c>
      <x:c r="G753" s="17" t="str"/>
      <x:c r="H753" s="17" t="str">
        <x:v>I don't have an additional preference for category.</x:v>
      </x:c>
      <x:c r="I753" s="17" t="str"/>
    </x:row>
    <x:row r="754">
      <x:c r="A754" t="str">
        <x:v>public_0066</x:v>
      </x:c>
      <x:c r="B754" t="str">
        <x:v>buying</x:v>
      </x:c>
      <x:c r="C754" t="str">
        <x:v>easy</x:v>
      </x:c>
      <x:c r="D754" s="17" t="str">
        <x:v>next ask before hit/override</x:v>
      </x:c>
      <x:c r="E754" s="17" t="str">
        <x:v>material</x:v>
      </x:c>
      <x:c r="F754" s="17" t="str">
        <x:v>constraint revealed</x:v>
      </x:c>
      <x:c r="G754" s="17" t="str">
        <x:v>96% Polyester, 4% Spandex</x:v>
      </x:c>
      <x:c r="H754" s="17" t="str">
        <x:v>For that, what matters is: 96% Polyester, 4% Spandex.</x:v>
      </x:c>
      <x:c r="I754" s="17" t="str"/>
    </x:row>
    <x:row r="755">
      <x:c r="A755" t="str">
        <x:v>public_0066</x:v>
      </x:c>
      <x:c r="B755" t="str">
        <x:v>buying</x:v>
      </x:c>
      <x:c r="C755" t="str">
        <x:v>easy</x:v>
      </x:c>
      <x:c r="D755" s="17" t="str">
        <x:v>next ask before hit/override</x:v>
      </x:c>
      <x:c r="E755" s="17" t="str">
        <x:v>color</x:v>
      </x:c>
      <x:c r="F755" s="17" t="str">
        <x:v>no new constraint</x:v>
      </x:c>
      <x:c r="G755" s="17" t="str"/>
      <x:c r="H755" s="17" t="str">
        <x:v>I don't have an additional preference for color.</x:v>
      </x:c>
      <x:c r="I755" s="17" t="str"/>
    </x:row>
    <x:row r="756">
      <x:c r="A756" t="str">
        <x:v>public_0066</x:v>
      </x:c>
      <x:c r="B756" t="str">
        <x:v>buying</x:v>
      </x:c>
      <x:c r="C756" t="str">
        <x:v>easy</x:v>
      </x:c>
      <x:c r="D756" s="17" t="str">
        <x:v>next ask before hit/override</x:v>
      </x:c>
      <x:c r="E756" s="17" t="str">
        <x:v>size</x:v>
      </x:c>
      <x:c r="F756" s="17" t="str">
        <x:v>no new constraint</x:v>
      </x:c>
      <x:c r="G756" s="17" t="str"/>
      <x:c r="H756" s="17" t="str">
        <x:v>I don't have an additional preference for size.</x:v>
      </x:c>
      <x:c r="I756" s="17" t="str"/>
    </x:row>
    <x:row r="757">
      <x:c r="A757" t="str">
        <x:v>public_0066</x:v>
      </x:c>
      <x:c r="B757" t="str">
        <x:v>buying</x:v>
      </x:c>
      <x:c r="C757" t="str">
        <x:v>easy</x:v>
      </x:c>
      <x:c r="D757" s="17" t="str">
        <x:v>next ask before hit/override</x:v>
      </x:c>
      <x:c r="E757" s="17" t="str">
        <x:v>style</x:v>
      </x:c>
      <x:c r="F757" s="17" t="str">
        <x:v>no new constraint</x:v>
      </x:c>
      <x:c r="G757" s="17" t="str"/>
      <x:c r="H757" s="17" t="str">
        <x:v>I don't have an additional preference for style.</x:v>
      </x:c>
      <x:c r="I757" s="17" t="str"/>
    </x:row>
    <x:row r="758">
      <x:c r="A758" t="str">
        <x:v>public_0066</x:v>
      </x:c>
      <x:c r="B758" t="str">
        <x:v>buying</x:v>
      </x:c>
      <x:c r="C758" t="str">
        <x:v>easy</x:v>
      </x:c>
      <x:c r="D758" s="17" t="str">
        <x:v>next ask before hit/override</x:v>
      </x:c>
      <x:c r="E758" s="17" t="str">
        <x:v>brand</x:v>
      </x:c>
      <x:c r="F758" s="17" t="str">
        <x:v>no new constraint</x:v>
      </x:c>
      <x:c r="G758" s="17" t="str"/>
      <x:c r="H758" s="17" t="str">
        <x:v>I don't have an additional preference for brand.</x:v>
      </x:c>
      <x:c r="I758" s="17" t="str"/>
    </x:row>
    <x:row r="759">
      <x:c r="A759" t="str">
        <x:v>public_0066</x:v>
      </x:c>
      <x:c r="B759" t="str">
        <x:v>buying</x:v>
      </x:c>
      <x:c r="C759" t="str">
        <x:v>easy</x:v>
      </x:c>
      <x:c r="D759" s="17" t="str">
        <x:v>next ask before hit/override</x:v>
      </x:c>
      <x:c r="E759" s="17" t="str">
        <x:v>budget</x:v>
      </x:c>
      <x:c r="F759" s="17" t="str">
        <x:v>no new constraint</x:v>
      </x:c>
      <x:c r="G759" s="17" t="str"/>
      <x:c r="H759" s="17" t="str">
        <x:v>I don't have an additional preference for budget.</x:v>
      </x:c>
      <x:c r="I759" s="17" t="str"/>
    </x:row>
    <x:row r="760">
      <x:c r="A760" t="str">
        <x:v>public_0066</x:v>
      </x:c>
      <x:c r="B760" t="str">
        <x:v>buying</x:v>
      </x:c>
      <x:c r="C760" t="str">
        <x:v>easy</x:v>
      </x:c>
      <x:c r="D760" s="17" t="str">
        <x:v>next ask before hit/override</x:v>
      </x:c>
      <x:c r="E760" s="17" t="str">
        <x:v>feature</x:v>
      </x:c>
      <x:c r="F760" s="17" t="str">
        <x:v>constraint revealed</x:v>
      </x:c>
      <x:c r="G760" s="17" t="str">
        <x:v>Imported | Zipper closure</x:v>
      </x:c>
      <x:c r="H760" s="17" t="str">
        <x:v>For that, what matters is: Imported; Zipper closure.</x:v>
      </x:c>
      <x:c r="I760" s="17" t="str"/>
    </x:row>
    <x:row r="761">
      <x:c r="A761" t="str">
        <x:v>public_0066</x:v>
      </x:c>
      <x:c r="B761" t="str">
        <x:v>buying</x:v>
      </x:c>
      <x:c r="C761" t="str">
        <x:v>easy</x:v>
      </x:c>
      <x:c r="D761" s="17" t="str">
        <x:v>next ask before hit/override</x:v>
      </x:c>
      <x:c r="E761" s="17" t="str">
        <x:v>use_case</x:v>
      </x:c>
      <x:c r="F761" s="17" t="str">
        <x:v>no new constraint</x:v>
      </x:c>
      <x:c r="G761" s="17" t="str"/>
      <x:c r="H761" s="17" t="str">
        <x:v>I don't have an additional preference for use_case.</x:v>
      </x:c>
      <x:c r="I761" s="17" t="str"/>
    </x:row>
    <x:row r="762">
      <x:c r="A762" t="str">
        <x:v>public_0066</x:v>
      </x:c>
      <x:c r="B762" t="str">
        <x:v>buying</x:v>
      </x:c>
      <x:c r="C762" t="str">
        <x:v>easy</x:v>
      </x:c>
      <x:c r="D762" s="17" t="str">
        <x:v>next ask before hit/override</x:v>
      </x:c>
      <x:c r="E762" s="17" t="str">
        <x:v>other</x:v>
      </x:c>
      <x:c r="F762" s="17" t="str">
        <x:v>constraint revealed</x:v>
      </x:c>
      <x:c r="G762" s="17" t="str">
        <x:v>96% Polyester, 4% Spandex | Imported</x:v>
      </x:c>
      <x:c r="H762" s="17" t="str">
        <x:v>For that, what matters is: 96% Polyester, 4% Spandex; Imported.</x:v>
      </x:c>
      <x:c r="I762" s="17" t="str"/>
    </x:row>
    <x:row r="763">
      <x:c r="A763" t="str">
        <x:v>public_0066</x:v>
      </x:c>
      <x:c r="B763" t="str">
        <x:v>buying</x:v>
      </x:c>
      <x:c r="C763" t="str">
        <x:v>easy</x:v>
      </x:c>
      <x:c r="D763" s="17" t="str">
        <x:v>next ask before hit/override</x:v>
      </x:c>
      <x:c r="E763" s="17" t="str">
        <x:v>(no ask_attribute)</x:v>
      </x:c>
      <x:c r="F763" s="17" t="str">
        <x:v>agent did not ask</x:v>
      </x:c>
      <x:c r="G763" s="17" t="str"/>
      <x:c r="H763" s="17" t="str">
        <x:v>Those options are not quite right yet. Ask me about one specific attribute.</x:v>
      </x:c>
      <x:c r="I763" s="17" t="str"/>
    </x:row>
    <x:row r="764">
      <x:c r="A764" t="str">
        <x:v>public_0067</x:v>
      </x:c>
      <x:c r="B764" t="str">
        <x:v>buying</x:v>
      </x:c>
      <x:c r="C764" t="str">
        <x:v>easy</x:v>
      </x:c>
      <x:c r="D764" s="17" t="str">
        <x:v>next ask before hit/override</x:v>
      </x:c>
      <x:c r="E764" s="17" t="str">
        <x:v>category</x:v>
      </x:c>
      <x:c r="F764" s="17" t="str">
        <x:v>no new constraint</x:v>
      </x:c>
      <x:c r="G764" s="17" t="str"/>
      <x:c r="H764" s="17" t="str">
        <x:v>I don't have an additional preference for category.</x:v>
      </x:c>
      <x:c r="I764" s="17" t="str"/>
    </x:row>
    <x:row r="765">
      <x:c r="A765" t="str">
        <x:v>public_0067</x:v>
      </x:c>
      <x:c r="B765" t="str">
        <x:v>buying</x:v>
      </x:c>
      <x:c r="C765" t="str">
        <x:v>easy</x:v>
      </x:c>
      <x:c r="D765" s="17" t="str">
        <x:v>next ask before hit/override</x:v>
      </x:c>
      <x:c r="E765" s="17" t="str">
        <x:v>material</x:v>
      </x:c>
      <x:c r="F765" s="17" t="str">
        <x:v>constraint revealed</x:v>
      </x:c>
      <x:c r="G765" s="17" t="str">
        <x:v>Polyester</x:v>
      </x:c>
      <x:c r="H765" s="17" t="str">
        <x:v>For that, what matters is: Polyester.</x:v>
      </x:c>
      <x:c r="I765" s="17" t="str"/>
    </x:row>
    <x:row r="766">
      <x:c r="A766" t="str">
        <x:v>public_0067</x:v>
      </x:c>
      <x:c r="B766" t="str">
        <x:v>buying</x:v>
      </x:c>
      <x:c r="C766" t="str">
        <x:v>easy</x:v>
      </x:c>
      <x:c r="D766" s="17" t="str">
        <x:v>next ask before hit/override</x:v>
      </x:c>
      <x:c r="E766" s="17" t="str">
        <x:v>color</x:v>
      </x:c>
      <x:c r="F766" s="17" t="str">
        <x:v>no new constraint</x:v>
      </x:c>
      <x:c r="G766" s="17" t="str"/>
      <x:c r="H766" s="17" t="str">
        <x:v>I don't have an additional preference for color.</x:v>
      </x:c>
      <x:c r="I766" s="17" t="str"/>
    </x:row>
    <x:row r="767">
      <x:c r="A767" t="str">
        <x:v>public_0067</x:v>
      </x:c>
      <x:c r="B767" t="str">
        <x:v>buying</x:v>
      </x:c>
      <x:c r="C767" t="str">
        <x:v>easy</x:v>
      </x:c>
      <x:c r="D767" s="17" t="str">
        <x:v>next ask before hit/override</x:v>
      </x:c>
      <x:c r="E767" s="17" t="str">
        <x:v>size</x:v>
      </x:c>
      <x:c r="F767" s="17" t="str">
        <x:v>no new constraint</x:v>
      </x:c>
      <x:c r="G767" s="17" t="str"/>
      <x:c r="H767" s="17" t="str">
        <x:v>I don't have an additional preference for size.</x:v>
      </x:c>
      <x:c r="I767" s="17" t="str"/>
    </x:row>
    <x:row r="768">
      <x:c r="A768" t="str">
        <x:v>public_0067</x:v>
      </x:c>
      <x:c r="B768" t="str">
        <x:v>buying</x:v>
      </x:c>
      <x:c r="C768" t="str">
        <x:v>easy</x:v>
      </x:c>
      <x:c r="D768" s="17" t="str">
        <x:v>next ask before hit/override</x:v>
      </x:c>
      <x:c r="E768" s="17" t="str">
        <x:v>style</x:v>
      </x:c>
      <x:c r="F768" s="17" t="str">
        <x:v>no new constraint</x:v>
      </x:c>
      <x:c r="G768" s="17" t="str"/>
      <x:c r="H768" s="17" t="str">
        <x:v>I don't have an additional preference for style.</x:v>
      </x:c>
      <x:c r="I768" s="17" t="str"/>
    </x:row>
    <x:row r="769">
      <x:c r="A769" t="str">
        <x:v>public_0067</x:v>
      </x:c>
      <x:c r="B769" t="str">
        <x:v>buying</x:v>
      </x:c>
      <x:c r="C769" t="str">
        <x:v>easy</x:v>
      </x:c>
      <x:c r="D769" s="17" t="str">
        <x:v>next ask before hit/override</x:v>
      </x:c>
      <x:c r="E769" s="17" t="str">
        <x:v>brand</x:v>
      </x:c>
      <x:c r="F769" s="17" t="str">
        <x:v>no new constraint</x:v>
      </x:c>
      <x:c r="G769" s="17" t="str"/>
      <x:c r="H769" s="17" t="str">
        <x:v>I don't have an additional preference for brand.</x:v>
      </x:c>
      <x:c r="I769" s="17" t="str"/>
    </x:row>
    <x:row r="770">
      <x:c r="A770" t="str">
        <x:v>public_0067</x:v>
      </x:c>
      <x:c r="B770" t="str">
        <x:v>buying</x:v>
      </x:c>
      <x:c r="C770" t="str">
        <x:v>easy</x:v>
      </x:c>
      <x:c r="D770" s="17" t="str">
        <x:v>next ask before hit/override</x:v>
      </x:c>
      <x:c r="E770" s="17" t="str">
        <x:v>budget</x:v>
      </x:c>
      <x:c r="F770" s="17" t="str">
        <x:v>no new constraint</x:v>
      </x:c>
      <x:c r="G770" s="17" t="str"/>
      <x:c r="H770" s="17" t="str">
        <x:v>I don't have an additional preference for budget.</x:v>
      </x:c>
      <x:c r="I770" s="17" t="str"/>
    </x:row>
    <x:row r="771">
      <x:c r="A771" t="str">
        <x:v>public_0067</x:v>
      </x:c>
      <x:c r="B771" t="str">
        <x:v>buying</x:v>
      </x:c>
      <x:c r="C771" t="str">
        <x:v>easy</x:v>
      </x:c>
      <x:c r="D771" s="17" t="str">
        <x:v>next ask before hit/override</x:v>
      </x:c>
      <x:c r="E771" s="17" t="str">
        <x:v>feature</x:v>
      </x:c>
      <x:c r="F771" s="17" t="str">
        <x:v>constraint revealed</x:v>
      </x:c>
      <x:c r="G771" s="17" t="str">
        <x:v>Imported | Zipper closure</x:v>
      </x:c>
      <x:c r="H771" s="17" t="str">
        <x:v>For that, what matters is: Imported; Zipper closure.</x:v>
      </x:c>
      <x:c r="I771" s="17" t="str"/>
    </x:row>
    <x:row r="772">
      <x:c r="A772" t="str">
        <x:v>public_0067</x:v>
      </x:c>
      <x:c r="B772" t="str">
        <x:v>buying</x:v>
      </x:c>
      <x:c r="C772" t="str">
        <x:v>easy</x:v>
      </x:c>
      <x:c r="D772" s="17" t="str">
        <x:v>next ask before hit/override</x:v>
      </x:c>
      <x:c r="E772" s="17" t="str">
        <x:v>use_case</x:v>
      </x:c>
      <x:c r="F772" s="17" t="str">
        <x:v>no new constraint</x:v>
      </x:c>
      <x:c r="G772" s="17" t="str"/>
      <x:c r="H772" s="17" t="str">
        <x:v>I don't have an additional preference for use_case.</x:v>
      </x:c>
      <x:c r="I772" s="17" t="str"/>
    </x:row>
    <x:row r="773">
      <x:c r="A773" t="str">
        <x:v>public_0067</x:v>
      </x:c>
      <x:c r="B773" t="str">
        <x:v>buying</x:v>
      </x:c>
      <x:c r="C773" t="str">
        <x:v>easy</x:v>
      </x:c>
      <x:c r="D773" s="17" t="str">
        <x:v>next ask before hit/override</x:v>
      </x:c>
      <x:c r="E773" s="17" t="str">
        <x:v>other</x:v>
      </x:c>
      <x:c r="F773" s="17" t="str">
        <x:v>constraint revealed</x:v>
      </x:c>
      <x:c r="G773" s="17" t="str">
        <x:v>Polyester | Imported</x:v>
      </x:c>
      <x:c r="H773" s="17" t="str">
        <x:v>For that, what matters is: Polyester; Imported.</x:v>
      </x:c>
      <x:c r="I773" s="17" t="str"/>
    </x:row>
    <x:row r="774">
      <x:c r="A774" t="str">
        <x:v>public_0067</x:v>
      </x:c>
      <x:c r="B774" t="str">
        <x:v>buying</x:v>
      </x:c>
      <x:c r="C774" t="str">
        <x:v>easy</x:v>
      </x:c>
      <x:c r="D774" s="17" t="str">
        <x:v>next ask before hit/override</x:v>
      </x:c>
      <x:c r="E774" s="17" t="str">
        <x:v>(no ask_attribute)</x:v>
      </x:c>
      <x:c r="F774" s="17" t="str">
        <x:v>agent did not ask</x:v>
      </x:c>
      <x:c r="G774" s="17" t="str"/>
      <x:c r="H774" s="17" t="str">
        <x:v>Those options are not quite right yet. Ask me about one specific attribute.</x:v>
      </x:c>
      <x:c r="I774" s="17" t="str"/>
    </x:row>
    <x:row r="775">
      <x:c r="A775" t="str">
        <x:v>public_0068</x:v>
      </x:c>
      <x:c r="B775" t="str">
        <x:v>intent_override</x:v>
      </x:c>
      <x:c r="C775" t="str">
        <x:v>hard</x:v>
      </x:c>
      <x:c r="D775" s="17" t="str">
        <x:v>next ask before hit/override</x:v>
      </x:c>
      <x:c r="E775" s="17" t="str">
        <x:v>category</x:v>
      </x:c>
      <x:c r="F775" s="17" t="str">
        <x:v>no new constraint</x:v>
      </x:c>
      <x:c r="G775" s="17" t="str"/>
      <x:c r="H775" s="17" t="str">
        <x:v>I don't have an additional preference for category.</x:v>
      </x:c>
      <x:c r="I775" s="17" t="str">
        <x:v>Override message occurs automatically on turn 3 or 4 before this reply when scheduled.</x:v>
      </x:c>
    </x:row>
    <x:row r="776">
      <x:c r="A776" t="str">
        <x:v>public_0068</x:v>
      </x:c>
      <x:c r="B776" t="str">
        <x:v>intent_override</x:v>
      </x:c>
      <x:c r="C776" t="str">
        <x:v>hard</x:v>
      </x:c>
      <x:c r="D776" s="17" t="str">
        <x:v>next ask before hit/override</x:v>
      </x:c>
      <x:c r="E776" s="17" t="str">
        <x:v>material</x:v>
      </x:c>
      <x:c r="F776" s="17" t="str">
        <x:v>no new constraint</x:v>
      </x:c>
      <x:c r="G776" s="17" t="str"/>
      <x:c r="H776" s="17" t="str">
        <x:v>I don't have an additional preference for material.</x:v>
      </x:c>
      <x:c r="I776" s="17" t="str">
        <x:v>Override message occurs automatically on turn 3 or 4 before this reply when scheduled.</x:v>
      </x:c>
    </x:row>
    <x:row r="777">
      <x:c r="A777" t="str">
        <x:v>public_0068</x:v>
      </x:c>
      <x:c r="B777" t="str">
        <x:v>intent_override</x:v>
      </x:c>
      <x:c r="C777" t="str">
        <x:v>hard</x:v>
      </x:c>
      <x:c r="D777" s="17" t="str">
        <x:v>next ask before hit/override</x:v>
      </x:c>
      <x:c r="E777" s="17" t="str">
        <x:v>color</x:v>
      </x:c>
      <x:c r="F777" s="17" t="str">
        <x:v>no new constraint</x:v>
      </x:c>
      <x:c r="G777" s="17" t="str"/>
      <x:c r="H777" s="17" t="str">
        <x:v>I don't have an additional preference for color.</x:v>
      </x:c>
      <x:c r="I777" s="17" t="str">
        <x:v>Override message occurs automatically on turn 3 or 4 before this reply when scheduled.</x:v>
      </x:c>
    </x:row>
    <x:row r="778">
      <x:c r="A778" t="str">
        <x:v>public_0068</x:v>
      </x:c>
      <x:c r="B778" t="str">
        <x:v>intent_override</x:v>
      </x:c>
      <x:c r="C778" t="str">
        <x:v>hard</x:v>
      </x:c>
      <x:c r="D778" s="17" t="str">
        <x:v>next ask before hit/override</x:v>
      </x:c>
      <x:c r="E778" s="17" t="str">
        <x:v>size</x:v>
      </x:c>
      <x:c r="F778" s="17" t="str">
        <x:v>no new constraint</x:v>
      </x:c>
      <x:c r="G778" s="17" t="str"/>
      <x:c r="H778" s="17" t="str">
        <x:v>I don't have an additional preference for size.</x:v>
      </x:c>
      <x:c r="I778" s="17" t="str">
        <x:v>Override message occurs automatically on turn 3 or 4 before this reply when scheduled.</x:v>
      </x:c>
    </x:row>
    <x:row r="779">
      <x:c r="A779" t="str">
        <x:v>public_0068</x:v>
      </x:c>
      <x:c r="B779" t="str">
        <x:v>intent_override</x:v>
      </x:c>
      <x:c r="C779" t="str">
        <x:v>hard</x:v>
      </x:c>
      <x:c r="D779" s="17" t="str">
        <x:v>next ask before hit/override</x:v>
      </x:c>
      <x:c r="E779" s="17" t="str">
        <x:v>style</x:v>
      </x:c>
      <x:c r="F779" s="17" t="str">
        <x:v>no new constraint</x:v>
      </x:c>
      <x:c r="G779" s="17" t="str"/>
      <x:c r="H779" s="17" t="str">
        <x:v>I don't have an additional preference for style.</x:v>
      </x:c>
      <x:c r="I779" s="17" t="str">
        <x:v>Override message occurs automatically on turn 3 or 4 before this reply when scheduled.</x:v>
      </x:c>
    </x:row>
    <x:row r="780">
      <x:c r="A780" t="str">
        <x:v>public_0068</x:v>
      </x:c>
      <x:c r="B780" t="str">
        <x:v>intent_override</x:v>
      </x:c>
      <x:c r="C780" t="str">
        <x:v>hard</x:v>
      </x:c>
      <x:c r="D780" s="17" t="str">
        <x:v>next ask before hit/override</x:v>
      </x:c>
      <x:c r="E780" s="17" t="str">
        <x:v>brand</x:v>
      </x:c>
      <x:c r="F780" s="17" t="str">
        <x:v>no new constraint</x:v>
      </x:c>
      <x:c r="G780" s="17" t="str"/>
      <x:c r="H780" s="17" t="str">
        <x:v>I don't have an additional preference for brand.</x:v>
      </x:c>
      <x:c r="I780" s="17" t="str">
        <x:v>Override message occurs automatically on turn 3 or 4 before this reply when scheduled.</x:v>
      </x:c>
    </x:row>
    <x:row r="781">
      <x:c r="A781" t="str">
        <x:v>public_0068</x:v>
      </x:c>
      <x:c r="B781" t="str">
        <x:v>intent_override</x:v>
      </x:c>
      <x:c r="C781" t="str">
        <x:v>hard</x:v>
      </x:c>
      <x:c r="D781" s="17" t="str">
        <x:v>next ask before hit/override</x:v>
      </x:c>
      <x:c r="E781" s="17" t="str">
        <x:v>budget</x:v>
      </x:c>
      <x:c r="F781" s="17" t="str">
        <x:v>no new constraint</x:v>
      </x:c>
      <x:c r="G781" s="17" t="str"/>
      <x:c r="H781" s="17" t="str">
        <x:v>I don't have an additional preference for budget.</x:v>
      </x:c>
      <x:c r="I781" s="17" t="str">
        <x:v>Override message occurs automatically on turn 3 or 4 before this reply when scheduled.</x:v>
      </x:c>
    </x:row>
    <x:row r="782">
      <x:c r="A782" t="str">
        <x:v>public_0068</x:v>
      </x:c>
      <x:c r="B782" t="str">
        <x:v>intent_override</x:v>
      </x:c>
      <x:c r="C782" t="str">
        <x:v>hard</x:v>
      </x:c>
      <x:c r="D782" s="17" t="str">
        <x:v>next ask before hit/override</x:v>
      </x:c>
      <x:c r="E782" s="17" t="str">
        <x:v>feature</x:v>
      </x:c>
      <x:c r="F782" s="17" t="str">
        <x:v>constraint revealed</x:v>
      </x:c>
      <x:c r="G782" s="17" t="str">
        <x:v>Imported | Rubber sole</x:v>
      </x:c>
      <x:c r="H782" s="17" t="str">
        <x:v>For that, what matters is: Imported; Rubber sole.</x:v>
      </x:c>
      <x:c r="I782" s="17" t="str">
        <x:v>Override message occurs automatically on turn 3 or 4 before this reply when scheduled.</x:v>
      </x:c>
    </x:row>
    <x:row r="783">
      <x:c r="A783" t="str">
        <x:v>public_0068</x:v>
      </x:c>
      <x:c r="B783" t="str">
        <x:v>intent_override</x:v>
      </x:c>
      <x:c r="C783" t="str">
        <x:v>hard</x:v>
      </x:c>
      <x:c r="D783" s="17" t="str">
        <x:v>next ask before hit/override</x:v>
      </x:c>
      <x:c r="E783" s="17" t="str">
        <x:v>use_case</x:v>
      </x:c>
      <x:c r="F783" s="17" t="str">
        <x:v>no new constraint</x:v>
      </x:c>
      <x:c r="G783" s="17" t="str"/>
      <x:c r="H783" s="17" t="str">
        <x:v>I don't have an additional preference for use_case.</x:v>
      </x:c>
      <x:c r="I783" s="17" t="str">
        <x:v>Override message occurs automatically on turn 3 or 4 before this reply when scheduled.</x:v>
      </x:c>
    </x:row>
    <x:row r="784">
      <x:c r="A784" t="str">
        <x:v>public_0068</x:v>
      </x:c>
      <x:c r="B784" t="str">
        <x:v>intent_override</x:v>
      </x:c>
      <x:c r="C784" t="str">
        <x:v>hard</x:v>
      </x:c>
      <x:c r="D784" s="17" t="str">
        <x:v>next ask before hit/override</x:v>
      </x:c>
      <x:c r="E784" s="17" t="str">
        <x:v>other</x:v>
      </x:c>
      <x:c r="F784" s="17" t="str">
        <x:v>constraint revealed</x:v>
      </x:c>
      <x:c r="G784" s="17" t="str">
        <x:v>Imported | Rubber sole</x:v>
      </x:c>
      <x:c r="H784" s="17" t="str">
        <x:v>For that, what matters is: Imported; Rubber sole.</x:v>
      </x:c>
      <x:c r="I784" s="17" t="str">
        <x:v>Override message occurs automatically on turn 3 or 4 before this reply when scheduled.</x:v>
      </x:c>
    </x:row>
    <x:row r="785">
      <x:c r="A785" t="str">
        <x:v>public_0068</x:v>
      </x:c>
      <x:c r="B785" t="str">
        <x:v>intent_override</x:v>
      </x:c>
      <x:c r="C785" t="str">
        <x:v>hard</x:v>
      </x:c>
      <x:c r="D785" s="17" t="str">
        <x:v>next ask before hit/override</x:v>
      </x:c>
      <x:c r="E785" s="17" t="str">
        <x:v>(no ask_attribute)</x:v>
      </x:c>
      <x:c r="F785" s="17" t="str">
        <x:v>agent did not ask</x:v>
      </x:c>
      <x:c r="G785" s="17" t="str"/>
      <x:c r="H785" s="17" t="str">
        <x:v>Those options are not quite right yet. Ask me about one specific attribute.</x:v>
      </x:c>
      <x:c r="I785" s="17" t="str">
        <x:v>Override message occurs automatically on turn 3 or 4 before this reply when scheduled.</x:v>
      </x:c>
    </x:row>
    <x:row r="786">
      <x:c r="A786" t="str">
        <x:v>public_0069</x:v>
      </x:c>
      <x:c r="B786" t="str">
        <x:v>browsing</x:v>
      </x:c>
      <x:c r="C786" t="str">
        <x:v>medium</x:v>
      </x:c>
      <x:c r="D786" s="17" t="str">
        <x:v>next ask before hit/override</x:v>
      </x:c>
      <x:c r="E786" s="17" t="str">
        <x:v>category</x:v>
      </x:c>
      <x:c r="F786" s="17" t="str">
        <x:v>no new constraint</x:v>
      </x:c>
      <x:c r="G786" s="17" t="str"/>
      <x:c r="H786" s="17" t="str">
        <x:v>I don't have an additional preference for category.</x:v>
      </x:c>
      <x:c r="I786" s="17" t="str"/>
    </x:row>
    <x:row r="787">
      <x:c r="A787" t="str">
        <x:v>public_0069</x:v>
      </x:c>
      <x:c r="B787" t="str">
        <x:v>browsing</x:v>
      </x:c>
      <x:c r="C787" t="str">
        <x:v>medium</x:v>
      </x:c>
      <x:c r="D787" s="17" t="str">
        <x:v>next ask before hit/override</x:v>
      </x:c>
      <x:c r="E787" s="17" t="str">
        <x:v>material</x:v>
      </x:c>
      <x:c r="F787" s="17" t="str">
        <x:v>no new constraint</x:v>
      </x:c>
      <x:c r="G787" s="17" t="str"/>
      <x:c r="H787" s="17" t="str">
        <x:v>I don't have an additional preference for material.</x:v>
      </x:c>
      <x:c r="I787" s="17" t="str"/>
    </x:row>
    <x:row r="788">
      <x:c r="A788" t="str">
        <x:v>public_0069</x:v>
      </x:c>
      <x:c r="B788" t="str">
        <x:v>browsing</x:v>
      </x:c>
      <x:c r="C788" t="str">
        <x:v>medium</x:v>
      </x:c>
      <x:c r="D788" s="17" t="str">
        <x:v>next ask before hit/override</x:v>
      </x:c>
      <x:c r="E788" s="17" t="str">
        <x:v>color</x:v>
      </x:c>
      <x:c r="F788" s="17" t="str">
        <x:v>no new constraint</x:v>
      </x:c>
      <x:c r="G788" s="17" t="str"/>
      <x:c r="H788" s="17" t="str">
        <x:v>I don't have an additional preference for color.</x:v>
      </x:c>
      <x:c r="I788" s="17" t="str"/>
    </x:row>
    <x:row r="789">
      <x:c r="A789" t="str">
        <x:v>public_0069</x:v>
      </x:c>
      <x:c r="B789" t="str">
        <x:v>browsing</x:v>
      </x:c>
      <x:c r="C789" t="str">
        <x:v>medium</x:v>
      </x:c>
      <x:c r="D789" s="17" t="str">
        <x:v>next ask before hit/override</x:v>
      </x:c>
      <x:c r="E789" s="17" t="str">
        <x:v>size</x:v>
      </x:c>
      <x:c r="F789" s="17" t="str">
        <x:v>constraint revealed</x:v>
      </x:c>
      <x:c r="G789" s="17" t="str">
        <x:v>【COMFORTABLE TO WEAR】—Acrylic Leopard dangle earring give a summer-ready feel to any look. Post back closures for pieced ears. Size: 2.5''in length weight 0.2oz a pair,Lightweight,</x:v>
      </x:c>
      <x:c r="H789" s="17" t="str">
        <x:v>For that, what matters is: 【COMFORTABLE TO WEAR】—Acrylic Leopard dangle earring give a summer-ready feel to any look. Post back closures for pieced ears. Size: 2.5''in length weight 0.2oz a pair,Lightweight,.</x:v>
      </x:c>
      <x:c r="I789" s="17" t="str"/>
    </x:row>
    <x:row r="790">
      <x:c r="A790" t="str">
        <x:v>public_0069</x:v>
      </x:c>
      <x:c r="B790" t="str">
        <x:v>browsing</x:v>
      </x:c>
      <x:c r="C790" t="str">
        <x:v>medium</x:v>
      </x:c>
      <x:c r="D790" s="17" t="str">
        <x:v>next ask before hit/override</x:v>
      </x:c>
      <x:c r="E790" s="17" t="str">
        <x:v>style</x:v>
      </x:c>
      <x:c r="F790" s="17" t="str">
        <x:v>constraint revealed</x:v>
      </x:c>
      <x:c r="G790" s="17" t="str">
        <x:v>【MATCH TO MOST OCCASIONS】—Minimalist Acrylic Hoop Earrings works well with your daily outfit,Can wear it with many things go to many occasions.Such as Valentine’s Day, Christmas’ D</x:v>
      </x:c>
      <x:c r="H790" s="17" t="str">
        <x:v>For that, what matters is: 【MATCH TO MOST OCCASIONS】—Minimalist Acrylic Hoop Earrings works well with your daily outfit,Can wear it with many things go to many occasions.Such as Valentine’s Day, Christmas’ D.</x:v>
      </x:c>
      <x:c r="I790" s="17" t="str"/>
    </x:row>
    <x:row r="791">
      <x:c r="A791" t="str">
        <x:v>public_0069</x:v>
      </x:c>
      <x:c r="B791" t="str">
        <x:v>browsing</x:v>
      </x:c>
      <x:c r="C791" t="str">
        <x:v>medium</x:v>
      </x:c>
      <x:c r="D791" s="17" t="str">
        <x:v>next ask before hit/override</x:v>
      </x:c>
      <x:c r="E791" s="17" t="str">
        <x:v>brand</x:v>
      </x:c>
      <x:c r="F791" s="17" t="str">
        <x:v>no new constraint</x:v>
      </x:c>
      <x:c r="G791" s="17" t="str"/>
      <x:c r="H791" s="17" t="str">
        <x:v>I don't have an additional preference for brand.</x:v>
      </x:c>
      <x:c r="I791" s="17" t="str"/>
    </x:row>
    <x:row r="792">
      <x:c r="A792" t="str">
        <x:v>public_0069</x:v>
      </x:c>
      <x:c r="B792" t="str">
        <x:v>browsing</x:v>
      </x:c>
      <x:c r="C792" t="str">
        <x:v>medium</x:v>
      </x:c>
      <x:c r="D792" s="17" t="str">
        <x:v>next ask before hit/override</x:v>
      </x:c>
      <x:c r="E792" s="17" t="str">
        <x:v>budget</x:v>
      </x:c>
      <x:c r="F792" s="17" t="str">
        <x:v>no new constraint</x:v>
      </x:c>
      <x:c r="G792" s="17" t="str"/>
      <x:c r="H792" s="17" t="str">
        <x:v>I don't have an additional preference for budget.</x:v>
      </x:c>
      <x:c r="I792" s="17" t="str"/>
    </x:row>
    <x:row r="793">
      <x:c r="A793" t="str">
        <x:v>public_0069</x:v>
      </x:c>
      <x:c r="B793" t="str">
        <x:v>browsing</x:v>
      </x:c>
      <x:c r="C793" t="str">
        <x:v>medium</x:v>
      </x:c>
      <x:c r="D793" s="17" t="str">
        <x:v>next ask before hit/override</x:v>
      </x:c>
      <x:c r="E793" s="17" t="str">
        <x:v>feature</x:v>
      </x:c>
      <x:c r="F793" s="17" t="str">
        <x:v>constraint revealed</x:v>
      </x:c>
      <x:c r="G793" s="17" t="str">
        <x:v>【FASHION DESIGN 】—Acrylic mottled hoop earrings. Square and oval silhouette. Marbled Floral and Leopard design. Post back. Light-weight earrings. these acrylic earrings are the per | 【PERFECT GIFT】—Geometric drop dangle earring with Excellent Luster and Unimpeachable Rust very popular with women and girls packaged in a velvet bag, a wonderful gift giving mom, w</x:v>
      </x:c>
      <x:c r="H793" s="17" t="str">
        <x:v>For that, what matters is: 【FASHION DESIGN 】—Acrylic mottled hoop earrings. Square and oval silhouette. Marbled Floral and Leopard design. Post back. Light-weight earrings. these acrylic earrings are the per; 【PERFECT GIFT】—Geometric drop dangle earring with Excellent Luster and Unimpeachable Rust very popular with women and girls packaged in a velvet bag, a wonderful gift giving mom, w.</x:v>
      </x:c>
      <x:c r="I793" s="17" t="str"/>
    </x:row>
    <x:row r="794">
      <x:c r="A794" t="str">
        <x:v>public_0069</x:v>
      </x:c>
      <x:c r="B794" t="str">
        <x:v>browsing</x:v>
      </x:c>
      <x:c r="C794" t="str">
        <x:v>medium</x:v>
      </x:c>
      <x:c r="D794" s="17" t="str">
        <x:v>next ask before hit/override</x:v>
      </x:c>
      <x:c r="E794" s="17" t="str">
        <x:v>use_case</x:v>
      </x:c>
      <x:c r="F794" s="17" t="str">
        <x:v>no new constraint</x:v>
      </x:c>
      <x:c r="G794" s="17" t="str"/>
      <x:c r="H794" s="17" t="str">
        <x:v>I don't have an additional preference for use_case.</x:v>
      </x:c>
      <x:c r="I794" s="17" t="str"/>
    </x:row>
    <x:row r="795">
      <x:c r="A795" t="str">
        <x:v>public_0069</x:v>
      </x:c>
      <x:c r="B795" t="str">
        <x:v>browsing</x:v>
      </x:c>
      <x:c r="C795" t="str">
        <x:v>medium</x:v>
      </x:c>
      <x:c r="D795" s="17" t="str">
        <x:v>next ask before hit/override</x:v>
      </x:c>
      <x:c r="E795" s="17" t="str">
        <x:v>other</x:v>
      </x:c>
      <x:c r="F795" s="17" t="str">
        <x:v>constraint revealed</x:v>
      </x:c>
      <x:c r="G795" s="17" t="str">
        <x:v>【FASHION DESIGN 】—Acrylic mottled hoop earrings. Square and oval silhouette. Marbled Floral and Leopard design. Post back. Light-weight earrings. these acrylic earrings are the per | 【COMFORTABLE TO WEAR】—Acrylic Leopard dangle earring give a summer-ready feel to any look. Post back closures for pieced ears. Size: 2.5''in length weight 0.2oz a pair,Lightweight,</x:v>
      </x:c>
      <x:c r="H795" s="17" t="str">
        <x:v>For that, what matters is: 【FASHION DESIGN 】—Acrylic mottled hoop earrings. Square and oval silhouette. Marbled Floral and Leopard design. Post back. Light-weight earrings. these acrylic earrings are the per; 【COMFORTABLE TO WEAR】—Acrylic Leopard dangle earring give a summer-ready feel to any look. Post back closures for pieced ears. Size: 2.5''in length weight 0.2oz a pair,Lightweight,.</x:v>
      </x:c>
      <x:c r="I795" s="17" t="str"/>
    </x:row>
    <x:row r="796">
      <x:c r="A796" t="str">
        <x:v>public_0069</x:v>
      </x:c>
      <x:c r="B796" t="str">
        <x:v>browsing</x:v>
      </x:c>
      <x:c r="C796" t="str">
        <x:v>medium</x:v>
      </x:c>
      <x:c r="D796" s="17" t="str">
        <x:v>next ask before hit/override</x:v>
      </x:c>
      <x:c r="E796" s="17" t="str">
        <x:v>(no ask_attribute)</x:v>
      </x:c>
      <x:c r="F796" s="17" t="str">
        <x:v>agent did not ask</x:v>
      </x:c>
      <x:c r="G796" s="17" t="str"/>
      <x:c r="H796" s="17" t="str">
        <x:v>Those options are not quite right yet. Ask me about one specific attribute.</x:v>
      </x:c>
      <x:c r="I796" s="17" t="str"/>
    </x:row>
    <x:row r="797">
      <x:c r="A797" t="str">
        <x:v>public_0070</x:v>
      </x:c>
      <x:c r="B797" t="str">
        <x:v>browsing</x:v>
      </x:c>
      <x:c r="C797" t="str">
        <x:v>medium</x:v>
      </x:c>
      <x:c r="D797" s="17" t="str">
        <x:v>next ask before hit/override</x:v>
      </x:c>
      <x:c r="E797" s="17" t="str">
        <x:v>category</x:v>
      </x:c>
      <x:c r="F797" s="17" t="str">
        <x:v>no new constraint</x:v>
      </x:c>
      <x:c r="G797" s="17" t="str"/>
      <x:c r="H797" s="17" t="str">
        <x:v>I don't have an additional preference for category.</x:v>
      </x:c>
      <x:c r="I797" s="17" t="str"/>
    </x:row>
    <x:row r="798">
      <x:c r="A798" t="str">
        <x:v>public_0070</x:v>
      </x:c>
      <x:c r="B798" t="str">
        <x:v>browsing</x:v>
      </x:c>
      <x:c r="C798" t="str">
        <x:v>medium</x:v>
      </x:c>
      <x:c r="D798" s="17" t="str">
        <x:v>next ask before hit/override</x:v>
      </x:c>
      <x:c r="E798" s="17" t="str">
        <x:v>material</x:v>
      </x:c>
      <x:c r="F798" s="17" t="str">
        <x:v>constraint revealed</x:v>
      </x:c>
      <x:c r="G798" s="17" t="str">
        <x:v>nylon | Nylon lining</x:v>
      </x:c>
      <x:c r="H798" s="17" t="str">
        <x:v>For that, what matters is: nylon; Nylon lining.</x:v>
      </x:c>
      <x:c r="I798" s="17" t="str"/>
    </x:row>
    <x:row r="799">
      <x:c r="A799" t="str">
        <x:v>public_0070</x:v>
      </x:c>
      <x:c r="B799" t="str">
        <x:v>browsing</x:v>
      </x:c>
      <x:c r="C799" t="str">
        <x:v>medium</x:v>
      </x:c>
      <x:c r="D799" s="17" t="str">
        <x:v>next ask before hit/override</x:v>
      </x:c>
      <x:c r="E799" s="17" t="str">
        <x:v>color</x:v>
      </x:c>
      <x:c r="F799" s="17" t="str">
        <x:v>no new constraint</x:v>
      </x:c>
      <x:c r="G799" s="17" t="str"/>
      <x:c r="H799" s="17" t="str">
        <x:v>I don't have an additional preference for color.</x:v>
      </x:c>
      <x:c r="I799" s="17" t="str"/>
    </x:row>
    <x:row r="800">
      <x:c r="A800" t="str">
        <x:v>public_0070</x:v>
      </x:c>
      <x:c r="B800" t="str">
        <x:v>browsing</x:v>
      </x:c>
      <x:c r="C800" t="str">
        <x:v>medium</x:v>
      </x:c>
      <x:c r="D800" s="17" t="str">
        <x:v>next ask before hit/override</x:v>
      </x:c>
      <x:c r="E800" s="17" t="str">
        <x:v>size</x:v>
      </x:c>
      <x:c r="F800" s="17" t="str">
        <x:v>no new constraint</x:v>
      </x:c>
      <x:c r="G800" s="17" t="str"/>
      <x:c r="H800" s="17" t="str">
        <x:v>I don't have an additional preference for size.</x:v>
      </x:c>
      <x:c r="I800" s="17" t="str"/>
    </x:row>
    <x:row r="801">
      <x:c r="A801" t="str">
        <x:v>public_0070</x:v>
      </x:c>
      <x:c r="B801" t="str">
        <x:v>browsing</x:v>
      </x:c>
      <x:c r="C801" t="str">
        <x:v>medium</x:v>
      </x:c>
      <x:c r="D801" s="17" t="str">
        <x:v>next ask before hit/override</x:v>
      </x:c>
      <x:c r="E801" s="17" t="str">
        <x:v>style</x:v>
      </x:c>
      <x:c r="F801" s="17" t="str">
        <x:v>no new constraint</x:v>
      </x:c>
      <x:c r="G801" s="17" t="str"/>
      <x:c r="H801" s="17" t="str">
        <x:v>I don't have an additional preference for style.</x:v>
      </x:c>
      <x:c r="I801" s="17" t="str"/>
    </x:row>
    <x:row r="802">
      <x:c r="A802" t="str">
        <x:v>public_0070</x:v>
      </x:c>
      <x:c r="B802" t="str">
        <x:v>browsing</x:v>
      </x:c>
      <x:c r="C802" t="str">
        <x:v>medium</x:v>
      </x:c>
      <x:c r="D802" s="17" t="str">
        <x:v>next ask before hit/override</x:v>
      </x:c>
      <x:c r="E802" s="17" t="str">
        <x:v>brand</x:v>
      </x:c>
      <x:c r="F802" s="17" t="str">
        <x:v>no new constraint</x:v>
      </x:c>
      <x:c r="G802" s="17" t="str"/>
      <x:c r="H802" s="17" t="str">
        <x:v>I don't have an additional preference for brand.</x:v>
      </x:c>
      <x:c r="I802" s="17" t="str"/>
    </x:row>
    <x:row r="803">
      <x:c r="A803" t="str">
        <x:v>public_0070</x:v>
      </x:c>
      <x:c r="B803" t="str">
        <x:v>browsing</x:v>
      </x:c>
      <x:c r="C803" t="str">
        <x:v>medium</x:v>
      </x:c>
      <x:c r="D803" s="17" t="str">
        <x:v>next ask before hit/override</x:v>
      </x:c>
      <x:c r="E803" s="17" t="str">
        <x:v>budget</x:v>
      </x:c>
      <x:c r="F803" s="17" t="str">
        <x:v>no new constraint</x:v>
      </x:c>
      <x:c r="G803" s="17" t="str"/>
      <x:c r="H803" s="17" t="str">
        <x:v>I don't have an additional preference for budget.</x:v>
      </x:c>
      <x:c r="I803" s="17" t="str"/>
    </x:row>
    <x:row r="804">
      <x:c r="A804" t="str">
        <x:v>public_0070</x:v>
      </x:c>
      <x:c r="B804" t="str">
        <x:v>browsing</x:v>
      </x:c>
      <x:c r="C804" t="str">
        <x:v>medium</x:v>
      </x:c>
      <x:c r="D804" s="17" t="str">
        <x:v>next ask before hit/override</x:v>
      </x:c>
      <x:c r="E804" s="17" t="str">
        <x:v>feature</x:v>
      </x:c>
      <x:c r="F804" s="17" t="str">
        <x:v>constraint revealed</x:v>
      </x:c>
      <x:c r="G804" s="17" t="str">
        <x:v>✅ PERFECT FOR TRAVEL - COMFORTABLE, LIGHTWEIGHT, AND WATER RESISTANT PASSPORT AND VACCINE CARD HOLDER designed to offer you a safe and secure location to store valuables , passport | ✅ RFID BLOCKING – RFID WALLET LINED WITH RADIO FREQUENCY SHIELDING MATERIAL WHICH BLOCKS UNWANTED SCANS , ensuring that your cards and personal information remain private and confi</x:v>
      </x:c>
      <x:c r="H804" s="17" t="str">
        <x:v>For that, what matters is: ✅ PERFECT FOR TRAVEL - COMFORTABLE, LIGHTWEIGHT, AND WATER RESISTANT PASSPORT AND VACCINE CARD HOLDER designed to offer you a safe and secure location to store valuables , passport; ✅ RFID BLOCKING – RFID WALLET LINED WITH RADIO FREQUENCY SHIELDING MATERIAL WHICH BLOCKS UNWANTED SCANS , ensuring that your cards and personal information remain private and confi.</x:v>
      </x:c>
      <x:c r="I804" s="17" t="str"/>
    </x:row>
    <x:row r="805">
      <x:c r="A805" t="str">
        <x:v>public_0070</x:v>
      </x:c>
      <x:c r="B805" t="str">
        <x:v>browsing</x:v>
      </x:c>
      <x:c r="C805" t="str">
        <x:v>medium</x:v>
      </x:c>
      <x:c r="D805" s="17" t="str">
        <x:v>next ask before hit/override</x:v>
      </x:c>
      <x:c r="E805" s="17" t="str">
        <x:v>use_case</x:v>
      </x:c>
      <x:c r="F805" s="17" t="str">
        <x:v>no new constraint</x:v>
      </x:c>
      <x:c r="G805" s="17" t="str"/>
      <x:c r="H805" s="17" t="str">
        <x:v>I don't have an additional preference for use_case.</x:v>
      </x:c>
      <x:c r="I805" s="17" t="str"/>
    </x:row>
    <x:row r="806">
      <x:c r="A806" t="str">
        <x:v>public_0070</x:v>
      </x:c>
      <x:c r="B806" t="str">
        <x:v>browsing</x:v>
      </x:c>
      <x:c r="C806" t="str">
        <x:v>medium</x:v>
      </x:c>
      <x:c r="D806" s="17" t="str">
        <x:v>next ask before hit/override</x:v>
      </x:c>
      <x:c r="E806" s="17" t="str">
        <x:v>other</x:v>
      </x:c>
      <x:c r="F806" s="17" t="str">
        <x:v>constraint revealed</x:v>
      </x:c>
      <x:c r="G806" s="17" t="str">
        <x:v>nylon | ✅ PERFECT FOR TRAVEL - COMFORTABLE, LIGHTWEIGHT, AND WATER RESISTANT PASSPORT AND VACCINE CARD HOLDER designed to offer you a safe and secure location to store valuables , passport</x:v>
      </x:c>
      <x:c r="H806" s="17" t="str">
        <x:v>For that, what matters is: nylon; ✅ PERFECT FOR TRAVEL - COMFORTABLE, LIGHTWEIGHT, AND WATER RESISTANT PASSPORT AND VACCINE CARD HOLDER designed to offer you a safe and secure location to store valuables , passport.</x:v>
      </x:c>
      <x:c r="I806" s="17" t="str"/>
    </x:row>
    <x:row r="807">
      <x:c r="A807" t="str">
        <x:v>public_0070</x:v>
      </x:c>
      <x:c r="B807" t="str">
        <x:v>browsing</x:v>
      </x:c>
      <x:c r="C807" t="str">
        <x:v>medium</x:v>
      </x:c>
      <x:c r="D807" s="17" t="str">
        <x:v>next ask before hit/override</x:v>
      </x:c>
      <x:c r="E807" s="17" t="str">
        <x:v>(no ask_attribute)</x:v>
      </x:c>
      <x:c r="F807" s="17" t="str">
        <x:v>agent did not ask</x:v>
      </x:c>
      <x:c r="G807" s="17" t="str"/>
      <x:c r="H807" s="17" t="str">
        <x:v>Those options are not quite right yet. Ask me about one specific attribute.</x:v>
      </x:c>
      <x:c r="I807" s="17" t="str"/>
    </x:row>
    <x:row r="808">
      <x:c r="A808" t="str">
        <x:v>public_0071</x:v>
      </x:c>
      <x:c r="B808" t="str">
        <x:v>intent_override</x:v>
      </x:c>
      <x:c r="C808" t="str">
        <x:v>hard</x:v>
      </x:c>
      <x:c r="D808" s="17" t="str">
        <x:v>next ask before hit/override</x:v>
      </x:c>
      <x:c r="E808" s="17" t="str">
        <x:v>category</x:v>
      </x:c>
      <x:c r="F808" s="17" t="str">
        <x:v>no new constraint</x:v>
      </x:c>
      <x:c r="G808" s="17" t="str"/>
      <x:c r="H808" s="17" t="str">
        <x:v>I don't have an additional preference for category.</x:v>
      </x:c>
      <x:c r="I808" s="17" t="str">
        <x:v>Override message occurs automatically on turn 3 or 4 before this reply when scheduled.</x:v>
      </x:c>
    </x:row>
    <x:row r="809">
      <x:c r="A809" t="str">
        <x:v>public_0071</x:v>
      </x:c>
      <x:c r="B809" t="str">
        <x:v>intent_override</x:v>
      </x:c>
      <x:c r="C809" t="str">
        <x:v>hard</x:v>
      </x:c>
      <x:c r="D809" s="17" t="str">
        <x:v>next ask before hit/override</x:v>
      </x:c>
      <x:c r="E809" s="17" t="str">
        <x:v>material</x:v>
      </x:c>
      <x:c r="F809" s="17" t="str">
        <x:v>constraint revealed</x:v>
      </x:c>
      <x:c r="G809" s="17" t="str">
        <x:v>cotton | 90% Cotton, 10% Others</x:v>
      </x:c>
      <x:c r="H809" s="17" t="str">
        <x:v>For that, what matters is: cotton; 90% Cotton, 10% Others.</x:v>
      </x:c>
      <x:c r="I809" s="17" t="str">
        <x:v>Override message occurs automatically on turn 3 or 4 before this reply when scheduled.</x:v>
      </x:c>
    </x:row>
    <x:row r="810">
      <x:c r="A810" t="str">
        <x:v>public_0071</x:v>
      </x:c>
      <x:c r="B810" t="str">
        <x:v>intent_override</x:v>
      </x:c>
      <x:c r="C810" t="str">
        <x:v>hard</x:v>
      </x:c>
      <x:c r="D810" s="17" t="str">
        <x:v>next ask before hit/override</x:v>
      </x:c>
      <x:c r="E810" s="17" t="str">
        <x:v>color</x:v>
      </x:c>
      <x:c r="F810" s="17" t="str">
        <x:v>no new constraint</x:v>
      </x:c>
      <x:c r="G810" s="17" t="str"/>
      <x:c r="H810" s="17" t="str">
        <x:v>I don't have an additional preference for color.</x:v>
      </x:c>
      <x:c r="I810" s="17" t="str">
        <x:v>Override message occurs automatically on turn 3 or 4 before this reply when scheduled.</x:v>
      </x:c>
    </x:row>
    <x:row r="811">
      <x:c r="A811" t="str">
        <x:v>public_0071</x:v>
      </x:c>
      <x:c r="B811" t="str">
        <x:v>intent_override</x:v>
      </x:c>
      <x:c r="C811" t="str">
        <x:v>hard</x:v>
      </x:c>
      <x:c r="D811" s="17" t="str">
        <x:v>next ask before hit/override</x:v>
      </x:c>
      <x:c r="E811" s="17" t="str">
        <x:v>size</x:v>
      </x:c>
      <x:c r="F811" s="17" t="str">
        <x:v>no new constraint</x:v>
      </x:c>
      <x:c r="G811" s="17" t="str"/>
      <x:c r="H811" s="17" t="str">
        <x:v>I don't have an additional preference for size.</x:v>
      </x:c>
      <x:c r="I811" s="17" t="str">
        <x:v>Override message occurs automatically on turn 3 or 4 before this reply when scheduled.</x:v>
      </x:c>
    </x:row>
    <x:row r="812">
      <x:c r="A812" t="str">
        <x:v>public_0071</x:v>
      </x:c>
      <x:c r="B812" t="str">
        <x:v>intent_override</x:v>
      </x:c>
      <x:c r="C812" t="str">
        <x:v>hard</x:v>
      </x:c>
      <x:c r="D812" s="17" t="str">
        <x:v>next ask before hit/override</x:v>
      </x:c>
      <x:c r="E812" s="17" t="str">
        <x:v>style</x:v>
      </x:c>
      <x:c r="F812" s="17" t="str">
        <x:v>no new constraint</x:v>
      </x:c>
      <x:c r="G812" s="17" t="str"/>
      <x:c r="H812" s="17" t="str">
        <x:v>I don't have an additional preference for style.</x:v>
      </x:c>
      <x:c r="I812" s="17" t="str">
        <x:v>Override message occurs automatically on turn 3 or 4 before this reply when scheduled.</x:v>
      </x:c>
    </x:row>
    <x:row r="813">
      <x:c r="A813" t="str">
        <x:v>public_0071</x:v>
      </x:c>
      <x:c r="B813" t="str">
        <x:v>intent_override</x:v>
      </x:c>
      <x:c r="C813" t="str">
        <x:v>hard</x:v>
      </x:c>
      <x:c r="D813" s="17" t="str">
        <x:v>next ask before hit/override</x:v>
      </x:c>
      <x:c r="E813" s="17" t="str">
        <x:v>brand</x:v>
      </x:c>
      <x:c r="F813" s="17" t="str">
        <x:v>no new constraint</x:v>
      </x:c>
      <x:c r="G813" s="17" t="str"/>
      <x:c r="H813" s="17" t="str">
        <x:v>I don't have an additional preference for brand.</x:v>
      </x:c>
      <x:c r="I813" s="17" t="str">
        <x:v>Override message occurs automatically on turn 3 or 4 before this reply when scheduled.</x:v>
      </x:c>
    </x:row>
    <x:row r="814">
      <x:c r="A814" t="str">
        <x:v>public_0071</x:v>
      </x:c>
      <x:c r="B814" t="str">
        <x:v>intent_override</x:v>
      </x:c>
      <x:c r="C814" t="str">
        <x:v>hard</x:v>
      </x:c>
      <x:c r="D814" s="17" t="str">
        <x:v>next ask before hit/override</x:v>
      </x:c>
      <x:c r="E814" s="17" t="str">
        <x:v>budget</x:v>
      </x:c>
      <x:c r="F814" s="17" t="str">
        <x:v>no new constraint</x:v>
      </x:c>
      <x:c r="G814" s="17" t="str"/>
      <x:c r="H814" s="17" t="str">
        <x:v>I don't have an additional preference for budget.</x:v>
      </x:c>
      <x:c r="I814" s="17" t="str">
        <x:v>Override message occurs automatically on turn 3 or 4 before this reply when scheduled.</x:v>
      </x:c>
    </x:row>
    <x:row r="815">
      <x:c r="A815" t="str">
        <x:v>public_0071</x:v>
      </x:c>
      <x:c r="B815" t="str">
        <x:v>intent_override</x:v>
      </x:c>
      <x:c r="C815" t="str">
        <x:v>hard</x:v>
      </x:c>
      <x:c r="D815" s="17" t="str">
        <x:v>next ask before hit/override</x:v>
      </x:c>
      <x:c r="E815" s="17" t="str">
        <x:v>feature</x:v>
      </x:c>
      <x:c r="F815" s="17" t="str">
        <x:v>constraint revealed</x:v>
      </x:c>
      <x:c r="G815" s="17" t="str">
        <x:v>Imported | Pull On closure</x:v>
      </x:c>
      <x:c r="H815" s="17" t="str">
        <x:v>For that, what matters is: Imported; Pull On closure.</x:v>
      </x:c>
      <x:c r="I815" s="17" t="str">
        <x:v>Override message occurs automatically on turn 3 or 4 before this reply when scheduled.</x:v>
      </x:c>
    </x:row>
    <x:row r="816">
      <x:c r="A816" t="str">
        <x:v>public_0071</x:v>
      </x:c>
      <x:c r="B816" t="str">
        <x:v>intent_override</x:v>
      </x:c>
      <x:c r="C816" t="str">
        <x:v>hard</x:v>
      </x:c>
      <x:c r="D816" s="17" t="str">
        <x:v>next ask before hit/override</x:v>
      </x:c>
      <x:c r="E816" s="17" t="str">
        <x:v>use_case</x:v>
      </x:c>
      <x:c r="F816" s="17" t="str">
        <x:v>no new constraint</x:v>
      </x:c>
      <x:c r="G816" s="17" t="str"/>
      <x:c r="H816" s="17" t="str">
        <x:v>I don't have an additional preference for use_case.</x:v>
      </x:c>
      <x:c r="I816" s="17" t="str">
        <x:v>Override message occurs automatically on turn 3 or 4 before this reply when scheduled.</x:v>
      </x:c>
    </x:row>
    <x:row r="817">
      <x:c r="A817" t="str">
        <x:v>public_0071</x:v>
      </x:c>
      <x:c r="B817" t="str">
        <x:v>intent_override</x:v>
      </x:c>
      <x:c r="C817" t="str">
        <x:v>hard</x:v>
      </x:c>
      <x:c r="D817" s="17" t="str">
        <x:v>next ask before hit/override</x:v>
      </x:c>
      <x:c r="E817" s="17" t="str">
        <x:v>other</x:v>
      </x:c>
      <x:c r="F817" s="17" t="str">
        <x:v>constraint revealed</x:v>
      </x:c>
      <x:c r="G817" s="17" t="str">
        <x:v>cotton | 90% Cotton, 10% Others</x:v>
      </x:c>
      <x:c r="H817" s="17" t="str">
        <x:v>For that, what matters is: cotton; 90% Cotton, 10% Others.</x:v>
      </x:c>
      <x:c r="I817" s="17" t="str">
        <x:v>Override message occurs automatically on turn 3 or 4 before this reply when scheduled.</x:v>
      </x:c>
    </x:row>
    <x:row r="818">
      <x:c r="A818" t="str">
        <x:v>public_0071</x:v>
      </x:c>
      <x:c r="B818" t="str">
        <x:v>intent_override</x:v>
      </x:c>
      <x:c r="C818" t="str">
        <x:v>hard</x:v>
      </x:c>
      <x:c r="D818" s="17" t="str">
        <x:v>next ask before hit/override</x:v>
      </x:c>
      <x:c r="E818" s="17" t="str">
        <x:v>(no ask_attribute)</x:v>
      </x:c>
      <x:c r="F818" s="17" t="str">
        <x:v>agent did not ask</x:v>
      </x:c>
      <x:c r="G818" s="17" t="str"/>
      <x:c r="H818" s="17" t="str">
        <x:v>Those options are not quite right yet. Ask me about one specific attribute.</x:v>
      </x:c>
      <x:c r="I818" s="17" t="str">
        <x:v>Override message occurs automatically on turn 3 or 4 before this reply when scheduled.</x:v>
      </x:c>
    </x:row>
    <x:row r="819">
      <x:c r="A819" t="str">
        <x:v>public_0072</x:v>
      </x:c>
      <x:c r="B819" t="str">
        <x:v>intent_override</x:v>
      </x:c>
      <x:c r="C819" t="str">
        <x:v>hard</x:v>
      </x:c>
      <x:c r="D819" s="17" t="str">
        <x:v>next ask before hit/override</x:v>
      </x:c>
      <x:c r="E819" s="17" t="str">
        <x:v>category</x:v>
      </x:c>
      <x:c r="F819" s="17" t="str">
        <x:v>no new constraint</x:v>
      </x:c>
      <x:c r="G819" s="17" t="str"/>
      <x:c r="H819" s="17" t="str">
        <x:v>I don't have an additional preference for category.</x:v>
      </x:c>
      <x:c r="I819" s="17" t="str">
        <x:v>Override message occurs automatically on turn 3 or 4 before this reply when scheduled.</x:v>
      </x:c>
    </x:row>
    <x:row r="820">
      <x:c r="A820" t="str">
        <x:v>public_0072</x:v>
      </x:c>
      <x:c r="B820" t="str">
        <x:v>intent_override</x:v>
      </x:c>
      <x:c r="C820" t="str">
        <x:v>hard</x:v>
      </x:c>
      <x:c r="D820" s="17" t="str">
        <x:v>next ask before hit/override</x:v>
      </x:c>
      <x:c r="E820" s="17" t="str">
        <x:v>material</x:v>
      </x:c>
      <x:c r="F820" s="17" t="str">
        <x:v>no new constraint</x:v>
      </x:c>
      <x:c r="G820" s="17" t="str"/>
      <x:c r="H820" s="17" t="str">
        <x:v>I don't have an additional preference for material.</x:v>
      </x:c>
      <x:c r="I820" s="17" t="str">
        <x:v>Override message occurs automatically on turn 3 or 4 before this reply when scheduled.</x:v>
      </x:c>
    </x:row>
    <x:row r="821">
      <x:c r="A821" t="str">
        <x:v>public_0072</x:v>
      </x:c>
      <x:c r="B821" t="str">
        <x:v>intent_override</x:v>
      </x:c>
      <x:c r="C821" t="str">
        <x:v>hard</x:v>
      </x:c>
      <x:c r="D821" s="17" t="str">
        <x:v>next ask before hit/override</x:v>
      </x:c>
      <x:c r="E821" s="17" t="str">
        <x:v>color</x:v>
      </x:c>
      <x:c r="F821" s="17" t="str">
        <x:v>no new constraint</x:v>
      </x:c>
      <x:c r="G821" s="17" t="str"/>
      <x:c r="H821" s="17" t="str">
        <x:v>I don't have an additional preference for color.</x:v>
      </x:c>
      <x:c r="I821" s="17" t="str">
        <x:v>Override message occurs automatically on turn 3 or 4 before this reply when scheduled.</x:v>
      </x:c>
    </x:row>
    <x:row r="822">
      <x:c r="A822" t="str">
        <x:v>public_0072</x:v>
      </x:c>
      <x:c r="B822" t="str">
        <x:v>intent_override</x:v>
      </x:c>
      <x:c r="C822" t="str">
        <x:v>hard</x:v>
      </x:c>
      <x:c r="D822" s="17" t="str">
        <x:v>next ask before hit/override</x:v>
      </x:c>
      <x:c r="E822" s="17" t="str">
        <x:v>size</x:v>
      </x:c>
      <x:c r="F822" s="17" t="str">
        <x:v>no new constraint</x:v>
      </x:c>
      <x:c r="G822" s="17" t="str"/>
      <x:c r="H822" s="17" t="str">
        <x:v>I don't have an additional preference for size.</x:v>
      </x:c>
      <x:c r="I822" s="17" t="str">
        <x:v>Override message occurs automatically on turn 3 or 4 before this reply when scheduled.</x:v>
      </x:c>
    </x:row>
    <x:row r="823">
      <x:c r="A823" t="str">
        <x:v>public_0072</x:v>
      </x:c>
      <x:c r="B823" t="str">
        <x:v>intent_override</x:v>
      </x:c>
      <x:c r="C823" t="str">
        <x:v>hard</x:v>
      </x:c>
      <x:c r="D823" s="17" t="str">
        <x:v>next ask before hit/override</x:v>
      </x:c>
      <x:c r="E823" s="17" t="str">
        <x:v>style</x:v>
      </x:c>
      <x:c r="F823" s="17" t="str">
        <x:v>constraint revealed</x:v>
      </x:c>
      <x:c r="G823" s="17" t="str">
        <x:v>Department: womens</x:v>
      </x:c>
      <x:c r="H823" s="17" t="str">
        <x:v>For that, what matters is: Department: womens.</x:v>
      </x:c>
      <x:c r="I823" s="17" t="str">
        <x:v>Override message occurs automatically on turn 3 or 4 before this reply when scheduled.</x:v>
      </x:c>
    </x:row>
    <x:row r="824">
      <x:c r="A824" t="str">
        <x:v>public_0072</x:v>
      </x:c>
      <x:c r="B824" t="str">
        <x:v>intent_override</x:v>
      </x:c>
      <x:c r="C824" t="str">
        <x:v>hard</x:v>
      </x:c>
      <x:c r="D824" s="17" t="str">
        <x:v>next ask before hit/override</x:v>
      </x:c>
      <x:c r="E824" s="17" t="str">
        <x:v>brand</x:v>
      </x:c>
      <x:c r="F824" s="17" t="str">
        <x:v>no new constraint</x:v>
      </x:c>
      <x:c r="G824" s="17" t="str"/>
      <x:c r="H824" s="17" t="str">
        <x:v>I don't have an additional preference for brand.</x:v>
      </x:c>
      <x:c r="I824" s="17" t="str">
        <x:v>Override message occurs automatically on turn 3 or 4 before this reply when scheduled.</x:v>
      </x:c>
    </x:row>
    <x:row r="825">
      <x:c r="A825" t="str">
        <x:v>public_0072</x:v>
      </x:c>
      <x:c r="B825" t="str">
        <x:v>intent_override</x:v>
      </x:c>
      <x:c r="C825" t="str">
        <x:v>hard</x:v>
      </x:c>
      <x:c r="D825" s="17" t="str">
        <x:v>next ask before hit/override</x:v>
      </x:c>
      <x:c r="E825" s="17" t="str">
        <x:v>budget</x:v>
      </x:c>
      <x:c r="F825" s="17" t="str">
        <x:v>no new constraint</x:v>
      </x:c>
      <x:c r="G825" s="17" t="str"/>
      <x:c r="H825" s="17" t="str">
        <x:v>I don't have an additional preference for budget.</x:v>
      </x:c>
      <x:c r="I825" s="17" t="str">
        <x:v>Override message occurs automatically on turn 3 or 4 before this reply when scheduled.</x:v>
      </x:c>
    </x:row>
    <x:row r="826">
      <x:c r="A826" t="str">
        <x:v>public_0072</x:v>
      </x:c>
      <x:c r="B826" t="str">
        <x:v>intent_override</x:v>
      </x:c>
      <x:c r="C826" t="str">
        <x:v>hard</x:v>
      </x:c>
      <x:c r="D826" s="17" t="str">
        <x:v>next ask before hit/override</x:v>
      </x:c>
      <x:c r="E826" s="17" t="str">
        <x:v>feature</x:v>
      </x:c>
      <x:c r="F826" s="17" t="str">
        <x:v>constraint revealed</x:v>
      </x:c>
      <x:c r="G826" s="17" t="str">
        <x:v>Faux Fur | Drawstring closure</x:v>
      </x:c>
      <x:c r="H826" s="17" t="str">
        <x:v>For that, what matters is: Faux Fur; Drawstring closure.</x:v>
      </x:c>
      <x:c r="I826" s="17" t="str">
        <x:v>Override message occurs automatically on turn 3 or 4 before this reply when scheduled.</x:v>
      </x:c>
    </x:row>
    <x:row r="827">
      <x:c r="A827" t="str">
        <x:v>public_0072</x:v>
      </x:c>
      <x:c r="B827" t="str">
        <x:v>intent_override</x:v>
      </x:c>
      <x:c r="C827" t="str">
        <x:v>hard</x:v>
      </x:c>
      <x:c r="D827" s="17" t="str">
        <x:v>next ask before hit/override</x:v>
      </x:c>
      <x:c r="E827" s="17" t="str">
        <x:v>use_case</x:v>
      </x:c>
      <x:c r="F827" s="17" t="str">
        <x:v>no new constraint</x:v>
      </x:c>
      <x:c r="G827" s="17" t="str"/>
      <x:c r="H827" s="17" t="str">
        <x:v>I don't have an additional preference for use_case.</x:v>
      </x:c>
      <x:c r="I827" s="17" t="str">
        <x:v>Override message occurs automatically on turn 3 or 4 before this reply when scheduled.</x:v>
      </x:c>
    </x:row>
    <x:row r="828">
      <x:c r="A828" t="str">
        <x:v>public_0072</x:v>
      </x:c>
      <x:c r="B828" t="str">
        <x:v>intent_override</x:v>
      </x:c>
      <x:c r="C828" t="str">
        <x:v>hard</x:v>
      </x:c>
      <x:c r="D828" s="17" t="str">
        <x:v>next ask before hit/override</x:v>
      </x:c>
      <x:c r="E828" s="17" t="str">
        <x:v>other</x:v>
      </x:c>
      <x:c r="F828" s="17" t="str">
        <x:v>constraint revealed</x:v>
      </x:c>
      <x:c r="G828" s="17" t="str">
        <x:v>Faux Fur | Drawstring closure</x:v>
      </x:c>
      <x:c r="H828" s="17" t="str">
        <x:v>For that, what matters is: Faux Fur; Drawstring closure.</x:v>
      </x:c>
      <x:c r="I828" s="17" t="str">
        <x:v>Override message occurs automatically on turn 3 or 4 before this reply when scheduled.</x:v>
      </x:c>
    </x:row>
    <x:row r="829">
      <x:c r="A829" t="str">
        <x:v>public_0072</x:v>
      </x:c>
      <x:c r="B829" t="str">
        <x:v>intent_override</x:v>
      </x:c>
      <x:c r="C829" t="str">
        <x:v>hard</x:v>
      </x:c>
      <x:c r="D829" s="17" t="str">
        <x:v>next ask before hit/override</x:v>
      </x:c>
      <x:c r="E829" s="17" t="str">
        <x:v>(no ask_attribute)</x:v>
      </x:c>
      <x:c r="F829" s="17" t="str">
        <x:v>agent did not ask</x:v>
      </x:c>
      <x:c r="G829" s="17" t="str"/>
      <x:c r="H829" s="17" t="str">
        <x:v>Those options are not quite right yet. Ask me about one specific attribute.</x:v>
      </x:c>
      <x:c r="I829" s="17" t="str">
        <x:v>Override message occurs automatically on turn 3 or 4 before this reply when scheduled.</x:v>
      </x:c>
    </x:row>
    <x:row r="830">
      <x:c r="A830" t="str">
        <x:v>public_0073</x:v>
      </x:c>
      <x:c r="B830" t="str">
        <x:v>browsing</x:v>
      </x:c>
      <x:c r="C830" t="str">
        <x:v>medium</x:v>
      </x:c>
      <x:c r="D830" s="17" t="str">
        <x:v>next ask before hit/override</x:v>
      </x:c>
      <x:c r="E830" s="17" t="str">
        <x:v>category</x:v>
      </x:c>
      <x:c r="F830" s="17" t="str">
        <x:v>no new constraint</x:v>
      </x:c>
      <x:c r="G830" s="17" t="str"/>
      <x:c r="H830" s="17" t="str">
        <x:v>I don't have an additional preference for category.</x:v>
      </x:c>
      <x:c r="I830" s="17" t="str"/>
    </x:row>
    <x:row r="831">
      <x:c r="A831" t="str">
        <x:v>public_0073</x:v>
      </x:c>
      <x:c r="B831" t="str">
        <x:v>browsing</x:v>
      </x:c>
      <x:c r="C831" t="str">
        <x:v>medium</x:v>
      </x:c>
      <x:c r="D831" s="17" t="str">
        <x:v>next ask before hit/override</x:v>
      </x:c>
      <x:c r="E831" s="17" t="str">
        <x:v>material</x:v>
      </x:c>
      <x:c r="F831" s="17" t="str">
        <x:v>constraint revealed</x:v>
      </x:c>
      <x:c r="G831" s="17" t="str">
        <x:v>polyester</x:v>
      </x:c>
      <x:c r="H831" s="17" t="str">
        <x:v>For that, what matters is: polyester.</x:v>
      </x:c>
      <x:c r="I831" s="17" t="str"/>
    </x:row>
    <x:row r="832">
      <x:c r="A832" t="str">
        <x:v>public_0073</x:v>
      </x:c>
      <x:c r="B832" t="str">
        <x:v>browsing</x:v>
      </x:c>
      <x:c r="C832" t="str">
        <x:v>medium</x:v>
      </x:c>
      <x:c r="D832" s="17" t="str">
        <x:v>next ask before hit/override</x:v>
      </x:c>
      <x:c r="E832" s="17" t="str">
        <x:v>color</x:v>
      </x:c>
      <x:c r="F832" s="17" t="str">
        <x:v>no new constraint</x:v>
      </x:c>
      <x:c r="G832" s="17" t="str"/>
      <x:c r="H832" s="17" t="str">
        <x:v>I don't have an additional preference for color.</x:v>
      </x:c>
      <x:c r="I832" s="17" t="str"/>
    </x:row>
    <x:row r="833">
      <x:c r="A833" t="str">
        <x:v>public_0073</x:v>
      </x:c>
      <x:c r="B833" t="str">
        <x:v>browsing</x:v>
      </x:c>
      <x:c r="C833" t="str">
        <x:v>medium</x:v>
      </x:c>
      <x:c r="D833" s="17" t="str">
        <x:v>next ask before hit/override</x:v>
      </x:c>
      <x:c r="E833" s="17" t="str">
        <x:v>size</x:v>
      </x:c>
      <x:c r="F833" s="17" t="str">
        <x:v>no new constraint</x:v>
      </x:c>
      <x:c r="G833" s="17" t="str"/>
      <x:c r="H833" s="17" t="str">
        <x:v>I don't have an additional preference for size.</x:v>
      </x:c>
      <x:c r="I833" s="17" t="str"/>
    </x:row>
    <x:row r="834">
      <x:c r="A834" t="str">
        <x:v>public_0073</x:v>
      </x:c>
      <x:c r="B834" t="str">
        <x:v>browsing</x:v>
      </x:c>
      <x:c r="C834" t="str">
        <x:v>medium</x:v>
      </x:c>
      <x:c r="D834" s="17" t="str">
        <x:v>next ask before hit/override</x:v>
      </x:c>
      <x:c r="E834" s="17" t="str">
        <x:v>style</x:v>
      </x:c>
      <x:c r="F834" s="17" t="str">
        <x:v>no new constraint</x:v>
      </x:c>
      <x:c r="G834" s="17" t="str"/>
      <x:c r="H834" s="17" t="str">
        <x:v>I don't have an additional preference for style.</x:v>
      </x:c>
      <x:c r="I834" s="17" t="str"/>
    </x:row>
    <x:row r="835">
      <x:c r="A835" t="str">
        <x:v>public_0073</x:v>
      </x:c>
      <x:c r="B835" t="str">
        <x:v>browsing</x:v>
      </x:c>
      <x:c r="C835" t="str">
        <x:v>medium</x:v>
      </x:c>
      <x:c r="D835" s="17" t="str">
        <x:v>next ask before hit/override</x:v>
      </x:c>
      <x:c r="E835" s="17" t="str">
        <x:v>brand</x:v>
      </x:c>
      <x:c r="F835" s="17" t="str">
        <x:v>no new constraint</x:v>
      </x:c>
      <x:c r="G835" s="17" t="str"/>
      <x:c r="H835" s="17" t="str">
        <x:v>I don't have an additional preference for brand.</x:v>
      </x:c>
      <x:c r="I835" s="17" t="str"/>
    </x:row>
    <x:row r="836">
      <x:c r="A836" t="str">
        <x:v>public_0073</x:v>
      </x:c>
      <x:c r="B836" t="str">
        <x:v>browsing</x:v>
      </x:c>
      <x:c r="C836" t="str">
        <x:v>medium</x:v>
      </x:c>
      <x:c r="D836" s="17" t="str">
        <x:v>next ask before hit/override</x:v>
      </x:c>
      <x:c r="E836" s="17" t="str">
        <x:v>budget</x:v>
      </x:c>
      <x:c r="F836" s="17" t="str">
        <x:v>no new constraint</x:v>
      </x:c>
      <x:c r="G836" s="17" t="str"/>
      <x:c r="H836" s="17" t="str">
        <x:v>I don't have an additional preference for budget.</x:v>
      </x:c>
      <x:c r="I836" s="17" t="str"/>
    </x:row>
    <x:row r="837">
      <x:c r="A837" t="str">
        <x:v>public_0073</x:v>
      </x:c>
      <x:c r="B837" t="str">
        <x:v>browsing</x:v>
      </x:c>
      <x:c r="C837" t="str">
        <x:v>medium</x:v>
      </x:c>
      <x:c r="D837" s="17" t="str">
        <x:v>next ask before hit/override</x:v>
      </x:c>
      <x:c r="E837" s="17" t="str">
        <x:v>feature</x:v>
      </x:c>
      <x:c r="F837" s="17" t="str">
        <x:v>constraint revealed</x:v>
      </x:c>
      <x:c r="G837" s="17" t="str">
        <x:v>♥【Try RISK FREE】: Wear COMFORTABLE or Your MONEY BACK! 30-day wear test! FREE shipping and returns.If for any reason you’re unhappy with your purchase,feel free to contact us | Imported</x:v>
      </x:c>
      <x:c r="H837" s="17" t="str">
        <x:v>For that, what matters is: ♥【Try RISK FREE】: Wear COMFORTABLE or Your MONEY BACK! 30-day wear test! FREE shipping and returns.If for any reason you’re unhappy with your purchase,feel free to contact us; Imported.</x:v>
      </x:c>
      <x:c r="I837" s="17" t="str"/>
    </x:row>
    <x:row r="838">
      <x:c r="A838" t="str">
        <x:v>public_0073</x:v>
      </x:c>
      <x:c r="B838" t="str">
        <x:v>browsing</x:v>
      </x:c>
      <x:c r="C838" t="str">
        <x:v>medium</x:v>
      </x:c>
      <x:c r="D838" s="17" t="str">
        <x:v>next ask before hit/override</x:v>
      </x:c>
      <x:c r="E838" s="17" t="str">
        <x:v>use_case</x:v>
      </x:c>
      <x:c r="F838" s="17" t="str">
        <x:v>no new constraint</x:v>
      </x:c>
      <x:c r="G838" s="17" t="str"/>
      <x:c r="H838" s="17" t="str">
        <x:v>I don't have an additional preference for use_case.</x:v>
      </x:c>
      <x:c r="I838" s="17" t="str"/>
    </x:row>
    <x:row r="839">
      <x:c r="A839" t="str">
        <x:v>public_0073</x:v>
      </x:c>
      <x:c r="B839" t="str">
        <x:v>browsing</x:v>
      </x:c>
      <x:c r="C839" t="str">
        <x:v>medium</x:v>
      </x:c>
      <x:c r="D839" s="17" t="str">
        <x:v>next ask before hit/override</x:v>
      </x:c>
      <x:c r="E839" s="17" t="str">
        <x:v>other</x:v>
      </x:c>
      <x:c r="F839" s="17" t="str">
        <x:v>constraint revealed</x:v>
      </x:c>
      <x:c r="G839" s="17" t="str">
        <x:v>polyester | ♥【Try RISK FREE】: Wear COMFORTABLE or Your MONEY BACK! 30-day wear test! FREE shipping and returns.If for any reason you’re unhappy with your purchase,feel free to contact us</x:v>
      </x:c>
      <x:c r="H839" s="17" t="str">
        <x:v>For that, what matters is: polyester; ♥【Try RISK FREE】: Wear COMFORTABLE or Your MONEY BACK! 30-day wear test! FREE shipping and returns.If for any reason you’re unhappy with your purchase,feel free to contact us.</x:v>
      </x:c>
      <x:c r="I839" s="17" t="str"/>
    </x:row>
    <x:row r="840">
      <x:c r="A840" t="str">
        <x:v>public_0073</x:v>
      </x:c>
      <x:c r="B840" t="str">
        <x:v>browsing</x:v>
      </x:c>
      <x:c r="C840" t="str">
        <x:v>medium</x:v>
      </x:c>
      <x:c r="D840" s="17" t="str">
        <x:v>next ask before hit/override</x:v>
      </x:c>
      <x:c r="E840" s="17" t="str">
        <x:v>(no ask_attribute)</x:v>
      </x:c>
      <x:c r="F840" s="17" t="str">
        <x:v>agent did not ask</x:v>
      </x:c>
      <x:c r="G840" s="17" t="str"/>
      <x:c r="H840" s="17" t="str">
        <x:v>Those options are not quite right yet. Ask me about one specific attribute.</x:v>
      </x:c>
      <x:c r="I840" s="17" t="str"/>
    </x:row>
    <x:row r="841">
      <x:c r="A841" t="str">
        <x:v>public_0074</x:v>
      </x:c>
      <x:c r="B841" t="str">
        <x:v>browsing</x:v>
      </x:c>
      <x:c r="C841" t="str">
        <x:v>medium</x:v>
      </x:c>
      <x:c r="D841" s="17" t="str">
        <x:v>next ask before hit/override</x:v>
      </x:c>
      <x:c r="E841" s="17" t="str">
        <x:v>category</x:v>
      </x:c>
      <x:c r="F841" s="17" t="str">
        <x:v>no new constraint</x:v>
      </x:c>
      <x:c r="G841" s="17" t="str"/>
      <x:c r="H841" s="17" t="str">
        <x:v>I don't have an additional preference for category.</x:v>
      </x:c>
      <x:c r="I841" s="17" t="str"/>
    </x:row>
    <x:row r="842">
      <x:c r="A842" t="str">
        <x:v>public_0074</x:v>
      </x:c>
      <x:c r="B842" t="str">
        <x:v>browsing</x:v>
      </x:c>
      <x:c r="C842" t="str">
        <x:v>medium</x:v>
      </x:c>
      <x:c r="D842" s="17" t="str">
        <x:v>next ask before hit/override</x:v>
      </x:c>
      <x:c r="E842" s="17" t="str">
        <x:v>material</x:v>
      </x:c>
      <x:c r="F842" s="17" t="str">
        <x:v>no new constraint</x:v>
      </x:c>
      <x:c r="G842" s="17" t="str"/>
      <x:c r="H842" s="17" t="str">
        <x:v>I don't have an additional preference for material.</x:v>
      </x:c>
      <x:c r="I842" s="17" t="str"/>
    </x:row>
    <x:row r="843">
      <x:c r="A843" t="str">
        <x:v>public_0074</x:v>
      </x:c>
      <x:c r="B843" t="str">
        <x:v>browsing</x:v>
      </x:c>
      <x:c r="C843" t="str">
        <x:v>medium</x:v>
      </x:c>
      <x:c r="D843" s="17" t="str">
        <x:v>next ask before hit/override</x:v>
      </x:c>
      <x:c r="E843" s="17" t="str">
        <x:v>color</x:v>
      </x:c>
      <x:c r="F843" s="17" t="str">
        <x:v>no new constraint</x:v>
      </x:c>
      <x:c r="G843" s="17" t="str"/>
      <x:c r="H843" s="17" t="str">
        <x:v>I don't have an additional preference for color.</x:v>
      </x:c>
      <x:c r="I843" s="17" t="str"/>
    </x:row>
    <x:row r="844">
      <x:c r="A844" t="str">
        <x:v>public_0074</x:v>
      </x:c>
      <x:c r="B844" t="str">
        <x:v>browsing</x:v>
      </x:c>
      <x:c r="C844" t="str">
        <x:v>medium</x:v>
      </x:c>
      <x:c r="D844" s="17" t="str">
        <x:v>next ask before hit/override</x:v>
      </x:c>
      <x:c r="E844" s="17" t="str">
        <x:v>size</x:v>
      </x:c>
      <x:c r="F844" s="17" t="str">
        <x:v>no new constraint</x:v>
      </x:c>
      <x:c r="G844" s="17" t="str"/>
      <x:c r="H844" s="17" t="str">
        <x:v>I don't have an additional preference for size.</x:v>
      </x:c>
      <x:c r="I844" s="17" t="str"/>
    </x:row>
    <x:row r="845">
      <x:c r="A845" t="str">
        <x:v>public_0074</x:v>
      </x:c>
      <x:c r="B845" t="str">
        <x:v>browsing</x:v>
      </x:c>
      <x:c r="C845" t="str">
        <x:v>medium</x:v>
      </x:c>
      <x:c r="D845" s="17" t="str">
        <x:v>next ask before hit/override</x:v>
      </x:c>
      <x:c r="E845" s="17" t="str">
        <x:v>style</x:v>
      </x:c>
      <x:c r="F845" s="17" t="str">
        <x:v>no new constraint</x:v>
      </x:c>
      <x:c r="G845" s="17" t="str"/>
      <x:c r="H845" s="17" t="str">
        <x:v>I don't have an additional preference for style.</x:v>
      </x:c>
      <x:c r="I845" s="17" t="str"/>
    </x:row>
    <x:row r="846">
      <x:c r="A846" t="str">
        <x:v>public_0074</x:v>
      </x:c>
      <x:c r="B846" t="str">
        <x:v>browsing</x:v>
      </x:c>
      <x:c r="C846" t="str">
        <x:v>medium</x:v>
      </x:c>
      <x:c r="D846" s="17" t="str">
        <x:v>next ask before hit/override</x:v>
      </x:c>
      <x:c r="E846" s="17" t="str">
        <x:v>brand</x:v>
      </x:c>
      <x:c r="F846" s="17" t="str">
        <x:v>no new constraint</x:v>
      </x:c>
      <x:c r="G846" s="17" t="str"/>
      <x:c r="H846" s="17" t="str">
        <x:v>I don't have an additional preference for brand.</x:v>
      </x:c>
      <x:c r="I846" s="17" t="str"/>
    </x:row>
    <x:row r="847">
      <x:c r="A847" t="str">
        <x:v>public_0074</x:v>
      </x:c>
      <x:c r="B847" t="str">
        <x:v>browsing</x:v>
      </x:c>
      <x:c r="C847" t="str">
        <x:v>medium</x:v>
      </x:c>
      <x:c r="D847" s="17" t="str">
        <x:v>next ask before hit/override</x:v>
      </x:c>
      <x:c r="E847" s="17" t="str">
        <x:v>budget</x:v>
      </x:c>
      <x:c r="F847" s="17" t="str">
        <x:v>no new constraint</x:v>
      </x:c>
      <x:c r="G847" s="17" t="str"/>
      <x:c r="H847" s="17" t="str">
        <x:v>I don't have an additional preference for budget.</x:v>
      </x:c>
      <x:c r="I847" s="17" t="str"/>
    </x:row>
    <x:row r="848">
      <x:c r="A848" t="str">
        <x:v>public_0074</x:v>
      </x:c>
      <x:c r="B848" t="str">
        <x:v>browsing</x:v>
      </x:c>
      <x:c r="C848" t="str">
        <x:v>medium</x:v>
      </x:c>
      <x:c r="D848" s="17" t="str">
        <x:v>next ask before hit/override</x:v>
      </x:c>
      <x:c r="E848" s="17" t="str">
        <x:v>feature</x:v>
      </x:c>
      <x:c r="F848" s="17" t="str">
        <x:v>constraint revealed</x:v>
      </x:c>
      <x:c r="G848" s="17" t="str">
        <x:v>mesh | Imported</x:v>
      </x:c>
      <x:c r="H848" s="17" t="str">
        <x:v>For that, what matters is: mesh; Imported.</x:v>
      </x:c>
      <x:c r="I848" s="17" t="str"/>
    </x:row>
    <x:row r="849">
      <x:c r="A849" t="str">
        <x:v>public_0074</x:v>
      </x:c>
      <x:c r="B849" t="str">
        <x:v>browsing</x:v>
      </x:c>
      <x:c r="C849" t="str">
        <x:v>medium</x:v>
      </x:c>
      <x:c r="D849" s="17" t="str">
        <x:v>next ask before hit/override</x:v>
      </x:c>
      <x:c r="E849" s="17" t="str">
        <x:v>use_case</x:v>
      </x:c>
      <x:c r="F849" s="17" t="str">
        <x:v>no new constraint</x:v>
      </x:c>
      <x:c r="G849" s="17" t="str"/>
      <x:c r="H849" s="17" t="str">
        <x:v>I don't have an additional preference for use_case.</x:v>
      </x:c>
      <x:c r="I849" s="17" t="str"/>
    </x:row>
    <x:row r="850">
      <x:c r="A850" t="str">
        <x:v>public_0074</x:v>
      </x:c>
      <x:c r="B850" t="str">
        <x:v>browsing</x:v>
      </x:c>
      <x:c r="C850" t="str">
        <x:v>medium</x:v>
      </x:c>
      <x:c r="D850" s="17" t="str">
        <x:v>next ask before hit/override</x:v>
      </x:c>
      <x:c r="E850" s="17" t="str">
        <x:v>other</x:v>
      </x:c>
      <x:c r="F850" s="17" t="str">
        <x:v>constraint revealed</x:v>
      </x:c>
      <x:c r="G850" s="17" t="str">
        <x:v>mesh | Imported</x:v>
      </x:c>
      <x:c r="H850" s="17" t="str">
        <x:v>For that, what matters is: mesh; Imported.</x:v>
      </x:c>
      <x:c r="I850" s="17" t="str"/>
    </x:row>
    <x:row r="851">
      <x:c r="A851" t="str">
        <x:v>public_0074</x:v>
      </x:c>
      <x:c r="B851" t="str">
        <x:v>browsing</x:v>
      </x:c>
      <x:c r="C851" t="str">
        <x:v>medium</x:v>
      </x:c>
      <x:c r="D851" s="17" t="str">
        <x:v>next ask before hit/override</x:v>
      </x:c>
      <x:c r="E851" s="17" t="str">
        <x:v>(no ask_attribute)</x:v>
      </x:c>
      <x:c r="F851" s="17" t="str">
        <x:v>agent did not ask</x:v>
      </x:c>
      <x:c r="G851" s="17" t="str"/>
      <x:c r="H851" s="17" t="str">
        <x:v>Those options are not quite right yet. Ask me about one specific attribute.</x:v>
      </x:c>
      <x:c r="I851" s="17" t="str"/>
    </x:row>
    <x:row r="852">
      <x:c r="A852" t="str">
        <x:v>public_0075</x:v>
      </x:c>
      <x:c r="B852" t="str">
        <x:v>browsing</x:v>
      </x:c>
      <x:c r="C852" t="str">
        <x:v>medium</x:v>
      </x:c>
      <x:c r="D852" s="17" t="str">
        <x:v>next ask before hit/override</x:v>
      </x:c>
      <x:c r="E852" s="17" t="str">
        <x:v>category</x:v>
      </x:c>
      <x:c r="F852" s="17" t="str">
        <x:v>no new constraint</x:v>
      </x:c>
      <x:c r="G852" s="17" t="str"/>
      <x:c r="H852" s="17" t="str">
        <x:v>I don't have an additional preference for category.</x:v>
      </x:c>
      <x:c r="I852" s="17" t="str"/>
    </x:row>
    <x:row r="853">
      <x:c r="A853" t="str">
        <x:v>public_0075</x:v>
      </x:c>
      <x:c r="B853" t="str">
        <x:v>browsing</x:v>
      </x:c>
      <x:c r="C853" t="str">
        <x:v>medium</x:v>
      </x:c>
      <x:c r="D853" s="17" t="str">
        <x:v>next ask before hit/override</x:v>
      </x:c>
      <x:c r="E853" s="17" t="str">
        <x:v>material</x:v>
      </x:c>
      <x:c r="F853" s="17" t="str">
        <x:v>constraint revealed</x:v>
      </x:c>
      <x:c r="G853" s="17" t="str">
        <x:v>leather | 100% Leather</x:v>
      </x:c>
      <x:c r="H853" s="17" t="str">
        <x:v>For that, what matters is: leather; 100% Leather.</x:v>
      </x:c>
      <x:c r="I853" s="17" t="str"/>
    </x:row>
    <x:row r="854">
      <x:c r="A854" t="str">
        <x:v>public_0075</x:v>
      </x:c>
      <x:c r="B854" t="str">
        <x:v>browsing</x:v>
      </x:c>
      <x:c r="C854" t="str">
        <x:v>medium</x:v>
      </x:c>
      <x:c r="D854" s="17" t="str">
        <x:v>next ask before hit/override</x:v>
      </x:c>
      <x:c r="E854" s="17" t="str">
        <x:v>color</x:v>
      </x:c>
      <x:c r="F854" s="17" t="str">
        <x:v>no new constraint</x:v>
      </x:c>
      <x:c r="G854" s="17" t="str"/>
      <x:c r="H854" s="17" t="str">
        <x:v>I don't have an additional preference for color.</x:v>
      </x:c>
      <x:c r="I854" s="17" t="str"/>
    </x:row>
    <x:row r="855">
      <x:c r="A855" t="str">
        <x:v>public_0075</x:v>
      </x:c>
      <x:c r="B855" t="str">
        <x:v>browsing</x:v>
      </x:c>
      <x:c r="C855" t="str">
        <x:v>medium</x:v>
      </x:c>
      <x:c r="D855" s="17" t="str">
        <x:v>next ask before hit/override</x:v>
      </x:c>
      <x:c r="E855" s="17" t="str">
        <x:v>size</x:v>
      </x:c>
      <x:c r="F855" s="17" t="str">
        <x:v>no new constraint</x:v>
      </x:c>
      <x:c r="G855" s="17" t="str"/>
      <x:c r="H855" s="17" t="str">
        <x:v>I don't have an additional preference for size.</x:v>
      </x:c>
      <x:c r="I855" s="17" t="str"/>
    </x:row>
    <x:row r="856">
      <x:c r="A856" t="str">
        <x:v>public_0075</x:v>
      </x:c>
      <x:c r="B856" t="str">
        <x:v>browsing</x:v>
      </x:c>
      <x:c r="C856" t="str">
        <x:v>medium</x:v>
      </x:c>
      <x:c r="D856" s="17" t="str">
        <x:v>next ask before hit/override</x:v>
      </x:c>
      <x:c r="E856" s="17" t="str">
        <x:v>style</x:v>
      </x:c>
      <x:c r="F856" s="17" t="str">
        <x:v>no new constraint</x:v>
      </x:c>
      <x:c r="G856" s="17" t="str"/>
      <x:c r="H856" s="17" t="str">
        <x:v>I don't have an additional preference for style.</x:v>
      </x:c>
      <x:c r="I856" s="17" t="str"/>
    </x:row>
    <x:row r="857">
      <x:c r="A857" t="str">
        <x:v>public_0075</x:v>
      </x:c>
      <x:c r="B857" t="str">
        <x:v>browsing</x:v>
      </x:c>
      <x:c r="C857" t="str">
        <x:v>medium</x:v>
      </x:c>
      <x:c r="D857" s="17" t="str">
        <x:v>next ask before hit/override</x:v>
      </x:c>
      <x:c r="E857" s="17" t="str">
        <x:v>brand</x:v>
      </x:c>
      <x:c r="F857" s="17" t="str">
        <x:v>no new constraint</x:v>
      </x:c>
      <x:c r="G857" s="17" t="str"/>
      <x:c r="H857" s="17" t="str">
        <x:v>I don't have an additional preference for brand.</x:v>
      </x:c>
      <x:c r="I857" s="17" t="str"/>
    </x:row>
    <x:row r="858">
      <x:c r="A858" t="str">
        <x:v>public_0075</x:v>
      </x:c>
      <x:c r="B858" t="str">
        <x:v>browsing</x:v>
      </x:c>
      <x:c r="C858" t="str">
        <x:v>medium</x:v>
      </x:c>
      <x:c r="D858" s="17" t="str">
        <x:v>next ask before hit/override</x:v>
      </x:c>
      <x:c r="E858" s="17" t="str">
        <x:v>budget</x:v>
      </x:c>
      <x:c r="F858" s="17" t="str">
        <x:v>no new constraint</x:v>
      </x:c>
      <x:c r="G858" s="17" t="str"/>
      <x:c r="H858" s="17" t="str">
        <x:v>I don't have an additional preference for budget.</x:v>
      </x:c>
      <x:c r="I858" s="17" t="str"/>
    </x:row>
    <x:row r="859">
      <x:c r="A859" t="str">
        <x:v>public_0075</x:v>
      </x:c>
      <x:c r="B859" t="str">
        <x:v>browsing</x:v>
      </x:c>
      <x:c r="C859" t="str">
        <x:v>medium</x:v>
      </x:c>
      <x:c r="D859" s="17" t="str">
        <x:v>next ask before hit/override</x:v>
      </x:c>
      <x:c r="E859" s="17" t="str">
        <x:v>feature</x:v>
      </x:c>
      <x:c r="F859" s="17" t="str">
        <x:v>constraint revealed</x:v>
      </x:c>
      <x:c r="G859" s="17" t="str">
        <x:v>Ratchet closure</x:v>
      </x:c>
      <x:c r="H859" s="17" t="str">
        <x:v>For that, what matters is: Ratchet closure.</x:v>
      </x:c>
      <x:c r="I859" s="17" t="str"/>
    </x:row>
    <x:row r="860">
      <x:c r="A860" t="str">
        <x:v>public_0075</x:v>
      </x:c>
      <x:c r="B860" t="str">
        <x:v>browsing</x:v>
      </x:c>
      <x:c r="C860" t="str">
        <x:v>medium</x:v>
      </x:c>
      <x:c r="D860" s="17" t="str">
        <x:v>next ask before hit/override</x:v>
      </x:c>
      <x:c r="E860" s="17" t="str">
        <x:v>use_case</x:v>
      </x:c>
      <x:c r="F860" s="17" t="str">
        <x:v>no new constraint</x:v>
      </x:c>
      <x:c r="G860" s="17" t="str"/>
      <x:c r="H860" s="17" t="str">
        <x:v>I don't have an additional preference for use_case.</x:v>
      </x:c>
      <x:c r="I860" s="17" t="str"/>
    </x:row>
    <x:row r="861">
      <x:c r="A861" t="str">
        <x:v>public_0075</x:v>
      </x:c>
      <x:c r="B861" t="str">
        <x:v>browsing</x:v>
      </x:c>
      <x:c r="C861" t="str">
        <x:v>medium</x:v>
      </x:c>
      <x:c r="D861" s="17" t="str">
        <x:v>next ask before hit/override</x:v>
      </x:c>
      <x:c r="E861" s="17" t="str">
        <x:v>other</x:v>
      </x:c>
      <x:c r="F861" s="17" t="str">
        <x:v>constraint revealed</x:v>
      </x:c>
      <x:c r="G861" s="17" t="str">
        <x:v>leather | 100% Leather</x:v>
      </x:c>
      <x:c r="H861" s="17" t="str">
        <x:v>For that, what matters is: leather; 100% Leather.</x:v>
      </x:c>
      <x:c r="I861" s="17" t="str"/>
    </x:row>
    <x:row r="862">
      <x:c r="A862" t="str">
        <x:v>public_0075</x:v>
      </x:c>
      <x:c r="B862" t="str">
        <x:v>browsing</x:v>
      </x:c>
      <x:c r="C862" t="str">
        <x:v>medium</x:v>
      </x:c>
      <x:c r="D862" s="17" t="str">
        <x:v>next ask before hit/override</x:v>
      </x:c>
      <x:c r="E862" s="17" t="str">
        <x:v>(no ask_attribute)</x:v>
      </x:c>
      <x:c r="F862" s="17" t="str">
        <x:v>agent did not ask</x:v>
      </x:c>
      <x:c r="G862" s="17" t="str"/>
      <x:c r="H862" s="17" t="str">
        <x:v>Those options are not quite right yet. Ask me about one specific attribute.</x:v>
      </x:c>
      <x:c r="I862" s="17" t="str"/>
    </x:row>
    <x:row r="863">
      <x:c r="A863" t="str">
        <x:v>public_0076</x:v>
      </x:c>
      <x:c r="B863" t="str">
        <x:v>browsing</x:v>
      </x:c>
      <x:c r="C863" t="str">
        <x:v>medium</x:v>
      </x:c>
      <x:c r="D863" s="17" t="str">
        <x:v>next ask before hit/override</x:v>
      </x:c>
      <x:c r="E863" s="17" t="str">
        <x:v>category</x:v>
      </x:c>
      <x:c r="F863" s="17" t="str">
        <x:v>no new constraint</x:v>
      </x:c>
      <x:c r="G863" s="17" t="str"/>
      <x:c r="H863" s="17" t="str">
        <x:v>I don't have an additional preference for category.</x:v>
      </x:c>
      <x:c r="I863" s="17" t="str"/>
    </x:row>
    <x:row r="864">
      <x:c r="A864" t="str">
        <x:v>public_0076</x:v>
      </x:c>
      <x:c r="B864" t="str">
        <x:v>browsing</x:v>
      </x:c>
      <x:c r="C864" t="str">
        <x:v>medium</x:v>
      </x:c>
      <x:c r="D864" s="17" t="str">
        <x:v>next ask before hit/override</x:v>
      </x:c>
      <x:c r="E864" s="17" t="str">
        <x:v>material</x:v>
      </x:c>
      <x:c r="F864" s="17" t="str">
        <x:v>constraint revealed</x:v>
      </x:c>
      <x:c r="G864" s="17" t="str">
        <x:v>cotton | Solid colors: 80% Cotton, 20% Polyester; Heather Grey: 78% Cotton, 22% Poly; Dark Heather: 50% Cotton, 50% Polyester</x:v>
      </x:c>
      <x:c r="H864" s="17" t="str">
        <x:v>For that, what matters is: cotton; Solid colors: 80% Cotton, 20% Polyester; Heather Grey: 78% Cotton, 22% Poly; Dark Heather: 50% Cotton, 50% Polyester.</x:v>
      </x:c>
      <x:c r="I864" s="17" t="str"/>
    </x:row>
    <x:row r="865">
      <x:c r="A865" t="str">
        <x:v>public_0076</x:v>
      </x:c>
      <x:c r="B865" t="str">
        <x:v>browsing</x:v>
      </x:c>
      <x:c r="C865" t="str">
        <x:v>medium</x:v>
      </x:c>
      <x:c r="D865" s="17" t="str">
        <x:v>next ask before hit/override</x:v>
      </x:c>
      <x:c r="E865" s="17" t="str">
        <x:v>color</x:v>
      </x:c>
      <x:c r="F865" s="17" t="str">
        <x:v>constraint revealed</x:v>
      </x:c>
      <x:c r="G865" s="17" t="str">
        <x:v>color: grey</x:v>
      </x:c>
      <x:c r="H865" s="17" t="str">
        <x:v>For that, what matters is: color: grey.</x:v>
      </x:c>
      <x:c r="I865" s="17" t="str"/>
    </x:row>
    <x:row r="866">
      <x:c r="A866" t="str">
        <x:v>public_0076</x:v>
      </x:c>
      <x:c r="B866" t="str">
        <x:v>browsing</x:v>
      </x:c>
      <x:c r="C866" t="str">
        <x:v>medium</x:v>
      </x:c>
      <x:c r="D866" s="17" t="str">
        <x:v>next ask before hit/override</x:v>
      </x:c>
      <x:c r="E866" s="17" t="str">
        <x:v>size</x:v>
      </x:c>
      <x:c r="F866" s="17" t="str">
        <x:v>no new constraint</x:v>
      </x:c>
      <x:c r="G866" s="17" t="str"/>
      <x:c r="H866" s="17" t="str">
        <x:v>I don't have an additional preference for size.</x:v>
      </x:c>
      <x:c r="I866" s="17" t="str"/>
    </x:row>
    <x:row r="867">
      <x:c r="A867" t="str">
        <x:v>public_0076</x:v>
      </x:c>
      <x:c r="B867" t="str">
        <x:v>browsing</x:v>
      </x:c>
      <x:c r="C867" t="str">
        <x:v>medium</x:v>
      </x:c>
      <x:c r="D867" s="17" t="str">
        <x:v>next ask before hit/override</x:v>
      </x:c>
      <x:c r="E867" s="17" t="str">
        <x:v>style</x:v>
      </x:c>
      <x:c r="F867" s="17" t="str">
        <x:v>no new constraint</x:v>
      </x:c>
      <x:c r="G867" s="17" t="str"/>
      <x:c r="H867" s="17" t="str">
        <x:v>I don't have an additional preference for style.</x:v>
      </x:c>
      <x:c r="I867" s="17" t="str"/>
    </x:row>
    <x:row r="868">
      <x:c r="A868" t="str">
        <x:v>public_0076</x:v>
      </x:c>
      <x:c r="B868" t="str">
        <x:v>browsing</x:v>
      </x:c>
      <x:c r="C868" t="str">
        <x:v>medium</x:v>
      </x:c>
      <x:c r="D868" s="17" t="str">
        <x:v>next ask before hit/override</x:v>
      </x:c>
      <x:c r="E868" s="17" t="str">
        <x:v>brand</x:v>
      </x:c>
      <x:c r="F868" s="17" t="str">
        <x:v>no new constraint</x:v>
      </x:c>
      <x:c r="G868" s="17" t="str"/>
      <x:c r="H868" s="17" t="str">
        <x:v>I don't have an additional preference for brand.</x:v>
      </x:c>
      <x:c r="I868" s="17" t="str"/>
    </x:row>
    <x:row r="869">
      <x:c r="A869" t="str">
        <x:v>public_0076</x:v>
      </x:c>
      <x:c r="B869" t="str">
        <x:v>browsing</x:v>
      </x:c>
      <x:c r="C869" t="str">
        <x:v>medium</x:v>
      </x:c>
      <x:c r="D869" s="17" t="str">
        <x:v>next ask before hit/override</x:v>
      </x:c>
      <x:c r="E869" s="17" t="str">
        <x:v>budget</x:v>
      </x:c>
      <x:c r="F869" s="17" t="str">
        <x:v>no new constraint</x:v>
      </x:c>
      <x:c r="G869" s="17" t="str"/>
      <x:c r="H869" s="17" t="str">
        <x:v>I don't have an additional preference for budget.</x:v>
      </x:c>
      <x:c r="I869" s="17" t="str"/>
    </x:row>
    <x:row r="870">
      <x:c r="A870" t="str">
        <x:v>public_0076</x:v>
      </x:c>
      <x:c r="B870" t="str">
        <x:v>browsing</x:v>
      </x:c>
      <x:c r="C870" t="str">
        <x:v>medium</x:v>
      </x:c>
      <x:c r="D870" s="17" t="str">
        <x:v>next ask before hit/override</x:v>
      </x:c>
      <x:c r="E870" s="17" t="str">
        <x:v>feature</x:v>
      </x:c>
      <x:c r="F870" s="17" t="str">
        <x:v>constraint revealed</x:v>
      </x:c>
      <x:c r="G870" s="17" t="str">
        <x:v>Imported</x:v>
      </x:c>
      <x:c r="H870" s="17" t="str">
        <x:v>For that, what matters is: Imported.</x:v>
      </x:c>
      <x:c r="I870" s="17" t="str"/>
    </x:row>
    <x:row r="871">
      <x:c r="A871" t="str">
        <x:v>public_0076</x:v>
      </x:c>
      <x:c r="B871" t="str">
        <x:v>browsing</x:v>
      </x:c>
      <x:c r="C871" t="str">
        <x:v>medium</x:v>
      </x:c>
      <x:c r="D871" s="17" t="str">
        <x:v>next ask before hit/override</x:v>
      </x:c>
      <x:c r="E871" s="17" t="str">
        <x:v>use_case</x:v>
      </x:c>
      <x:c r="F871" s="17" t="str">
        <x:v>no new constraint</x:v>
      </x:c>
      <x:c r="G871" s="17" t="str"/>
      <x:c r="H871" s="17" t="str">
        <x:v>I don't have an additional preference for use_case.</x:v>
      </x:c>
      <x:c r="I871" s="17" t="str"/>
    </x:row>
    <x:row r="872">
      <x:c r="A872" t="str">
        <x:v>public_0076</x:v>
      </x:c>
      <x:c r="B872" t="str">
        <x:v>browsing</x:v>
      </x:c>
      <x:c r="C872" t="str">
        <x:v>medium</x:v>
      </x:c>
      <x:c r="D872" s="17" t="str">
        <x:v>next ask before hit/override</x:v>
      </x:c>
      <x:c r="E872" s="17" t="str">
        <x:v>other</x:v>
      </x:c>
      <x:c r="F872" s="17" t="str">
        <x:v>constraint revealed</x:v>
      </x:c>
      <x:c r="G872" s="17" t="str">
        <x:v>cotton | color: grey</x:v>
      </x:c>
      <x:c r="H872" s="17" t="str">
        <x:v>For that, what matters is: cotton; color: grey.</x:v>
      </x:c>
      <x:c r="I872" s="17" t="str"/>
    </x:row>
    <x:row r="873">
      <x:c r="A873" t="str">
        <x:v>public_0076</x:v>
      </x:c>
      <x:c r="B873" t="str">
        <x:v>browsing</x:v>
      </x:c>
      <x:c r="C873" t="str">
        <x:v>medium</x:v>
      </x:c>
      <x:c r="D873" s="17" t="str">
        <x:v>next ask before hit/override</x:v>
      </x:c>
      <x:c r="E873" s="17" t="str">
        <x:v>(no ask_attribute)</x:v>
      </x:c>
      <x:c r="F873" s="17" t="str">
        <x:v>agent did not ask</x:v>
      </x:c>
      <x:c r="G873" s="17" t="str"/>
      <x:c r="H873" s="17" t="str">
        <x:v>Those options are not quite right yet. Ask me about one specific attribute.</x:v>
      </x:c>
      <x:c r="I873" s="17" t="str"/>
    </x:row>
    <x:row r="874">
      <x:c r="A874" t="str">
        <x:v>public_0077</x:v>
      </x:c>
      <x:c r="B874" t="str">
        <x:v>browsing</x:v>
      </x:c>
      <x:c r="C874" t="str">
        <x:v>medium</x:v>
      </x:c>
      <x:c r="D874" s="17" t="str">
        <x:v>next ask before hit/override</x:v>
      </x:c>
      <x:c r="E874" s="17" t="str">
        <x:v>category</x:v>
      </x:c>
      <x:c r="F874" s="17" t="str">
        <x:v>no new constraint</x:v>
      </x:c>
      <x:c r="G874" s="17" t="str"/>
      <x:c r="H874" s="17" t="str">
        <x:v>I don't have an additional preference for category.</x:v>
      </x:c>
      <x:c r="I874" s="17" t="str"/>
    </x:row>
    <x:row r="875">
      <x:c r="A875" t="str">
        <x:v>public_0077</x:v>
      </x:c>
      <x:c r="B875" t="str">
        <x:v>browsing</x:v>
      </x:c>
      <x:c r="C875" t="str">
        <x:v>medium</x:v>
      </x:c>
      <x:c r="D875" s="17" t="str">
        <x:v>next ask before hit/override</x:v>
      </x:c>
      <x:c r="E875" s="17" t="str">
        <x:v>material</x:v>
      </x:c>
      <x:c r="F875" s="17" t="str">
        <x:v>constraint revealed</x:v>
      </x:c>
      <x:c r="G875" s="17" t="str">
        <x:v>cotton | 55% Cotton /45% Polyester Flannel</x:v>
      </x:c>
      <x:c r="H875" s="17" t="str">
        <x:v>For that, what matters is: cotton; 55% Cotton /45% Polyester Flannel.</x:v>
      </x:c>
      <x:c r="I875" s="17" t="str"/>
    </x:row>
    <x:row r="876">
      <x:c r="A876" t="str">
        <x:v>public_0077</x:v>
      </x:c>
      <x:c r="B876" t="str">
        <x:v>browsing</x:v>
      </x:c>
      <x:c r="C876" t="str">
        <x:v>medium</x:v>
      </x:c>
      <x:c r="D876" s="17" t="str">
        <x:v>next ask before hit/override</x:v>
      </x:c>
      <x:c r="E876" s="17" t="str">
        <x:v>color</x:v>
      </x:c>
      <x:c r="F876" s="17" t="str">
        <x:v>no new constraint</x:v>
      </x:c>
      <x:c r="G876" s="17" t="str"/>
      <x:c r="H876" s="17" t="str">
        <x:v>I don't have an additional preference for color.</x:v>
      </x:c>
      <x:c r="I876" s="17" t="str"/>
    </x:row>
    <x:row r="877">
      <x:c r="A877" t="str">
        <x:v>public_0077</x:v>
      </x:c>
      <x:c r="B877" t="str">
        <x:v>browsing</x:v>
      </x:c>
      <x:c r="C877" t="str">
        <x:v>medium</x:v>
      </x:c>
      <x:c r="D877" s="17" t="str">
        <x:v>next ask before hit/override</x:v>
      </x:c>
      <x:c r="E877" s="17" t="str">
        <x:v>size</x:v>
      </x:c>
      <x:c r="F877" s="17" t="str">
        <x:v>no new constraint</x:v>
      </x:c>
      <x:c r="G877" s="17" t="str"/>
      <x:c r="H877" s="17" t="str">
        <x:v>I don't have an additional preference for size.</x:v>
      </x:c>
      <x:c r="I877" s="17" t="str"/>
    </x:row>
    <x:row r="878">
      <x:c r="A878" t="str">
        <x:v>public_0077</x:v>
      </x:c>
      <x:c r="B878" t="str">
        <x:v>browsing</x:v>
      </x:c>
      <x:c r="C878" t="str">
        <x:v>medium</x:v>
      </x:c>
      <x:c r="D878" s="17" t="str">
        <x:v>next ask before hit/override</x:v>
      </x:c>
      <x:c r="E878" s="17" t="str">
        <x:v>style</x:v>
      </x:c>
      <x:c r="F878" s="17" t="str">
        <x:v>no new constraint</x:v>
      </x:c>
      <x:c r="G878" s="17" t="str"/>
      <x:c r="H878" s="17" t="str">
        <x:v>I don't have an additional preference for style.</x:v>
      </x:c>
      <x:c r="I878" s="17" t="str"/>
    </x:row>
    <x:row r="879">
      <x:c r="A879" t="str">
        <x:v>public_0077</x:v>
      </x:c>
      <x:c r="B879" t="str">
        <x:v>browsing</x:v>
      </x:c>
      <x:c r="C879" t="str">
        <x:v>medium</x:v>
      </x:c>
      <x:c r="D879" s="17" t="str">
        <x:v>next ask before hit/override</x:v>
      </x:c>
      <x:c r="E879" s="17" t="str">
        <x:v>brand</x:v>
      </x:c>
      <x:c r="F879" s="17" t="str">
        <x:v>no new constraint</x:v>
      </x:c>
      <x:c r="G879" s="17" t="str"/>
      <x:c r="H879" s="17" t="str">
        <x:v>I don't have an additional preference for brand.</x:v>
      </x:c>
      <x:c r="I879" s="17" t="str"/>
    </x:row>
    <x:row r="880">
      <x:c r="A880" t="str">
        <x:v>public_0077</x:v>
      </x:c>
      <x:c r="B880" t="str">
        <x:v>browsing</x:v>
      </x:c>
      <x:c r="C880" t="str">
        <x:v>medium</x:v>
      </x:c>
      <x:c r="D880" s="17" t="str">
        <x:v>next ask before hit/override</x:v>
      </x:c>
      <x:c r="E880" s="17" t="str">
        <x:v>budget</x:v>
      </x:c>
      <x:c r="F880" s="17" t="str">
        <x:v>no new constraint</x:v>
      </x:c>
      <x:c r="G880" s="17" t="str"/>
      <x:c r="H880" s="17" t="str">
        <x:v>I don't have an additional preference for budget.</x:v>
      </x:c>
      <x:c r="I880" s="17" t="str"/>
    </x:row>
    <x:row r="881">
      <x:c r="A881" t="str">
        <x:v>public_0077</x:v>
      </x:c>
      <x:c r="B881" t="str">
        <x:v>browsing</x:v>
      </x:c>
      <x:c r="C881" t="str">
        <x:v>medium</x:v>
      </x:c>
      <x:c r="D881" s="17" t="str">
        <x:v>next ask before hit/override</x:v>
      </x:c>
      <x:c r="E881" s="17" t="str">
        <x:v>feature</x:v>
      </x:c>
      <x:c r="F881" s="17" t="str">
        <x:v>constraint revealed</x:v>
      </x:c>
      <x:c r="G881" s="17" t="str">
        <x:v>Button closure | Machine Wash</x:v>
      </x:c>
      <x:c r="H881" s="17" t="str">
        <x:v>For that, what matters is: Button closure; Machine Wash.</x:v>
      </x:c>
      <x:c r="I881" s="17" t="str"/>
    </x:row>
    <x:row r="882">
      <x:c r="A882" t="str">
        <x:v>public_0077</x:v>
      </x:c>
      <x:c r="B882" t="str">
        <x:v>browsing</x:v>
      </x:c>
      <x:c r="C882" t="str">
        <x:v>medium</x:v>
      </x:c>
      <x:c r="D882" s="17" t="str">
        <x:v>next ask before hit/override</x:v>
      </x:c>
      <x:c r="E882" s="17" t="str">
        <x:v>use_case</x:v>
      </x:c>
      <x:c r="F882" s="17" t="str">
        <x:v>no new constraint</x:v>
      </x:c>
      <x:c r="G882" s="17" t="str"/>
      <x:c r="H882" s="17" t="str">
        <x:v>I don't have an additional preference for use_case.</x:v>
      </x:c>
      <x:c r="I882" s="17" t="str"/>
    </x:row>
    <x:row r="883">
      <x:c r="A883" t="str">
        <x:v>public_0077</x:v>
      </x:c>
      <x:c r="B883" t="str">
        <x:v>browsing</x:v>
      </x:c>
      <x:c r="C883" t="str">
        <x:v>medium</x:v>
      </x:c>
      <x:c r="D883" s="17" t="str">
        <x:v>next ask before hit/override</x:v>
      </x:c>
      <x:c r="E883" s="17" t="str">
        <x:v>other</x:v>
      </x:c>
      <x:c r="F883" s="17" t="str">
        <x:v>constraint revealed</x:v>
      </x:c>
      <x:c r="G883" s="17" t="str">
        <x:v>cotton | 55% Cotton /45% Polyester Flannel</x:v>
      </x:c>
      <x:c r="H883" s="17" t="str">
        <x:v>For that, what matters is: cotton; 55% Cotton /45% Polyester Flannel.</x:v>
      </x:c>
      <x:c r="I883" s="17" t="str"/>
    </x:row>
    <x:row r="884">
      <x:c r="A884" t="str">
        <x:v>public_0077</x:v>
      </x:c>
      <x:c r="B884" t="str">
        <x:v>browsing</x:v>
      </x:c>
      <x:c r="C884" t="str">
        <x:v>medium</x:v>
      </x:c>
      <x:c r="D884" s="17" t="str">
        <x:v>next ask before hit/override</x:v>
      </x:c>
      <x:c r="E884" s="17" t="str">
        <x:v>(no ask_attribute)</x:v>
      </x:c>
      <x:c r="F884" s="17" t="str">
        <x:v>agent did not ask</x:v>
      </x:c>
      <x:c r="G884" s="17" t="str"/>
      <x:c r="H884" s="17" t="str">
        <x:v>Those options are not quite right yet. Ask me about one specific attribute.</x:v>
      </x:c>
      <x:c r="I884" s="17" t="str"/>
    </x:row>
    <x:row r="885">
      <x:c r="A885" t="str">
        <x:v>public_0078</x:v>
      </x:c>
      <x:c r="B885" t="str">
        <x:v>intent_override</x:v>
      </x:c>
      <x:c r="C885" t="str">
        <x:v>hard</x:v>
      </x:c>
      <x:c r="D885" s="17" t="str">
        <x:v>next ask before hit/override</x:v>
      </x:c>
      <x:c r="E885" s="17" t="str">
        <x:v>category</x:v>
      </x:c>
      <x:c r="F885" s="17" t="str">
        <x:v>no new constraint</x:v>
      </x:c>
      <x:c r="G885" s="17" t="str"/>
      <x:c r="H885" s="17" t="str">
        <x:v>I don't have an additional preference for category.</x:v>
      </x:c>
      <x:c r="I885" s="17" t="str">
        <x:v>Override message occurs automatically on turn 3 or 4 before this reply when scheduled.</x:v>
      </x:c>
    </x:row>
    <x:row r="886">
      <x:c r="A886" t="str">
        <x:v>public_0078</x:v>
      </x:c>
      <x:c r="B886" t="str">
        <x:v>intent_override</x:v>
      </x:c>
      <x:c r="C886" t="str">
        <x:v>hard</x:v>
      </x:c>
      <x:c r="D886" s="17" t="str">
        <x:v>next ask before hit/override</x:v>
      </x:c>
      <x:c r="E886" s="17" t="str">
        <x:v>material</x:v>
      </x:c>
      <x:c r="F886" s="17" t="str">
        <x:v>constraint revealed</x:v>
      </x:c>
      <x:c r="G886" s="17" t="str">
        <x:v>cotton | 78% Cotton, 21% Polyester, 1% Spandex</x:v>
      </x:c>
      <x:c r="H886" s="17" t="str">
        <x:v>For that, what matters is: cotton; 78% Cotton, 21% Polyester, 1% Spandex.</x:v>
      </x:c>
      <x:c r="I886" s="17" t="str">
        <x:v>Override message occurs automatically on turn 3 or 4 before this reply when scheduled.</x:v>
      </x:c>
    </x:row>
    <x:row r="887">
      <x:c r="A887" t="str">
        <x:v>public_0078</x:v>
      </x:c>
      <x:c r="B887" t="str">
        <x:v>intent_override</x:v>
      </x:c>
      <x:c r="C887" t="str">
        <x:v>hard</x:v>
      </x:c>
      <x:c r="D887" s="17" t="str">
        <x:v>next ask before hit/override</x:v>
      </x:c>
      <x:c r="E887" s="17" t="str">
        <x:v>color</x:v>
      </x:c>
      <x:c r="F887" s="17" t="str">
        <x:v>no new constraint</x:v>
      </x:c>
      <x:c r="G887" s="17" t="str"/>
      <x:c r="H887" s="17" t="str">
        <x:v>I don't have an additional preference for color.</x:v>
      </x:c>
      <x:c r="I887" s="17" t="str">
        <x:v>Override message occurs automatically on turn 3 or 4 before this reply when scheduled.</x:v>
      </x:c>
    </x:row>
    <x:row r="888">
      <x:c r="A888" t="str">
        <x:v>public_0078</x:v>
      </x:c>
      <x:c r="B888" t="str">
        <x:v>intent_override</x:v>
      </x:c>
      <x:c r="C888" t="str">
        <x:v>hard</x:v>
      </x:c>
      <x:c r="D888" s="17" t="str">
        <x:v>next ask before hit/override</x:v>
      </x:c>
      <x:c r="E888" s="17" t="str">
        <x:v>size</x:v>
      </x:c>
      <x:c r="F888" s="17" t="str">
        <x:v>no new constraint</x:v>
      </x:c>
      <x:c r="G888" s="17" t="str"/>
      <x:c r="H888" s="17" t="str">
        <x:v>I don't have an additional preference for size.</x:v>
      </x:c>
      <x:c r="I888" s="17" t="str">
        <x:v>Override message occurs automatically on turn 3 or 4 before this reply when scheduled.</x:v>
      </x:c>
    </x:row>
    <x:row r="889">
      <x:c r="A889" t="str">
        <x:v>public_0078</x:v>
      </x:c>
      <x:c r="B889" t="str">
        <x:v>intent_override</x:v>
      </x:c>
      <x:c r="C889" t="str">
        <x:v>hard</x:v>
      </x:c>
      <x:c r="D889" s="17" t="str">
        <x:v>next ask before hit/override</x:v>
      </x:c>
      <x:c r="E889" s="17" t="str">
        <x:v>style</x:v>
      </x:c>
      <x:c r="F889" s="17" t="str">
        <x:v>no new constraint</x:v>
      </x:c>
      <x:c r="G889" s="17" t="str"/>
      <x:c r="H889" s="17" t="str">
        <x:v>I don't have an additional preference for style.</x:v>
      </x:c>
      <x:c r="I889" s="17" t="str">
        <x:v>Override message occurs automatically on turn 3 or 4 before this reply when scheduled.</x:v>
      </x:c>
    </x:row>
    <x:row r="890">
      <x:c r="A890" t="str">
        <x:v>public_0078</x:v>
      </x:c>
      <x:c r="B890" t="str">
        <x:v>intent_override</x:v>
      </x:c>
      <x:c r="C890" t="str">
        <x:v>hard</x:v>
      </x:c>
      <x:c r="D890" s="17" t="str">
        <x:v>next ask before hit/override</x:v>
      </x:c>
      <x:c r="E890" s="17" t="str">
        <x:v>brand</x:v>
      </x:c>
      <x:c r="F890" s="17" t="str">
        <x:v>no new constraint</x:v>
      </x:c>
      <x:c r="G890" s="17" t="str"/>
      <x:c r="H890" s="17" t="str">
        <x:v>I don't have an additional preference for brand.</x:v>
      </x:c>
      <x:c r="I890" s="17" t="str">
        <x:v>Override message occurs automatically on turn 3 or 4 before this reply when scheduled.</x:v>
      </x:c>
    </x:row>
    <x:row r="891">
      <x:c r="A891" t="str">
        <x:v>public_0078</x:v>
      </x:c>
      <x:c r="B891" t="str">
        <x:v>intent_override</x:v>
      </x:c>
      <x:c r="C891" t="str">
        <x:v>hard</x:v>
      </x:c>
      <x:c r="D891" s="17" t="str">
        <x:v>next ask before hit/override</x:v>
      </x:c>
      <x:c r="E891" s="17" t="str">
        <x:v>budget</x:v>
      </x:c>
      <x:c r="F891" s="17" t="str">
        <x:v>no new constraint</x:v>
      </x:c>
      <x:c r="G891" s="17" t="str"/>
      <x:c r="H891" s="17" t="str">
        <x:v>I don't have an additional preference for budget.</x:v>
      </x:c>
      <x:c r="I891" s="17" t="str">
        <x:v>Override message occurs automatically on turn 3 or 4 before this reply when scheduled.</x:v>
      </x:c>
    </x:row>
    <x:row r="892">
      <x:c r="A892" t="str">
        <x:v>public_0078</x:v>
      </x:c>
      <x:c r="B892" t="str">
        <x:v>intent_override</x:v>
      </x:c>
      <x:c r="C892" t="str">
        <x:v>hard</x:v>
      </x:c>
      <x:c r="D892" s="17" t="str">
        <x:v>next ask before hit/override</x:v>
      </x:c>
      <x:c r="E892" s="17" t="str">
        <x:v>feature</x:v>
      </x:c>
      <x:c r="F892" s="17" t="str">
        <x:v>constraint revealed</x:v>
      </x:c>
      <x:c r="G892" s="17" t="str">
        <x:v>Made in the USA or Imported | Pull On closure</x:v>
      </x:c>
      <x:c r="H892" s="17" t="str">
        <x:v>For that, what matters is: Made in the USA or Imported; Pull On closure.</x:v>
      </x:c>
      <x:c r="I892" s="17" t="str">
        <x:v>Override message occurs automatically on turn 3 or 4 before this reply when scheduled.</x:v>
      </x:c>
    </x:row>
    <x:row r="893">
      <x:c r="A893" t="str">
        <x:v>public_0078</x:v>
      </x:c>
      <x:c r="B893" t="str">
        <x:v>intent_override</x:v>
      </x:c>
      <x:c r="C893" t="str">
        <x:v>hard</x:v>
      </x:c>
      <x:c r="D893" s="17" t="str">
        <x:v>next ask before hit/override</x:v>
      </x:c>
      <x:c r="E893" s="17" t="str">
        <x:v>use_case</x:v>
      </x:c>
      <x:c r="F893" s="17" t="str">
        <x:v>no new constraint</x:v>
      </x:c>
      <x:c r="G893" s="17" t="str"/>
      <x:c r="H893" s="17" t="str">
        <x:v>I don't have an additional preference for use_case.</x:v>
      </x:c>
      <x:c r="I893" s="17" t="str">
        <x:v>Override message occurs automatically on turn 3 or 4 before this reply when scheduled.</x:v>
      </x:c>
    </x:row>
    <x:row r="894">
      <x:c r="A894" t="str">
        <x:v>public_0078</x:v>
      </x:c>
      <x:c r="B894" t="str">
        <x:v>intent_override</x:v>
      </x:c>
      <x:c r="C894" t="str">
        <x:v>hard</x:v>
      </x:c>
      <x:c r="D894" s="17" t="str">
        <x:v>next ask before hit/override</x:v>
      </x:c>
      <x:c r="E894" s="17" t="str">
        <x:v>other</x:v>
      </x:c>
      <x:c r="F894" s="17" t="str">
        <x:v>constraint revealed</x:v>
      </x:c>
      <x:c r="G894" s="17" t="str">
        <x:v>cotton | 78% Cotton, 21% Polyester, 1% Spandex</x:v>
      </x:c>
      <x:c r="H894" s="17" t="str">
        <x:v>For that, what matters is: cotton; 78% Cotton, 21% Polyester, 1% Spandex.</x:v>
      </x:c>
      <x:c r="I894" s="17" t="str">
        <x:v>Override message occurs automatically on turn 3 or 4 before this reply when scheduled.</x:v>
      </x:c>
    </x:row>
    <x:row r="895">
      <x:c r="A895" t="str">
        <x:v>public_0078</x:v>
      </x:c>
      <x:c r="B895" t="str">
        <x:v>intent_override</x:v>
      </x:c>
      <x:c r="C895" t="str">
        <x:v>hard</x:v>
      </x:c>
      <x:c r="D895" s="17" t="str">
        <x:v>next ask before hit/override</x:v>
      </x:c>
      <x:c r="E895" s="17" t="str">
        <x:v>(no ask_attribute)</x:v>
      </x:c>
      <x:c r="F895" s="17" t="str">
        <x:v>agent did not ask</x:v>
      </x:c>
      <x:c r="G895" s="17" t="str"/>
      <x:c r="H895" s="17" t="str">
        <x:v>Those options are not quite right yet. Ask me about one specific attribute.</x:v>
      </x:c>
      <x:c r="I895" s="17" t="str">
        <x:v>Override message occurs automatically on turn 3 or 4 before this reply when scheduled.</x:v>
      </x:c>
    </x:row>
    <x:row r="896">
      <x:c r="A896" t="str">
        <x:v>public_0079</x:v>
      </x:c>
      <x:c r="B896" t="str">
        <x:v>browsing</x:v>
      </x:c>
      <x:c r="C896" t="str">
        <x:v>medium</x:v>
      </x:c>
      <x:c r="D896" s="17" t="str">
        <x:v>next ask before hit/override</x:v>
      </x:c>
      <x:c r="E896" s="17" t="str">
        <x:v>category</x:v>
      </x:c>
      <x:c r="F896" s="17" t="str">
        <x:v>no new constraint</x:v>
      </x:c>
      <x:c r="G896" s="17" t="str"/>
      <x:c r="H896" s="17" t="str">
        <x:v>I don't have an additional preference for category.</x:v>
      </x:c>
      <x:c r="I896" s="17" t="str"/>
    </x:row>
    <x:row r="897">
      <x:c r="A897" t="str">
        <x:v>public_0079</x:v>
      </x:c>
      <x:c r="B897" t="str">
        <x:v>browsing</x:v>
      </x:c>
      <x:c r="C897" t="str">
        <x:v>medium</x:v>
      </x:c>
      <x:c r="D897" s="17" t="str">
        <x:v>next ask before hit/override</x:v>
      </x:c>
      <x:c r="E897" s="17" t="str">
        <x:v>material</x:v>
      </x:c>
      <x:c r="F897" s="17" t="str">
        <x:v>constraint revealed</x:v>
      </x:c>
      <x:c r="G897" s="17" t="str">
        <x:v>polyester | Super Soft and Cozy: These fuzzy slipper socks are made of Polyester 95%, Spandex 5%. The material is extraordinary soft and comfy</x:v>
      </x:c>
      <x:c r="H897" s="17" t="str">
        <x:v>For that, what matters is: polyester; Super Soft and Cozy: These fuzzy slipper socks are made of Polyester 95%, Spandex 5%. The material is extraordinary soft and comfy.</x:v>
      </x:c>
      <x:c r="I897" s="17" t="str"/>
    </x:row>
    <x:row r="898">
      <x:c r="A898" t="str">
        <x:v>public_0079</x:v>
      </x:c>
      <x:c r="B898" t="str">
        <x:v>browsing</x:v>
      </x:c>
      <x:c r="C898" t="str">
        <x:v>medium</x:v>
      </x:c>
      <x:c r="D898" s="17" t="str">
        <x:v>next ask before hit/override</x:v>
      </x:c>
      <x:c r="E898" s="17" t="str">
        <x:v>color</x:v>
      </x:c>
      <x:c r="F898" s="17" t="str">
        <x:v>no new constraint</x:v>
      </x:c>
      <x:c r="G898" s="17" t="str"/>
      <x:c r="H898" s="17" t="str">
        <x:v>I don't have an additional preference for color.</x:v>
      </x:c>
      <x:c r="I898" s="17" t="str"/>
    </x:row>
    <x:row r="899">
      <x:c r="A899" t="str">
        <x:v>public_0079</x:v>
      </x:c>
      <x:c r="B899" t="str">
        <x:v>browsing</x:v>
      </x:c>
      <x:c r="C899" t="str">
        <x:v>medium</x:v>
      </x:c>
      <x:c r="D899" s="17" t="str">
        <x:v>next ask before hit/override</x:v>
      </x:c>
      <x:c r="E899" s="17" t="str">
        <x:v>size</x:v>
      </x:c>
      <x:c r="F899" s="17" t="str">
        <x:v>no new constraint</x:v>
      </x:c>
      <x:c r="G899" s="17" t="str"/>
      <x:c r="H899" s="17" t="str">
        <x:v>I don't have an additional preference for size.</x:v>
      </x:c>
      <x:c r="I899" s="17" t="str"/>
    </x:row>
    <x:row r="900">
      <x:c r="A900" t="str">
        <x:v>public_0079</x:v>
      </x:c>
      <x:c r="B900" t="str">
        <x:v>browsing</x:v>
      </x:c>
      <x:c r="C900" t="str">
        <x:v>medium</x:v>
      </x:c>
      <x:c r="D900" s="17" t="str">
        <x:v>next ask before hit/override</x:v>
      </x:c>
      <x:c r="E900" s="17" t="str">
        <x:v>style</x:v>
      </x:c>
      <x:c r="F900" s="17" t="str">
        <x:v>no new constraint</x:v>
      </x:c>
      <x:c r="G900" s="17" t="str"/>
      <x:c r="H900" s="17" t="str">
        <x:v>I don't have an additional preference for style.</x:v>
      </x:c>
      <x:c r="I900" s="17" t="str"/>
    </x:row>
    <x:row r="901">
      <x:c r="A901" t="str">
        <x:v>public_0079</x:v>
      </x:c>
      <x:c r="B901" t="str">
        <x:v>browsing</x:v>
      </x:c>
      <x:c r="C901" t="str">
        <x:v>medium</x:v>
      </x:c>
      <x:c r="D901" s="17" t="str">
        <x:v>next ask before hit/override</x:v>
      </x:c>
      <x:c r="E901" s="17" t="str">
        <x:v>brand</x:v>
      </x:c>
      <x:c r="F901" s="17" t="str">
        <x:v>no new constraint</x:v>
      </x:c>
      <x:c r="G901" s="17" t="str"/>
      <x:c r="H901" s="17" t="str">
        <x:v>I don't have an additional preference for brand.</x:v>
      </x:c>
      <x:c r="I901" s="17" t="str"/>
    </x:row>
    <x:row r="902">
      <x:c r="A902" t="str">
        <x:v>public_0079</x:v>
      </x:c>
      <x:c r="B902" t="str">
        <x:v>browsing</x:v>
      </x:c>
      <x:c r="C902" t="str">
        <x:v>medium</x:v>
      </x:c>
      <x:c r="D902" s="17" t="str">
        <x:v>next ask before hit/override</x:v>
      </x:c>
      <x:c r="E902" s="17" t="str">
        <x:v>budget</x:v>
      </x:c>
      <x:c r="F902" s="17" t="str">
        <x:v>no new constraint</x:v>
      </x:c>
      <x:c r="G902" s="17" t="str"/>
      <x:c r="H902" s="17" t="str">
        <x:v>I don't have an additional preference for budget.</x:v>
      </x:c>
      <x:c r="I902" s="17" t="str"/>
    </x:row>
    <x:row r="903">
      <x:c r="A903" t="str">
        <x:v>public_0079</x:v>
      </x:c>
      <x:c r="B903" t="str">
        <x:v>browsing</x:v>
      </x:c>
      <x:c r="C903" t="str">
        <x:v>medium</x:v>
      </x:c>
      <x:c r="D903" s="17" t="str">
        <x:v>next ask before hit/override</x:v>
      </x:c>
      <x:c r="E903" s="17" t="str">
        <x:v>feature</x:v>
      </x:c>
      <x:c r="F903" s="17" t="str">
        <x:v>constraint revealed</x:v>
      </x:c>
      <x:c r="G903" s="17" t="str">
        <x:v>Rubber sole | Best Gifts Ideas: These cute fluffy slipper socks are featuring lovely animals pattern-owl, dog, cat, fox, penguin and reindeer. They are very good gifts for women. Gifts for mom.</x:v>
      </x:c>
      <x:c r="H903" s="17" t="str">
        <x:v>For that, what matters is: Rubber sole; Best Gifts Ideas: These cute fluffy slipper socks are featuring lovely animals pattern-owl, dog, cat, fox, penguin and reindeer. They are very good gifts for women. Gifts for mom..</x:v>
      </x:c>
      <x:c r="I903" s="17" t="str"/>
    </x:row>
    <x:row r="904">
      <x:c r="A904" t="str">
        <x:v>public_0079</x:v>
      </x:c>
      <x:c r="B904" t="str">
        <x:v>browsing</x:v>
      </x:c>
      <x:c r="C904" t="str">
        <x:v>medium</x:v>
      </x:c>
      <x:c r="D904" s="17" t="str">
        <x:v>next ask before hit/override</x:v>
      </x:c>
      <x:c r="E904" s="17" t="str">
        <x:v>use_case</x:v>
      </x:c>
      <x:c r="F904" s="17" t="str">
        <x:v>no new constraint</x:v>
      </x:c>
      <x:c r="G904" s="17" t="str"/>
      <x:c r="H904" s="17" t="str">
        <x:v>I don't have an additional preference for use_case.</x:v>
      </x:c>
      <x:c r="I904" s="17" t="str"/>
    </x:row>
    <x:row r="905">
      <x:c r="A905" t="str">
        <x:v>public_0079</x:v>
      </x:c>
      <x:c r="B905" t="str">
        <x:v>browsing</x:v>
      </x:c>
      <x:c r="C905" t="str">
        <x:v>medium</x:v>
      </x:c>
      <x:c r="D905" s="17" t="str">
        <x:v>next ask before hit/override</x:v>
      </x:c>
      <x:c r="E905" s="17" t="str">
        <x:v>other</x:v>
      </x:c>
      <x:c r="F905" s="17" t="str">
        <x:v>constraint revealed</x:v>
      </x:c>
      <x:c r="G905" s="17" t="str">
        <x:v>polyester | Rubber sole</x:v>
      </x:c>
      <x:c r="H905" s="17" t="str">
        <x:v>For that, what matters is: polyester; Rubber sole.</x:v>
      </x:c>
      <x:c r="I905" s="17" t="str"/>
    </x:row>
    <x:row r="906">
      <x:c r="A906" t="str">
        <x:v>public_0079</x:v>
      </x:c>
      <x:c r="B906" t="str">
        <x:v>browsing</x:v>
      </x:c>
      <x:c r="C906" t="str">
        <x:v>medium</x:v>
      </x:c>
      <x:c r="D906" s="17" t="str">
        <x:v>next ask before hit/override</x:v>
      </x:c>
      <x:c r="E906" s="17" t="str">
        <x:v>(no ask_attribute)</x:v>
      </x:c>
      <x:c r="F906" s="17" t="str">
        <x:v>agent did not ask</x:v>
      </x:c>
      <x:c r="G906" s="17" t="str"/>
      <x:c r="H906" s="17" t="str">
        <x:v>Those options are not quite right yet. Ask me about one specific attribute.</x:v>
      </x:c>
      <x:c r="I906" s="17" t="str"/>
    </x:row>
    <x:row r="907">
      <x:c r="A907" t="str">
        <x:v>public_0080</x:v>
      </x:c>
      <x:c r="B907" t="str">
        <x:v>intent_override</x:v>
      </x:c>
      <x:c r="C907" t="str">
        <x:v>hard</x:v>
      </x:c>
      <x:c r="D907" s="17" t="str">
        <x:v>next ask before hit/override</x:v>
      </x:c>
      <x:c r="E907" s="17" t="str">
        <x:v>category</x:v>
      </x:c>
      <x:c r="F907" s="17" t="str">
        <x:v>no new constraint</x:v>
      </x:c>
      <x:c r="G907" s="17" t="str"/>
      <x:c r="H907" s="17" t="str">
        <x:v>I don't have an additional preference for category.</x:v>
      </x:c>
      <x:c r="I907" s="17" t="str">
        <x:v>Override message occurs automatically on turn 3 or 4 before this reply when scheduled.</x:v>
      </x:c>
    </x:row>
    <x:row r="908">
      <x:c r="A908" t="str">
        <x:v>public_0080</x:v>
      </x:c>
      <x:c r="B908" t="str">
        <x:v>intent_override</x:v>
      </x:c>
      <x:c r="C908" t="str">
        <x:v>hard</x:v>
      </x:c>
      <x:c r="D908" s="17" t="str">
        <x:v>next ask before hit/override</x:v>
      </x:c>
      <x:c r="E908" s="17" t="str">
        <x:v>material</x:v>
      </x:c>
      <x:c r="F908" s="17" t="str">
        <x:v>constraint revealed</x:v>
      </x:c>
      <x:c r="G908" s="17" t="str">
        <x:v>cotton | 60% Cotton, 40% Polyester</x:v>
      </x:c>
      <x:c r="H908" s="17" t="str">
        <x:v>For that, what matters is: cotton; 60% Cotton, 40% Polyester.</x:v>
      </x:c>
      <x:c r="I908" s="17" t="str">
        <x:v>Override message occurs automatically on turn 3 or 4 before this reply when scheduled.</x:v>
      </x:c>
    </x:row>
    <x:row r="909">
      <x:c r="A909" t="str">
        <x:v>public_0080</x:v>
      </x:c>
      <x:c r="B909" t="str">
        <x:v>intent_override</x:v>
      </x:c>
      <x:c r="C909" t="str">
        <x:v>hard</x:v>
      </x:c>
      <x:c r="D909" s="17" t="str">
        <x:v>next ask before hit/override</x:v>
      </x:c>
      <x:c r="E909" s="17" t="str">
        <x:v>color</x:v>
      </x:c>
      <x:c r="F909" s="17" t="str">
        <x:v>no new constraint</x:v>
      </x:c>
      <x:c r="G909" s="17" t="str"/>
      <x:c r="H909" s="17" t="str">
        <x:v>I don't have an additional preference for color.</x:v>
      </x:c>
      <x:c r="I909" s="17" t="str">
        <x:v>Override message occurs automatically on turn 3 or 4 before this reply when scheduled.</x:v>
      </x:c>
    </x:row>
    <x:row r="910">
      <x:c r="A910" t="str">
        <x:v>public_0080</x:v>
      </x:c>
      <x:c r="B910" t="str">
        <x:v>intent_override</x:v>
      </x:c>
      <x:c r="C910" t="str">
        <x:v>hard</x:v>
      </x:c>
      <x:c r="D910" s="17" t="str">
        <x:v>next ask before hit/override</x:v>
      </x:c>
      <x:c r="E910" s="17" t="str">
        <x:v>size</x:v>
      </x:c>
      <x:c r="F910" s="17" t="str">
        <x:v>no new constraint</x:v>
      </x:c>
      <x:c r="G910" s="17" t="str"/>
      <x:c r="H910" s="17" t="str">
        <x:v>I don't have an additional preference for size.</x:v>
      </x:c>
      <x:c r="I910" s="17" t="str">
        <x:v>Override message occurs automatically on turn 3 or 4 before this reply when scheduled.</x:v>
      </x:c>
    </x:row>
    <x:row r="911">
      <x:c r="A911" t="str">
        <x:v>public_0080</x:v>
      </x:c>
      <x:c r="B911" t="str">
        <x:v>intent_override</x:v>
      </x:c>
      <x:c r="C911" t="str">
        <x:v>hard</x:v>
      </x:c>
      <x:c r="D911" s="17" t="str">
        <x:v>next ask before hit/override</x:v>
      </x:c>
      <x:c r="E911" s="17" t="str">
        <x:v>style</x:v>
      </x:c>
      <x:c r="F911" s="17" t="str">
        <x:v>no new constraint</x:v>
      </x:c>
      <x:c r="G911" s="17" t="str"/>
      <x:c r="H911" s="17" t="str">
        <x:v>I don't have an additional preference for style.</x:v>
      </x:c>
      <x:c r="I911" s="17" t="str">
        <x:v>Override message occurs automatically on turn 3 or 4 before this reply when scheduled.</x:v>
      </x:c>
    </x:row>
    <x:row r="912">
      <x:c r="A912" t="str">
        <x:v>public_0080</x:v>
      </x:c>
      <x:c r="B912" t="str">
        <x:v>intent_override</x:v>
      </x:c>
      <x:c r="C912" t="str">
        <x:v>hard</x:v>
      </x:c>
      <x:c r="D912" s="17" t="str">
        <x:v>next ask before hit/override</x:v>
      </x:c>
      <x:c r="E912" s="17" t="str">
        <x:v>brand</x:v>
      </x:c>
      <x:c r="F912" s="17" t="str">
        <x:v>no new constraint</x:v>
      </x:c>
      <x:c r="G912" s="17" t="str"/>
      <x:c r="H912" s="17" t="str">
        <x:v>I don't have an additional preference for brand.</x:v>
      </x:c>
      <x:c r="I912" s="17" t="str">
        <x:v>Override message occurs automatically on turn 3 or 4 before this reply when scheduled.</x:v>
      </x:c>
    </x:row>
    <x:row r="913">
      <x:c r="A913" t="str">
        <x:v>public_0080</x:v>
      </x:c>
      <x:c r="B913" t="str">
        <x:v>intent_override</x:v>
      </x:c>
      <x:c r="C913" t="str">
        <x:v>hard</x:v>
      </x:c>
      <x:c r="D913" s="17" t="str">
        <x:v>next ask before hit/override</x:v>
      </x:c>
      <x:c r="E913" s="17" t="str">
        <x:v>budget</x:v>
      </x:c>
      <x:c r="F913" s="17" t="str">
        <x:v>no new constraint</x:v>
      </x:c>
      <x:c r="G913" s="17" t="str"/>
      <x:c r="H913" s="17" t="str">
        <x:v>I don't have an additional preference for budget.</x:v>
      </x:c>
      <x:c r="I913" s="17" t="str">
        <x:v>Override message occurs automatically on turn 3 or 4 before this reply when scheduled.</x:v>
      </x:c>
    </x:row>
    <x:row r="914">
      <x:c r="A914" t="str">
        <x:v>public_0080</x:v>
      </x:c>
      <x:c r="B914" t="str">
        <x:v>intent_override</x:v>
      </x:c>
      <x:c r="C914" t="str">
        <x:v>hard</x:v>
      </x:c>
      <x:c r="D914" s="17" t="str">
        <x:v>next ask before hit/override</x:v>
      </x:c>
      <x:c r="E914" s="17" t="str">
        <x:v>feature</x:v>
      </x:c>
      <x:c r="F914" s="17" t="str">
        <x:v>constraint revealed</x:v>
      </x:c>
      <x:c r="G914" s="17" t="str">
        <x:v>Imported | Button closure</x:v>
      </x:c>
      <x:c r="H914" s="17" t="str">
        <x:v>For that, what matters is: Imported; Button closure.</x:v>
      </x:c>
      <x:c r="I914" s="17" t="str">
        <x:v>Override message occurs automatically on turn 3 or 4 before this reply when scheduled.</x:v>
      </x:c>
    </x:row>
    <x:row r="915">
      <x:c r="A915" t="str">
        <x:v>public_0080</x:v>
      </x:c>
      <x:c r="B915" t="str">
        <x:v>intent_override</x:v>
      </x:c>
      <x:c r="C915" t="str">
        <x:v>hard</x:v>
      </x:c>
      <x:c r="D915" s="17" t="str">
        <x:v>next ask before hit/override</x:v>
      </x:c>
      <x:c r="E915" s="17" t="str">
        <x:v>use_case</x:v>
      </x:c>
      <x:c r="F915" s="17" t="str">
        <x:v>no new constraint</x:v>
      </x:c>
      <x:c r="G915" s="17" t="str"/>
      <x:c r="H915" s="17" t="str">
        <x:v>I don't have an additional preference for use_case.</x:v>
      </x:c>
      <x:c r="I915" s="17" t="str">
        <x:v>Override message occurs automatically on turn 3 or 4 before this reply when scheduled.</x:v>
      </x:c>
    </x:row>
    <x:row r="916">
      <x:c r="A916" t="str">
        <x:v>public_0080</x:v>
      </x:c>
      <x:c r="B916" t="str">
        <x:v>intent_override</x:v>
      </x:c>
      <x:c r="C916" t="str">
        <x:v>hard</x:v>
      </x:c>
      <x:c r="D916" s="17" t="str">
        <x:v>next ask before hit/override</x:v>
      </x:c>
      <x:c r="E916" s="17" t="str">
        <x:v>other</x:v>
      </x:c>
      <x:c r="F916" s="17" t="str">
        <x:v>constraint revealed</x:v>
      </x:c>
      <x:c r="G916" s="17" t="str">
        <x:v>cotton | 60% Cotton, 40% Polyester</x:v>
      </x:c>
      <x:c r="H916" s="17" t="str">
        <x:v>For that, what matters is: cotton; 60% Cotton, 40% Polyester.</x:v>
      </x:c>
      <x:c r="I916" s="17" t="str">
        <x:v>Override message occurs automatically on turn 3 or 4 before this reply when scheduled.</x:v>
      </x:c>
    </x:row>
    <x:row r="917">
      <x:c r="A917" t="str">
        <x:v>public_0080</x:v>
      </x:c>
      <x:c r="B917" t="str">
        <x:v>intent_override</x:v>
      </x:c>
      <x:c r="C917" t="str">
        <x:v>hard</x:v>
      </x:c>
      <x:c r="D917" s="17" t="str">
        <x:v>next ask before hit/override</x:v>
      </x:c>
      <x:c r="E917" s="17" t="str">
        <x:v>(no ask_attribute)</x:v>
      </x:c>
      <x:c r="F917" s="17" t="str">
        <x:v>agent did not ask</x:v>
      </x:c>
      <x:c r="G917" s="17" t="str"/>
      <x:c r="H917" s="17" t="str">
        <x:v>Those options are not quite right yet. Ask me about one specific attribute.</x:v>
      </x:c>
      <x:c r="I917" s="17" t="str">
        <x:v>Override message occurs automatically on turn 3 or 4 before this reply when scheduled.</x:v>
      </x:c>
    </x:row>
    <x:row r="918">
      <x:c r="A918" t="str">
        <x:v>public_0081</x:v>
      </x:c>
      <x:c r="B918" t="str">
        <x:v>browsing</x:v>
      </x:c>
      <x:c r="C918" t="str">
        <x:v>medium</x:v>
      </x:c>
      <x:c r="D918" s="17" t="str">
        <x:v>next ask before hit/override</x:v>
      </x:c>
      <x:c r="E918" s="17" t="str">
        <x:v>category</x:v>
      </x:c>
      <x:c r="F918" s="17" t="str">
        <x:v>no new constraint</x:v>
      </x:c>
      <x:c r="G918" s="17" t="str"/>
      <x:c r="H918" s="17" t="str">
        <x:v>I don't have an additional preference for category.</x:v>
      </x:c>
      <x:c r="I918" s="17" t="str"/>
    </x:row>
    <x:row r="919">
      <x:c r="A919" t="str">
        <x:v>public_0081</x:v>
      </x:c>
      <x:c r="B919" t="str">
        <x:v>browsing</x:v>
      </x:c>
      <x:c r="C919" t="str">
        <x:v>medium</x:v>
      </x:c>
      <x:c r="D919" s="17" t="str">
        <x:v>next ask before hit/override</x:v>
      </x:c>
      <x:c r="E919" s="17" t="str">
        <x:v>material</x:v>
      </x:c>
      <x:c r="F919" s="17" t="str">
        <x:v>constraint revealed</x:v>
      </x:c>
      <x:c r="G919" s="17" t="str">
        <x:v>cotton | 100% Cotton</x:v>
      </x:c>
      <x:c r="H919" s="17" t="str">
        <x:v>For that, what matters is: cotton; 100% Cotton.</x:v>
      </x:c>
      <x:c r="I919" s="17" t="str"/>
    </x:row>
    <x:row r="920">
      <x:c r="A920" t="str">
        <x:v>public_0081</x:v>
      </x:c>
      <x:c r="B920" t="str">
        <x:v>browsing</x:v>
      </x:c>
      <x:c r="C920" t="str">
        <x:v>medium</x:v>
      </x:c>
      <x:c r="D920" s="17" t="str">
        <x:v>next ask before hit/override</x:v>
      </x:c>
      <x:c r="E920" s="17" t="str">
        <x:v>color</x:v>
      </x:c>
      <x:c r="F920" s="17" t="str">
        <x:v>no new constraint</x:v>
      </x:c>
      <x:c r="G920" s="17" t="str"/>
      <x:c r="H920" s="17" t="str">
        <x:v>I don't have an additional preference for color.</x:v>
      </x:c>
      <x:c r="I920" s="17" t="str"/>
    </x:row>
    <x:row r="921">
      <x:c r="A921" t="str">
        <x:v>public_0081</x:v>
      </x:c>
      <x:c r="B921" t="str">
        <x:v>browsing</x:v>
      </x:c>
      <x:c r="C921" t="str">
        <x:v>medium</x:v>
      </x:c>
      <x:c r="D921" s="17" t="str">
        <x:v>next ask before hit/override</x:v>
      </x:c>
      <x:c r="E921" s="17" t="str">
        <x:v>size</x:v>
      </x:c>
      <x:c r="F921" s="17" t="str">
        <x:v>no new constraint</x:v>
      </x:c>
      <x:c r="G921" s="17" t="str"/>
      <x:c r="H921" s="17" t="str">
        <x:v>I don't have an additional preference for size.</x:v>
      </x:c>
      <x:c r="I921" s="17" t="str"/>
    </x:row>
    <x:row r="922">
      <x:c r="A922" t="str">
        <x:v>public_0081</x:v>
      </x:c>
      <x:c r="B922" t="str">
        <x:v>browsing</x:v>
      </x:c>
      <x:c r="C922" t="str">
        <x:v>medium</x:v>
      </x:c>
      <x:c r="D922" s="17" t="str">
        <x:v>next ask before hit/override</x:v>
      </x:c>
      <x:c r="E922" s="17" t="str">
        <x:v>style</x:v>
      </x:c>
      <x:c r="F922" s="17" t="str">
        <x:v>no new constraint</x:v>
      </x:c>
      <x:c r="G922" s="17" t="str"/>
      <x:c r="H922" s="17" t="str">
        <x:v>I don't have an additional preference for style.</x:v>
      </x:c>
      <x:c r="I922" s="17" t="str"/>
    </x:row>
    <x:row r="923">
      <x:c r="A923" t="str">
        <x:v>public_0081</x:v>
      </x:c>
      <x:c r="B923" t="str">
        <x:v>browsing</x:v>
      </x:c>
      <x:c r="C923" t="str">
        <x:v>medium</x:v>
      </x:c>
      <x:c r="D923" s="17" t="str">
        <x:v>next ask before hit/override</x:v>
      </x:c>
      <x:c r="E923" s="17" t="str">
        <x:v>brand</x:v>
      </x:c>
      <x:c r="F923" s="17" t="str">
        <x:v>no new constraint</x:v>
      </x:c>
      <x:c r="G923" s="17" t="str"/>
      <x:c r="H923" s="17" t="str">
        <x:v>I don't have an additional preference for brand.</x:v>
      </x:c>
      <x:c r="I923" s="17" t="str"/>
    </x:row>
    <x:row r="924">
      <x:c r="A924" t="str">
        <x:v>public_0081</x:v>
      </x:c>
      <x:c r="B924" t="str">
        <x:v>browsing</x:v>
      </x:c>
      <x:c r="C924" t="str">
        <x:v>medium</x:v>
      </x:c>
      <x:c r="D924" s="17" t="str">
        <x:v>next ask before hit/override</x:v>
      </x:c>
      <x:c r="E924" s="17" t="str">
        <x:v>budget</x:v>
      </x:c>
      <x:c r="F924" s="17" t="str">
        <x:v>no new constraint</x:v>
      </x:c>
      <x:c r="G924" s="17" t="str"/>
      <x:c r="H924" s="17" t="str">
        <x:v>I don't have an additional preference for budget.</x:v>
      </x:c>
      <x:c r="I924" s="17" t="str"/>
    </x:row>
    <x:row r="925">
      <x:c r="A925" t="str">
        <x:v>public_0081</x:v>
      </x:c>
      <x:c r="B925" t="str">
        <x:v>browsing</x:v>
      </x:c>
      <x:c r="C925" t="str">
        <x:v>medium</x:v>
      </x:c>
      <x:c r="D925" s="17" t="str">
        <x:v>next ask before hit/override</x:v>
      </x:c>
      <x:c r="E925" s="17" t="str">
        <x:v>feature</x:v>
      </x:c>
      <x:c r="F925" s="17" t="str">
        <x:v>constraint revealed</x:v>
      </x:c>
      <x:c r="G925" s="17" t="str">
        <x:v>Pull On closure | Machine Wash</x:v>
      </x:c>
      <x:c r="H925" s="17" t="str">
        <x:v>For that, what matters is: Pull On closure; Machine Wash.</x:v>
      </x:c>
      <x:c r="I925" s="17" t="str"/>
    </x:row>
    <x:row r="926">
      <x:c r="A926" t="str">
        <x:v>public_0081</x:v>
      </x:c>
      <x:c r="B926" t="str">
        <x:v>browsing</x:v>
      </x:c>
      <x:c r="C926" t="str">
        <x:v>medium</x:v>
      </x:c>
      <x:c r="D926" s="17" t="str">
        <x:v>next ask before hit/override</x:v>
      </x:c>
      <x:c r="E926" s="17" t="str">
        <x:v>use_case</x:v>
      </x:c>
      <x:c r="F926" s="17" t="str">
        <x:v>no new constraint</x:v>
      </x:c>
      <x:c r="G926" s="17" t="str"/>
      <x:c r="H926" s="17" t="str">
        <x:v>I don't have an additional preference for use_case.</x:v>
      </x:c>
      <x:c r="I926" s="17" t="str"/>
    </x:row>
    <x:row r="927">
      <x:c r="A927" t="str">
        <x:v>public_0081</x:v>
      </x:c>
      <x:c r="B927" t="str">
        <x:v>browsing</x:v>
      </x:c>
      <x:c r="C927" t="str">
        <x:v>medium</x:v>
      </x:c>
      <x:c r="D927" s="17" t="str">
        <x:v>next ask before hit/override</x:v>
      </x:c>
      <x:c r="E927" s="17" t="str">
        <x:v>other</x:v>
      </x:c>
      <x:c r="F927" s="17" t="str">
        <x:v>constraint revealed</x:v>
      </x:c>
      <x:c r="G927" s="17" t="str">
        <x:v>cotton | 100% Cotton</x:v>
      </x:c>
      <x:c r="H927" s="17" t="str">
        <x:v>For that, what matters is: cotton; 100% Cotton.</x:v>
      </x:c>
      <x:c r="I927" s="17" t="str"/>
    </x:row>
    <x:row r="928">
      <x:c r="A928" t="str">
        <x:v>public_0081</x:v>
      </x:c>
      <x:c r="B928" t="str">
        <x:v>browsing</x:v>
      </x:c>
      <x:c r="C928" t="str">
        <x:v>medium</x:v>
      </x:c>
      <x:c r="D928" s="17" t="str">
        <x:v>next ask before hit/override</x:v>
      </x:c>
      <x:c r="E928" s="17" t="str">
        <x:v>(no ask_attribute)</x:v>
      </x:c>
      <x:c r="F928" s="17" t="str">
        <x:v>agent did not ask</x:v>
      </x:c>
      <x:c r="G928" s="17" t="str"/>
      <x:c r="H928" s="17" t="str">
        <x:v>Those options are not quite right yet. Ask me about one specific attribute.</x:v>
      </x:c>
      <x:c r="I928" s="17" t="str"/>
    </x:row>
    <x:row r="929">
      <x:c r="A929" t="str">
        <x:v>public_0082</x:v>
      </x:c>
      <x:c r="B929" t="str">
        <x:v>buying</x:v>
      </x:c>
      <x:c r="C929" t="str">
        <x:v>easy</x:v>
      </x:c>
      <x:c r="D929" s="17" t="str">
        <x:v>next ask before hit/override</x:v>
      </x:c>
      <x:c r="E929" s="17" t="str">
        <x:v>category</x:v>
      </x:c>
      <x:c r="F929" s="17" t="str">
        <x:v>no new constraint</x:v>
      </x:c>
      <x:c r="G929" s="17" t="str"/>
      <x:c r="H929" s="17" t="str">
        <x:v>I don't have an additional preference for category.</x:v>
      </x:c>
      <x:c r="I929" s="17" t="str"/>
    </x:row>
    <x:row r="930">
      <x:c r="A930" t="str">
        <x:v>public_0082</x:v>
      </x:c>
      <x:c r="B930" t="str">
        <x:v>buying</x:v>
      </x:c>
      <x:c r="C930" t="str">
        <x:v>easy</x:v>
      </x:c>
      <x:c r="D930" s="17" t="str">
        <x:v>next ask before hit/override</x:v>
      </x:c>
      <x:c r="E930" s="17" t="str">
        <x:v>material</x:v>
      </x:c>
      <x:c r="F930" s="17" t="str">
        <x:v>no new constraint</x:v>
      </x:c>
      <x:c r="G930" s="17" t="str"/>
      <x:c r="H930" s="17" t="str">
        <x:v>I don't have an additional preference for material.</x:v>
      </x:c>
      <x:c r="I930" s="17" t="str"/>
    </x:row>
    <x:row r="931">
      <x:c r="A931" t="str">
        <x:v>public_0082</x:v>
      </x:c>
      <x:c r="B931" t="str">
        <x:v>buying</x:v>
      </x:c>
      <x:c r="C931" t="str">
        <x:v>easy</x:v>
      </x:c>
      <x:c r="D931" s="17" t="str">
        <x:v>next ask before hit/override</x:v>
      </x:c>
      <x:c r="E931" s="17" t="str">
        <x:v>color</x:v>
      </x:c>
      <x:c r="F931" s="17" t="str">
        <x:v>constraint revealed</x:v>
      </x:c>
      <x:c r="G931" s="17" t="str">
        <x:v>color: blue | Summer vibe accessories: blue and orange colors of the wave strand bracelet set can easily make you look vibrant, going well with different clothes; Nice accessories to wear in sum</x:v>
      </x:c>
      <x:c r="H931" s="17" t="str">
        <x:v>For that, what matters is: color: blue; Summer vibe accessories: blue and orange colors of the wave strand bracelet set can easily make you look vibrant, going well with different clothes; Nice accessories to wear in sum.</x:v>
      </x:c>
      <x:c r="I931" s="17" t="str"/>
    </x:row>
    <x:row r="932">
      <x:c r="A932" t="str">
        <x:v>public_0082</x:v>
      </x:c>
      <x:c r="B932" t="str">
        <x:v>buying</x:v>
      </x:c>
      <x:c r="C932" t="str">
        <x:v>easy</x:v>
      </x:c>
      <x:c r="D932" s="17" t="str">
        <x:v>next ask before hit/override</x:v>
      </x:c>
      <x:c r="E932" s="17" t="str">
        <x:v>size</x:v>
      </x:c>
      <x:c r="F932" s="17" t="str">
        <x:v>no new constraint</x:v>
      </x:c>
      <x:c r="G932" s="17" t="str"/>
      <x:c r="H932" s="17" t="str">
        <x:v>I don't have an additional preference for size.</x:v>
      </x:c>
      <x:c r="I932" s="17" t="str"/>
    </x:row>
    <x:row r="933">
      <x:c r="A933" t="str">
        <x:v>public_0082</x:v>
      </x:c>
      <x:c r="B933" t="str">
        <x:v>buying</x:v>
      </x:c>
      <x:c r="C933" t="str">
        <x:v>easy</x:v>
      </x:c>
      <x:c r="D933" s="17" t="str">
        <x:v>next ask before hit/override</x:v>
      </x:c>
      <x:c r="E933" s="17" t="str">
        <x:v>style</x:v>
      </x:c>
      <x:c r="F933" s="17" t="str">
        <x:v>constraint revealed</x:v>
      </x:c>
      <x:c r="G933" s="17" t="str">
        <x:v>Waterproof and fadeless: these boho style pull cord anklets are made of a combination of wax and cords, featuring good resistance of water, not easy to fade even if you go surfing</x:v>
      </x:c>
      <x:c r="H933" s="17" t="str">
        <x:v>For that, what matters is: Waterproof and fadeless: these boho style pull cord anklets are made of a combination of wax and cords, featuring good resistance of water, not easy to fade even if you go surfing.</x:v>
      </x:c>
      <x:c r="I933" s="17" t="str"/>
    </x:row>
    <x:row r="934">
      <x:c r="A934" t="str">
        <x:v>public_0082</x:v>
      </x:c>
      <x:c r="B934" t="str">
        <x:v>buying</x:v>
      </x:c>
      <x:c r="C934" t="str">
        <x:v>easy</x:v>
      </x:c>
      <x:c r="D934" s="17" t="str">
        <x:v>next ask before hit/override</x:v>
      </x:c>
      <x:c r="E934" s="17" t="str">
        <x:v>brand</x:v>
      </x:c>
      <x:c r="F934" s="17" t="str">
        <x:v>no new constraint</x:v>
      </x:c>
      <x:c r="G934" s="17" t="str"/>
      <x:c r="H934" s="17" t="str">
        <x:v>I don't have an additional preference for brand.</x:v>
      </x:c>
      <x:c r="I934" s="17" t="str"/>
    </x:row>
    <x:row r="935">
      <x:c r="A935" t="str">
        <x:v>public_0082</x:v>
      </x:c>
      <x:c r="B935" t="str">
        <x:v>buying</x:v>
      </x:c>
      <x:c r="C935" t="str">
        <x:v>easy</x:v>
      </x:c>
      <x:c r="D935" s="17" t="str">
        <x:v>next ask before hit/override</x:v>
      </x:c>
      <x:c r="E935" s="17" t="str">
        <x:v>budget</x:v>
      </x:c>
      <x:c r="F935" s="17" t="str">
        <x:v>no new constraint</x:v>
      </x:c>
      <x:c r="G935" s="17" t="str"/>
      <x:c r="H935" s="17" t="str">
        <x:v>I don't have an additional preference for budget.</x:v>
      </x:c>
      <x:c r="I935" s="17" t="str"/>
    </x:row>
    <x:row r="936">
      <x:c r="A936" t="str">
        <x:v>public_0082</x:v>
      </x:c>
      <x:c r="B936" t="str">
        <x:v>buying</x:v>
      </x:c>
      <x:c r="C936" t="str">
        <x:v>easy</x:v>
      </x:c>
      <x:c r="D936" s="17" t="str">
        <x:v>next ask before hit/override</x:v>
      </x:c>
      <x:c r="E936" s="17" t="str">
        <x:v>feature</x:v>
      </x:c>
      <x:c r="F936" s="17" t="str">
        <x:v>no new constraint</x:v>
      </x:c>
      <x:c r="G936" s="17" t="str"/>
      <x:c r="H936" s="17" t="str">
        <x:v>I don't have an additional preference for feature.</x:v>
      </x:c>
      <x:c r="I936" s="17" t="str"/>
    </x:row>
    <x:row r="937">
      <x:c r="A937" t="str">
        <x:v>public_0082</x:v>
      </x:c>
      <x:c r="B937" t="str">
        <x:v>buying</x:v>
      </x:c>
      <x:c r="C937" t="str">
        <x:v>easy</x:v>
      </x:c>
      <x:c r="D937" s="17" t="str">
        <x:v>next ask before hit/override</x:v>
      </x:c>
      <x:c r="E937" s="17" t="str">
        <x:v>use_case</x:v>
      </x:c>
      <x:c r="F937" s="17" t="str">
        <x:v>no new constraint</x:v>
      </x:c>
      <x:c r="G937" s="17" t="str"/>
      <x:c r="H937" s="17" t="str">
        <x:v>I don't have an additional preference for use_case.</x:v>
      </x:c>
      <x:c r="I937" s="17" t="str"/>
    </x:row>
    <x:row r="938">
      <x:c r="A938" t="str">
        <x:v>public_0082</x:v>
      </x:c>
      <x:c r="B938" t="str">
        <x:v>buying</x:v>
      </x:c>
      <x:c r="C938" t="str">
        <x:v>easy</x:v>
      </x:c>
      <x:c r="D938" s="17" t="str">
        <x:v>next ask before hit/override</x:v>
      </x:c>
      <x:c r="E938" s="17" t="str">
        <x:v>other</x:v>
      </x:c>
      <x:c r="F938" s="17" t="str">
        <x:v>constraint revealed</x:v>
      </x:c>
      <x:c r="G938" s="17" t="str">
        <x:v>color: blue | Waterproof and fadeless: these boho style pull cord anklets are made of a combination of wax and cords, featuring good resistance of water, not easy to fade even if you go surfing</x:v>
      </x:c>
      <x:c r="H938" s="17" t="str">
        <x:v>For that, what matters is: color: blue; Waterproof and fadeless: these boho style pull cord anklets are made of a combination of wax and cords, featuring good resistance of water, not easy to fade even if you go surfing.</x:v>
      </x:c>
      <x:c r="I938" s="17" t="str"/>
    </x:row>
    <x:row r="939">
      <x:c r="A939" t="str">
        <x:v>public_0082</x:v>
      </x:c>
      <x:c r="B939" t="str">
        <x:v>buying</x:v>
      </x:c>
      <x:c r="C939" t="str">
        <x:v>easy</x:v>
      </x:c>
      <x:c r="D939" s="17" t="str">
        <x:v>next ask before hit/override</x:v>
      </x:c>
      <x:c r="E939" s="17" t="str">
        <x:v>(no ask_attribute)</x:v>
      </x:c>
      <x:c r="F939" s="17" t="str">
        <x:v>agent did not ask</x:v>
      </x:c>
      <x:c r="G939" s="17" t="str"/>
      <x:c r="H939" s="17" t="str">
        <x:v>Those options are not quite right yet. Ask me about one specific attribute.</x:v>
      </x:c>
      <x:c r="I939" s="17" t="str"/>
    </x:row>
    <x:row r="940">
      <x:c r="A940" t="str">
        <x:v>public_0083</x:v>
      </x:c>
      <x:c r="B940" t="str">
        <x:v>buying</x:v>
      </x:c>
      <x:c r="C940" t="str">
        <x:v>easy</x:v>
      </x:c>
      <x:c r="D940" s="17" t="str">
        <x:v>next ask before hit/override</x:v>
      </x:c>
      <x:c r="E940" s="17" t="str">
        <x:v>category</x:v>
      </x:c>
      <x:c r="F940" s="17" t="str">
        <x:v>no new constraint</x:v>
      </x:c>
      <x:c r="G940" s="17" t="str"/>
      <x:c r="H940" s="17" t="str">
        <x:v>I don't have an additional preference for category.</x:v>
      </x:c>
      <x:c r="I940" s="17" t="str"/>
    </x:row>
    <x:row r="941">
      <x:c r="A941" t="str">
        <x:v>public_0083</x:v>
      </x:c>
      <x:c r="B941" t="str">
        <x:v>buying</x:v>
      </x:c>
      <x:c r="C941" t="str">
        <x:v>easy</x:v>
      </x:c>
      <x:c r="D941" s="17" t="str">
        <x:v>next ask before hit/override</x:v>
      </x:c>
      <x:c r="E941" s="17" t="str">
        <x:v>material</x:v>
      </x:c>
      <x:c r="F941" s="17" t="str">
        <x:v>constraint revealed</x:v>
      </x:c>
      <x:c r="G941" s="17" t="str">
        <x:v>100% Polyester</x:v>
      </x:c>
      <x:c r="H941" s="17" t="str">
        <x:v>For that, what matters is: 100% Polyester.</x:v>
      </x:c>
      <x:c r="I941" s="17" t="str"/>
    </x:row>
    <x:row r="942">
      <x:c r="A942" t="str">
        <x:v>public_0083</x:v>
      </x:c>
      <x:c r="B942" t="str">
        <x:v>buying</x:v>
      </x:c>
      <x:c r="C942" t="str">
        <x:v>easy</x:v>
      </x:c>
      <x:c r="D942" s="17" t="str">
        <x:v>next ask before hit/override</x:v>
      </x:c>
      <x:c r="E942" s="17" t="str">
        <x:v>color</x:v>
      </x:c>
      <x:c r="F942" s="17" t="str">
        <x:v>no new constraint</x:v>
      </x:c>
      <x:c r="G942" s="17" t="str"/>
      <x:c r="H942" s="17" t="str">
        <x:v>I don't have an additional preference for color.</x:v>
      </x:c>
      <x:c r="I942" s="17" t="str"/>
    </x:row>
    <x:row r="943">
      <x:c r="A943" t="str">
        <x:v>public_0083</x:v>
      </x:c>
      <x:c r="B943" t="str">
        <x:v>buying</x:v>
      </x:c>
      <x:c r="C943" t="str">
        <x:v>easy</x:v>
      </x:c>
      <x:c r="D943" s="17" t="str">
        <x:v>next ask before hit/override</x:v>
      </x:c>
      <x:c r="E943" s="17" t="str">
        <x:v>size</x:v>
      </x:c>
      <x:c r="F943" s="17" t="str">
        <x:v>no new constraint</x:v>
      </x:c>
      <x:c r="G943" s="17" t="str"/>
      <x:c r="H943" s="17" t="str">
        <x:v>I don't have an additional preference for size.</x:v>
      </x:c>
      <x:c r="I943" s="17" t="str"/>
    </x:row>
    <x:row r="944">
      <x:c r="A944" t="str">
        <x:v>public_0083</x:v>
      </x:c>
      <x:c r="B944" t="str">
        <x:v>buying</x:v>
      </x:c>
      <x:c r="C944" t="str">
        <x:v>easy</x:v>
      </x:c>
      <x:c r="D944" s="17" t="str">
        <x:v>next ask before hit/override</x:v>
      </x:c>
      <x:c r="E944" s="17" t="str">
        <x:v>style</x:v>
      </x:c>
      <x:c r="F944" s="17" t="str">
        <x:v>no new constraint</x:v>
      </x:c>
      <x:c r="G944" s="17" t="str"/>
      <x:c r="H944" s="17" t="str">
        <x:v>I don't have an additional preference for style.</x:v>
      </x:c>
      <x:c r="I944" s="17" t="str"/>
    </x:row>
    <x:row r="945">
      <x:c r="A945" t="str">
        <x:v>public_0083</x:v>
      </x:c>
      <x:c r="B945" t="str">
        <x:v>buying</x:v>
      </x:c>
      <x:c r="C945" t="str">
        <x:v>easy</x:v>
      </x:c>
      <x:c r="D945" s="17" t="str">
        <x:v>next ask before hit/override</x:v>
      </x:c>
      <x:c r="E945" s="17" t="str">
        <x:v>brand</x:v>
      </x:c>
      <x:c r="F945" s="17" t="str">
        <x:v>no new constraint</x:v>
      </x:c>
      <x:c r="G945" s="17" t="str"/>
      <x:c r="H945" s="17" t="str">
        <x:v>I don't have an additional preference for brand.</x:v>
      </x:c>
      <x:c r="I945" s="17" t="str"/>
    </x:row>
    <x:row r="946">
      <x:c r="A946" t="str">
        <x:v>public_0083</x:v>
      </x:c>
      <x:c r="B946" t="str">
        <x:v>buying</x:v>
      </x:c>
      <x:c r="C946" t="str">
        <x:v>easy</x:v>
      </x:c>
      <x:c r="D946" s="17" t="str">
        <x:v>next ask before hit/override</x:v>
      </x:c>
      <x:c r="E946" s="17" t="str">
        <x:v>budget</x:v>
      </x:c>
      <x:c r="F946" s="17" t="str">
        <x:v>no new constraint</x:v>
      </x:c>
      <x:c r="G946" s="17" t="str"/>
      <x:c r="H946" s="17" t="str">
        <x:v>I don't have an additional preference for budget.</x:v>
      </x:c>
      <x:c r="I946" s="17" t="str"/>
    </x:row>
    <x:row r="947">
      <x:c r="A947" t="str">
        <x:v>public_0083</x:v>
      </x:c>
      <x:c r="B947" t="str">
        <x:v>buying</x:v>
      </x:c>
      <x:c r="C947" t="str">
        <x:v>easy</x:v>
      </x:c>
      <x:c r="D947" s="17" t="str">
        <x:v>next ask before hit/override</x:v>
      </x:c>
      <x:c r="E947" s="17" t="str">
        <x:v>feature</x:v>
      </x:c>
      <x:c r="F947" s="17" t="str">
        <x:v>constraint revealed</x:v>
      </x:c>
      <x:c r="G947" s="17" t="str">
        <x:v>Imported | Button closure</x:v>
      </x:c>
      <x:c r="H947" s="17" t="str">
        <x:v>For that, what matters is: Imported; Button closure.</x:v>
      </x:c>
      <x:c r="I947" s="17" t="str"/>
    </x:row>
    <x:row r="948">
      <x:c r="A948" t="str">
        <x:v>public_0083</x:v>
      </x:c>
      <x:c r="B948" t="str">
        <x:v>buying</x:v>
      </x:c>
      <x:c r="C948" t="str">
        <x:v>easy</x:v>
      </x:c>
      <x:c r="D948" s="17" t="str">
        <x:v>next ask before hit/override</x:v>
      </x:c>
      <x:c r="E948" s="17" t="str">
        <x:v>use_case</x:v>
      </x:c>
      <x:c r="F948" s="17" t="str">
        <x:v>no new constraint</x:v>
      </x:c>
      <x:c r="G948" s="17" t="str"/>
      <x:c r="H948" s="17" t="str">
        <x:v>I don't have an additional preference for use_case.</x:v>
      </x:c>
      <x:c r="I948" s="17" t="str"/>
    </x:row>
    <x:row r="949">
      <x:c r="A949" t="str">
        <x:v>public_0083</x:v>
      </x:c>
      <x:c r="B949" t="str">
        <x:v>buying</x:v>
      </x:c>
      <x:c r="C949" t="str">
        <x:v>easy</x:v>
      </x:c>
      <x:c r="D949" s="17" t="str">
        <x:v>next ask before hit/override</x:v>
      </x:c>
      <x:c r="E949" s="17" t="str">
        <x:v>other</x:v>
      </x:c>
      <x:c r="F949" s="17" t="str">
        <x:v>constraint revealed</x:v>
      </x:c>
      <x:c r="G949" s="17" t="str">
        <x:v>100% Polyester | Imported</x:v>
      </x:c>
      <x:c r="H949" s="17" t="str">
        <x:v>For that, what matters is: 100% Polyester; Imported.</x:v>
      </x:c>
      <x:c r="I949" s="17" t="str"/>
    </x:row>
    <x:row r="950">
      <x:c r="A950" t="str">
        <x:v>public_0083</x:v>
      </x:c>
      <x:c r="B950" t="str">
        <x:v>buying</x:v>
      </x:c>
      <x:c r="C950" t="str">
        <x:v>easy</x:v>
      </x:c>
      <x:c r="D950" s="17" t="str">
        <x:v>next ask before hit/override</x:v>
      </x:c>
      <x:c r="E950" s="17" t="str">
        <x:v>(no ask_attribute)</x:v>
      </x:c>
      <x:c r="F950" s="17" t="str">
        <x:v>agent did not ask</x:v>
      </x:c>
      <x:c r="G950" s="17" t="str"/>
      <x:c r="H950" s="17" t="str">
        <x:v>Those options are not quite right yet. Ask me about one specific attribute.</x:v>
      </x:c>
      <x:c r="I950" s="17" t="str"/>
    </x:row>
    <x:row r="951">
      <x:c r="A951" t="str">
        <x:v>public_0084</x:v>
      </x:c>
      <x:c r="B951" t="str">
        <x:v>intent_override</x:v>
      </x:c>
      <x:c r="C951" t="str">
        <x:v>hard</x:v>
      </x:c>
      <x:c r="D951" s="17" t="str">
        <x:v>next ask before hit/override</x:v>
      </x:c>
      <x:c r="E951" s="17" t="str">
        <x:v>category</x:v>
      </x:c>
      <x:c r="F951" s="17" t="str">
        <x:v>no new constraint</x:v>
      </x:c>
      <x:c r="G951" s="17" t="str"/>
      <x:c r="H951" s="17" t="str">
        <x:v>I don't have an additional preference for category.</x:v>
      </x:c>
      <x:c r="I951" s="17" t="str">
        <x:v>Override message occurs automatically on turn 3 or 4 before this reply when scheduled.</x:v>
      </x:c>
    </x:row>
    <x:row r="952">
      <x:c r="A952" t="str">
        <x:v>public_0084</x:v>
      </x:c>
      <x:c r="B952" t="str">
        <x:v>intent_override</x:v>
      </x:c>
      <x:c r="C952" t="str">
        <x:v>hard</x:v>
      </x:c>
      <x:c r="D952" s="17" t="str">
        <x:v>next ask before hit/override</x:v>
      </x:c>
      <x:c r="E952" s="17" t="str">
        <x:v>material</x:v>
      </x:c>
      <x:c r="F952" s="17" t="str">
        <x:v>constraint revealed</x:v>
      </x:c>
      <x:c r="G952" s="17" t="str">
        <x:v>nylon | 33% Elastic, 34% Nylon, 33% Polyester</x:v>
      </x:c>
      <x:c r="H952" s="17" t="str">
        <x:v>For that, what matters is: nylon; 33% Elastic, 34% Nylon, 33% Polyester.</x:v>
      </x:c>
      <x:c r="I952" s="17" t="str">
        <x:v>Override message occurs automatically on turn 3 or 4 before this reply when scheduled.</x:v>
      </x:c>
    </x:row>
    <x:row r="953">
      <x:c r="A953" t="str">
        <x:v>public_0084</x:v>
      </x:c>
      <x:c r="B953" t="str">
        <x:v>intent_override</x:v>
      </x:c>
      <x:c r="C953" t="str">
        <x:v>hard</x:v>
      </x:c>
      <x:c r="D953" s="17" t="str">
        <x:v>next ask before hit/override</x:v>
      </x:c>
      <x:c r="E953" s="17" t="str">
        <x:v>color</x:v>
      </x:c>
      <x:c r="F953" s="17" t="str">
        <x:v>no new constraint</x:v>
      </x:c>
      <x:c r="G953" s="17" t="str"/>
      <x:c r="H953" s="17" t="str">
        <x:v>I don't have an additional preference for color.</x:v>
      </x:c>
      <x:c r="I953" s="17" t="str">
        <x:v>Override message occurs automatically on turn 3 or 4 before this reply when scheduled.</x:v>
      </x:c>
    </x:row>
    <x:row r="954">
      <x:c r="A954" t="str">
        <x:v>public_0084</x:v>
      </x:c>
      <x:c r="B954" t="str">
        <x:v>intent_override</x:v>
      </x:c>
      <x:c r="C954" t="str">
        <x:v>hard</x:v>
      </x:c>
      <x:c r="D954" s="17" t="str">
        <x:v>next ask before hit/override</x:v>
      </x:c>
      <x:c r="E954" s="17" t="str">
        <x:v>size</x:v>
      </x:c>
      <x:c r="F954" s="17" t="str">
        <x:v>no new constraint</x:v>
      </x:c>
      <x:c r="G954" s="17" t="str"/>
      <x:c r="H954" s="17" t="str">
        <x:v>I don't have an additional preference for size.</x:v>
      </x:c>
      <x:c r="I954" s="17" t="str">
        <x:v>Override message occurs automatically on turn 3 or 4 before this reply when scheduled.</x:v>
      </x:c>
    </x:row>
    <x:row r="955">
      <x:c r="A955" t="str">
        <x:v>public_0084</x:v>
      </x:c>
      <x:c r="B955" t="str">
        <x:v>intent_override</x:v>
      </x:c>
      <x:c r="C955" t="str">
        <x:v>hard</x:v>
      </x:c>
      <x:c r="D955" s="17" t="str">
        <x:v>next ask before hit/override</x:v>
      </x:c>
      <x:c r="E955" s="17" t="str">
        <x:v>style</x:v>
      </x:c>
      <x:c r="F955" s="17" t="str">
        <x:v>no new constraint</x:v>
      </x:c>
      <x:c r="G955" s="17" t="str"/>
      <x:c r="H955" s="17" t="str">
        <x:v>I don't have an additional preference for style.</x:v>
      </x:c>
      <x:c r="I955" s="17" t="str">
        <x:v>Override message occurs automatically on turn 3 or 4 before this reply when scheduled.</x:v>
      </x:c>
    </x:row>
    <x:row r="956">
      <x:c r="A956" t="str">
        <x:v>public_0084</x:v>
      </x:c>
      <x:c r="B956" t="str">
        <x:v>intent_override</x:v>
      </x:c>
      <x:c r="C956" t="str">
        <x:v>hard</x:v>
      </x:c>
      <x:c r="D956" s="17" t="str">
        <x:v>next ask before hit/override</x:v>
      </x:c>
      <x:c r="E956" s="17" t="str">
        <x:v>brand</x:v>
      </x:c>
      <x:c r="F956" s="17" t="str">
        <x:v>no new constraint</x:v>
      </x:c>
      <x:c r="G956" s="17" t="str"/>
      <x:c r="H956" s="17" t="str">
        <x:v>I don't have an additional preference for brand.</x:v>
      </x:c>
      <x:c r="I956" s="17" t="str">
        <x:v>Override message occurs automatically on turn 3 or 4 before this reply when scheduled.</x:v>
      </x:c>
    </x:row>
    <x:row r="957">
      <x:c r="A957" t="str">
        <x:v>public_0084</x:v>
      </x:c>
      <x:c r="B957" t="str">
        <x:v>intent_override</x:v>
      </x:c>
      <x:c r="C957" t="str">
        <x:v>hard</x:v>
      </x:c>
      <x:c r="D957" s="17" t="str">
        <x:v>next ask before hit/override</x:v>
      </x:c>
      <x:c r="E957" s="17" t="str">
        <x:v>budget</x:v>
      </x:c>
      <x:c r="F957" s="17" t="str">
        <x:v>no new constraint</x:v>
      </x:c>
      <x:c r="G957" s="17" t="str"/>
      <x:c r="H957" s="17" t="str">
        <x:v>I don't have an additional preference for budget.</x:v>
      </x:c>
      <x:c r="I957" s="17" t="str">
        <x:v>Override message occurs automatically on turn 3 or 4 before this reply when scheduled.</x:v>
      </x:c>
    </x:row>
    <x:row r="958">
      <x:c r="A958" t="str">
        <x:v>public_0084</x:v>
      </x:c>
      <x:c r="B958" t="str">
        <x:v>intent_override</x:v>
      </x:c>
      <x:c r="C958" t="str">
        <x:v>hard</x:v>
      </x:c>
      <x:c r="D958" s="17" t="str">
        <x:v>next ask before hit/override</x:v>
      </x:c>
      <x:c r="E958" s="17" t="str">
        <x:v>feature</x:v>
      </x:c>
      <x:c r="F958" s="17" t="str">
        <x:v>constraint revealed</x:v>
      </x:c>
      <x:c r="G958" s="17" t="str">
        <x:v>Hook and Loop closure | Hand Wash Only</x:v>
      </x:c>
      <x:c r="H958" s="17" t="str">
        <x:v>For that, what matters is: Hook and Loop closure; Hand Wash Only.</x:v>
      </x:c>
      <x:c r="I958" s="17" t="str">
        <x:v>Override message occurs automatically on turn 3 or 4 before this reply when scheduled.</x:v>
      </x:c>
    </x:row>
    <x:row r="959">
      <x:c r="A959" t="str">
        <x:v>public_0084</x:v>
      </x:c>
      <x:c r="B959" t="str">
        <x:v>intent_override</x:v>
      </x:c>
      <x:c r="C959" t="str">
        <x:v>hard</x:v>
      </x:c>
      <x:c r="D959" s="17" t="str">
        <x:v>next ask before hit/override</x:v>
      </x:c>
      <x:c r="E959" s="17" t="str">
        <x:v>use_case</x:v>
      </x:c>
      <x:c r="F959" s="17" t="str">
        <x:v>no new constraint</x:v>
      </x:c>
      <x:c r="G959" s="17" t="str"/>
      <x:c r="H959" s="17" t="str">
        <x:v>I don't have an additional preference for use_case.</x:v>
      </x:c>
      <x:c r="I959" s="17" t="str">
        <x:v>Override message occurs automatically on turn 3 or 4 before this reply when scheduled.</x:v>
      </x:c>
    </x:row>
    <x:row r="960">
      <x:c r="A960" t="str">
        <x:v>public_0084</x:v>
      </x:c>
      <x:c r="B960" t="str">
        <x:v>intent_override</x:v>
      </x:c>
      <x:c r="C960" t="str">
        <x:v>hard</x:v>
      </x:c>
      <x:c r="D960" s="17" t="str">
        <x:v>next ask before hit/override</x:v>
      </x:c>
      <x:c r="E960" s="17" t="str">
        <x:v>other</x:v>
      </x:c>
      <x:c r="F960" s="17" t="str">
        <x:v>constraint revealed</x:v>
      </x:c>
      <x:c r="G960" s="17" t="str">
        <x:v>nylon | 33% Elastic, 34% Nylon, 33% Polyester</x:v>
      </x:c>
      <x:c r="H960" s="17" t="str">
        <x:v>For that, what matters is: nylon; 33% Elastic, 34% Nylon, 33% Polyester.</x:v>
      </x:c>
      <x:c r="I960" s="17" t="str">
        <x:v>Override message occurs automatically on turn 3 or 4 before this reply when scheduled.</x:v>
      </x:c>
    </x:row>
    <x:row r="961">
      <x:c r="A961" t="str">
        <x:v>public_0084</x:v>
      </x:c>
      <x:c r="B961" t="str">
        <x:v>intent_override</x:v>
      </x:c>
      <x:c r="C961" t="str">
        <x:v>hard</x:v>
      </x:c>
      <x:c r="D961" s="17" t="str">
        <x:v>next ask before hit/override</x:v>
      </x:c>
      <x:c r="E961" s="17" t="str">
        <x:v>(no ask_attribute)</x:v>
      </x:c>
      <x:c r="F961" s="17" t="str">
        <x:v>agent did not ask</x:v>
      </x:c>
      <x:c r="G961" s="17" t="str"/>
      <x:c r="H961" s="17" t="str">
        <x:v>Those options are not quite right yet. Ask me about one specific attribute.</x:v>
      </x:c>
      <x:c r="I961" s="17" t="str">
        <x:v>Override message occurs automatically on turn 3 or 4 before this reply when scheduled.</x:v>
      </x:c>
    </x:row>
    <x:row r="962">
      <x:c r="A962" t="str">
        <x:v>public_0085</x:v>
      </x:c>
      <x:c r="B962" t="str">
        <x:v>browsing</x:v>
      </x:c>
      <x:c r="C962" t="str">
        <x:v>medium</x:v>
      </x:c>
      <x:c r="D962" s="17" t="str">
        <x:v>next ask before hit/override</x:v>
      </x:c>
      <x:c r="E962" s="17" t="str">
        <x:v>category</x:v>
      </x:c>
      <x:c r="F962" s="17" t="str">
        <x:v>no new constraint</x:v>
      </x:c>
      <x:c r="G962" s="17" t="str"/>
      <x:c r="H962" s="17" t="str">
        <x:v>I don't have an additional preference for category.</x:v>
      </x:c>
      <x:c r="I962" s="17" t="str"/>
    </x:row>
    <x:row r="963">
      <x:c r="A963" t="str">
        <x:v>public_0085</x:v>
      </x:c>
      <x:c r="B963" t="str">
        <x:v>browsing</x:v>
      </x:c>
      <x:c r="C963" t="str">
        <x:v>medium</x:v>
      </x:c>
      <x:c r="D963" s="17" t="str">
        <x:v>next ask before hit/override</x:v>
      </x:c>
      <x:c r="E963" s="17" t="str">
        <x:v>material</x:v>
      </x:c>
      <x:c r="F963" s="17" t="str">
        <x:v>no new constraint</x:v>
      </x:c>
      <x:c r="G963" s="17" t="str"/>
      <x:c r="H963" s="17" t="str">
        <x:v>I don't have an additional preference for material.</x:v>
      </x:c>
      <x:c r="I963" s="17" t="str"/>
    </x:row>
    <x:row r="964">
      <x:c r="A964" t="str">
        <x:v>public_0085</x:v>
      </x:c>
      <x:c r="B964" t="str">
        <x:v>browsing</x:v>
      </x:c>
      <x:c r="C964" t="str">
        <x:v>medium</x:v>
      </x:c>
      <x:c r="D964" s="17" t="str">
        <x:v>next ask before hit/override</x:v>
      </x:c>
      <x:c r="E964" s="17" t="str">
        <x:v>color</x:v>
      </x:c>
      <x:c r="F964" s="17" t="str">
        <x:v>no new constraint</x:v>
      </x:c>
      <x:c r="G964" s="17" t="str"/>
      <x:c r="H964" s="17" t="str">
        <x:v>I don't have an additional preference for color.</x:v>
      </x:c>
      <x:c r="I964" s="17" t="str"/>
    </x:row>
    <x:row r="965">
      <x:c r="A965" t="str">
        <x:v>public_0085</x:v>
      </x:c>
      <x:c r="B965" t="str">
        <x:v>browsing</x:v>
      </x:c>
      <x:c r="C965" t="str">
        <x:v>medium</x:v>
      </x:c>
      <x:c r="D965" s="17" t="str">
        <x:v>next ask before hit/override</x:v>
      </x:c>
      <x:c r="E965" s="17" t="str">
        <x:v>size</x:v>
      </x:c>
      <x:c r="F965" s="17" t="str">
        <x:v>no new constraint</x:v>
      </x:c>
      <x:c r="G965" s="17" t="str"/>
      <x:c r="H965" s="17" t="str">
        <x:v>I don't have an additional preference for size.</x:v>
      </x:c>
      <x:c r="I965" s="17" t="str"/>
    </x:row>
    <x:row r="966">
      <x:c r="A966" t="str">
        <x:v>public_0085</x:v>
      </x:c>
      <x:c r="B966" t="str">
        <x:v>browsing</x:v>
      </x:c>
      <x:c r="C966" t="str">
        <x:v>medium</x:v>
      </x:c>
      <x:c r="D966" s="17" t="str">
        <x:v>next ask before hit/override</x:v>
      </x:c>
      <x:c r="E966" s="17" t="str">
        <x:v>style</x:v>
      </x:c>
      <x:c r="F966" s="17" t="str">
        <x:v>constraint revealed</x:v>
      </x:c>
      <x:c r="G966" s="17" t="str">
        <x:v>【Ergonomic Design】:About 30° forward tilt head protection design,so that the sole of the foot does not rush out. The sunken footbed fits the curve of the foot pelvic floor and make</x:v>
      </x:c>
      <x:c r="H966" s="17" t="str">
        <x:v>For that, what matters is: 【Ergonomic Design】:About 30° forward tilt head protection design,so that the sole of the foot does not rush out. The sunken footbed fits the curve of the foot pelvic floor and make.</x:v>
      </x:c>
      <x:c r="I966" s="17" t="str"/>
    </x:row>
    <x:row r="967">
      <x:c r="A967" t="str">
        <x:v>public_0085</x:v>
      </x:c>
      <x:c r="B967" t="str">
        <x:v>browsing</x:v>
      </x:c>
      <x:c r="C967" t="str">
        <x:v>medium</x:v>
      </x:c>
      <x:c r="D967" s="17" t="str">
        <x:v>next ask before hit/override</x:v>
      </x:c>
      <x:c r="E967" s="17" t="str">
        <x:v>brand</x:v>
      </x:c>
      <x:c r="F967" s="17" t="str">
        <x:v>no new constraint</x:v>
      </x:c>
      <x:c r="G967" s="17" t="str"/>
      <x:c r="H967" s="17" t="str">
        <x:v>I don't have an additional preference for brand.</x:v>
      </x:c>
      <x:c r="I967" s="17" t="str"/>
    </x:row>
    <x:row r="968">
      <x:c r="A968" t="str">
        <x:v>public_0085</x:v>
      </x:c>
      <x:c r="B968" t="str">
        <x:v>browsing</x:v>
      </x:c>
      <x:c r="C968" t="str">
        <x:v>medium</x:v>
      </x:c>
      <x:c r="D968" s="17" t="str">
        <x:v>next ask before hit/override</x:v>
      </x:c>
      <x:c r="E968" s="17" t="str">
        <x:v>budget</x:v>
      </x:c>
      <x:c r="F968" s="17" t="str">
        <x:v>no new constraint</x:v>
      </x:c>
      <x:c r="G968" s="17" t="str"/>
      <x:c r="H968" s="17" t="str">
        <x:v>I don't have an additional preference for budget.</x:v>
      </x:c>
      <x:c r="I968" s="17" t="str"/>
    </x:row>
    <x:row r="969">
      <x:c r="A969" t="str">
        <x:v>public_0085</x:v>
      </x:c>
      <x:c r="B969" t="str">
        <x:v>browsing</x:v>
      </x:c>
      <x:c r="C969" t="str">
        <x:v>medium</x:v>
      </x:c>
      <x:c r="D969" s="17" t="str">
        <x:v>next ask before hit/override</x:v>
      </x:c>
      <x:c r="E969" s="17" t="str">
        <x:v>feature</x:v>
      </x:c>
      <x:c r="F969" s="17" t="str">
        <x:v>constraint revealed</x:v>
      </x:c>
      <x:c r="G969" s="17" t="str">
        <x:v>Ethylene Vinyl Acetate sole | Heel measures approximately 1.57"</x:v>
      </x:c>
      <x:c r="H969" s="17" t="str">
        <x:v>For that, what matters is: Ethylene Vinyl Acetate sole; Heel measures approximately 1.57".</x:v>
      </x:c>
      <x:c r="I969" s="17" t="str"/>
    </x:row>
    <x:row r="970">
      <x:c r="A970" t="str">
        <x:v>public_0085</x:v>
      </x:c>
      <x:c r="B970" t="str">
        <x:v>browsing</x:v>
      </x:c>
      <x:c r="C970" t="str">
        <x:v>medium</x:v>
      </x:c>
      <x:c r="D970" s="17" t="str">
        <x:v>next ask before hit/override</x:v>
      </x:c>
      <x:c r="E970" s="17" t="str">
        <x:v>use_case</x:v>
      </x:c>
      <x:c r="F970" s="17" t="str">
        <x:v>no new constraint</x:v>
      </x:c>
      <x:c r="G970" s="17" t="str"/>
      <x:c r="H970" s="17" t="str">
        <x:v>I don't have an additional preference for use_case.</x:v>
      </x:c>
      <x:c r="I970" s="17" t="str"/>
    </x:row>
    <x:row r="971">
      <x:c r="A971" t="str">
        <x:v>public_0085</x:v>
      </x:c>
      <x:c r="B971" t="str">
        <x:v>browsing</x:v>
      </x:c>
      <x:c r="C971" t="str">
        <x:v>medium</x:v>
      </x:c>
      <x:c r="D971" s="17" t="str">
        <x:v>next ask before hit/override</x:v>
      </x:c>
      <x:c r="E971" s="17" t="str">
        <x:v>other</x:v>
      </x:c>
      <x:c r="F971" s="17" t="str">
        <x:v>constraint revealed</x:v>
      </x:c>
      <x:c r="G971" s="17" t="str">
        <x:v>Ethylene Vinyl Acetate sole | Heel measures approximately 1.57"</x:v>
      </x:c>
      <x:c r="H971" s="17" t="str">
        <x:v>For that, what matters is: Ethylene Vinyl Acetate sole; Heel measures approximately 1.57".</x:v>
      </x:c>
      <x:c r="I971" s="17" t="str"/>
    </x:row>
    <x:row r="972">
      <x:c r="A972" t="str">
        <x:v>public_0085</x:v>
      </x:c>
      <x:c r="B972" t="str">
        <x:v>browsing</x:v>
      </x:c>
      <x:c r="C972" t="str">
        <x:v>medium</x:v>
      </x:c>
      <x:c r="D972" s="17" t="str">
        <x:v>next ask before hit/override</x:v>
      </x:c>
      <x:c r="E972" s="17" t="str">
        <x:v>(no ask_attribute)</x:v>
      </x:c>
      <x:c r="F972" s="17" t="str">
        <x:v>agent did not ask</x:v>
      </x:c>
      <x:c r="G972" s="17" t="str"/>
      <x:c r="H972" s="17" t="str">
        <x:v>Those options are not quite right yet. Ask me about one specific attribute.</x:v>
      </x:c>
      <x:c r="I972" s="17" t="str"/>
    </x:row>
    <x:row r="973">
      <x:c r="A973" t="str">
        <x:v>public_0086</x:v>
      </x:c>
      <x:c r="B973" t="str">
        <x:v>browsing</x:v>
      </x:c>
      <x:c r="C973" t="str">
        <x:v>medium</x:v>
      </x:c>
      <x:c r="D973" s="17" t="str">
        <x:v>next ask before hit/override</x:v>
      </x:c>
      <x:c r="E973" s="17" t="str">
        <x:v>category</x:v>
      </x:c>
      <x:c r="F973" s="17" t="str">
        <x:v>no new constraint</x:v>
      </x:c>
      <x:c r="G973" s="17" t="str"/>
      <x:c r="H973" s="17" t="str">
        <x:v>I don't have an additional preference for category.</x:v>
      </x:c>
      <x:c r="I973" s="17" t="str"/>
    </x:row>
    <x:row r="974">
      <x:c r="A974" t="str">
        <x:v>public_0086</x:v>
      </x:c>
      <x:c r="B974" t="str">
        <x:v>browsing</x:v>
      </x:c>
      <x:c r="C974" t="str">
        <x:v>medium</x:v>
      </x:c>
      <x:c r="D974" s="17" t="str">
        <x:v>next ask before hit/override</x:v>
      </x:c>
      <x:c r="E974" s="17" t="str">
        <x:v>material</x:v>
      </x:c>
      <x:c r="F974" s="17" t="str">
        <x:v>no new constraint</x:v>
      </x:c>
      <x:c r="G974" s="17" t="str"/>
      <x:c r="H974" s="17" t="str">
        <x:v>I don't have an additional preference for material.</x:v>
      </x:c>
      <x:c r="I974" s="17" t="str"/>
    </x:row>
    <x:row r="975">
      <x:c r="A975" t="str">
        <x:v>public_0086</x:v>
      </x:c>
      <x:c r="B975" t="str">
        <x:v>browsing</x:v>
      </x:c>
      <x:c r="C975" t="str">
        <x:v>medium</x:v>
      </x:c>
      <x:c r="D975" s="17" t="str">
        <x:v>next ask before hit/override</x:v>
      </x:c>
      <x:c r="E975" s="17" t="str">
        <x:v>color</x:v>
      </x:c>
      <x:c r="F975" s="17" t="str">
        <x:v>no new constraint</x:v>
      </x:c>
      <x:c r="G975" s="17" t="str"/>
      <x:c r="H975" s="17" t="str">
        <x:v>I don't have an additional preference for color.</x:v>
      </x:c>
      <x:c r="I975" s="17" t="str"/>
    </x:row>
    <x:row r="976">
      <x:c r="A976" t="str">
        <x:v>public_0086</x:v>
      </x:c>
      <x:c r="B976" t="str">
        <x:v>browsing</x:v>
      </x:c>
      <x:c r="C976" t="str">
        <x:v>medium</x:v>
      </x:c>
      <x:c r="D976" s="17" t="str">
        <x:v>next ask before hit/override</x:v>
      </x:c>
      <x:c r="E976" s="17" t="str">
        <x:v>size</x:v>
      </x:c>
      <x:c r="F976" s="17" t="str">
        <x:v>no new constraint</x:v>
      </x:c>
      <x:c r="G976" s="17" t="str"/>
      <x:c r="H976" s="17" t="str">
        <x:v>I don't have an additional preference for size.</x:v>
      </x:c>
      <x:c r="I976" s="17" t="str"/>
    </x:row>
    <x:row r="977">
      <x:c r="A977" t="str">
        <x:v>public_0086</x:v>
      </x:c>
      <x:c r="B977" t="str">
        <x:v>browsing</x:v>
      </x:c>
      <x:c r="C977" t="str">
        <x:v>medium</x:v>
      </x:c>
      <x:c r="D977" s="17" t="str">
        <x:v>next ask before hit/override</x:v>
      </x:c>
      <x:c r="E977" s="17" t="str">
        <x:v>style</x:v>
      </x:c>
      <x:c r="F977" s="17" t="str">
        <x:v>no new constraint</x:v>
      </x:c>
      <x:c r="G977" s="17" t="str"/>
      <x:c r="H977" s="17" t="str">
        <x:v>I don't have an additional preference for style.</x:v>
      </x:c>
      <x:c r="I977" s="17" t="str"/>
    </x:row>
    <x:row r="978">
      <x:c r="A978" t="str">
        <x:v>public_0086</x:v>
      </x:c>
      <x:c r="B978" t="str">
        <x:v>browsing</x:v>
      </x:c>
      <x:c r="C978" t="str">
        <x:v>medium</x:v>
      </x:c>
      <x:c r="D978" s="17" t="str">
        <x:v>next ask before hit/override</x:v>
      </x:c>
      <x:c r="E978" s="17" t="str">
        <x:v>brand</x:v>
      </x:c>
      <x:c r="F978" s="17" t="str">
        <x:v>no new constraint</x:v>
      </x:c>
      <x:c r="G978" s="17" t="str"/>
      <x:c r="H978" s="17" t="str">
        <x:v>I don't have an additional preference for brand.</x:v>
      </x:c>
      <x:c r="I978" s="17" t="str"/>
    </x:row>
    <x:row r="979">
      <x:c r="A979" t="str">
        <x:v>public_0086</x:v>
      </x:c>
      <x:c r="B979" t="str">
        <x:v>browsing</x:v>
      </x:c>
      <x:c r="C979" t="str">
        <x:v>medium</x:v>
      </x:c>
      <x:c r="D979" s="17" t="str">
        <x:v>next ask before hit/override</x:v>
      </x:c>
      <x:c r="E979" s="17" t="str">
        <x:v>budget</x:v>
      </x:c>
      <x:c r="F979" s="17" t="str">
        <x:v>no new constraint</x:v>
      </x:c>
      <x:c r="G979" s="17" t="str"/>
      <x:c r="H979" s="17" t="str">
        <x:v>I don't have an additional preference for budget.</x:v>
      </x:c>
      <x:c r="I979" s="17" t="str"/>
    </x:row>
    <x:row r="980">
      <x:c r="A980" t="str">
        <x:v>public_0086</x:v>
      </x:c>
      <x:c r="B980" t="str">
        <x:v>browsing</x:v>
      </x:c>
      <x:c r="C980" t="str">
        <x:v>medium</x:v>
      </x:c>
      <x:c r="D980" s="17" t="str">
        <x:v>next ask before hit/override</x:v>
      </x:c>
      <x:c r="E980" s="17" t="str">
        <x:v>feature</x:v>
      </x:c>
      <x:c r="F980" s="17" t="str">
        <x:v>constraint revealed</x:v>
      </x:c>
      <x:c r="G980" s="17" t="str">
        <x:v>Rubber sole | PRETTY ANKLE BOOTS - Cozy up the cold season with these attractive warm house slippers while luxe chenille knit styling adds a chic and cute touch to your comfort. Subtle scrunchin</x:v>
      </x:c>
      <x:c r="H980" s="17" t="str">
        <x:v>For that, what matters is: Rubber sole; PRETTY ANKLE BOOTS - Cozy up the cold season with these attractive warm house slippers while luxe chenille knit styling adds a chic and cute touch to your comfort. Subtle scrunchin.</x:v>
      </x:c>
      <x:c r="I980" s="17" t="str"/>
    </x:row>
    <x:row r="981">
      <x:c r="A981" t="str">
        <x:v>public_0086</x:v>
      </x:c>
      <x:c r="B981" t="str">
        <x:v>browsing</x:v>
      </x:c>
      <x:c r="C981" t="str">
        <x:v>medium</x:v>
      </x:c>
      <x:c r="D981" s="17" t="str">
        <x:v>next ask before hit/override</x:v>
      </x:c>
      <x:c r="E981" s="17" t="str">
        <x:v>use_case</x:v>
      </x:c>
      <x:c r="F981" s="17" t="str">
        <x:v>no new constraint</x:v>
      </x:c>
      <x:c r="G981" s="17" t="str"/>
      <x:c r="H981" s="17" t="str">
        <x:v>I don't have an additional preference for use_case.</x:v>
      </x:c>
      <x:c r="I981" s="17" t="str"/>
    </x:row>
    <x:row r="982">
      <x:c r="A982" t="str">
        <x:v>public_0086</x:v>
      </x:c>
      <x:c r="B982" t="str">
        <x:v>browsing</x:v>
      </x:c>
      <x:c r="C982" t="str">
        <x:v>medium</x:v>
      </x:c>
      <x:c r="D982" s="17" t="str">
        <x:v>next ask before hit/override</x:v>
      </x:c>
      <x:c r="E982" s="17" t="str">
        <x:v>other</x:v>
      </x:c>
      <x:c r="F982" s="17" t="str">
        <x:v>constraint revealed</x:v>
      </x:c>
      <x:c r="G982" s="17" t="str">
        <x:v>Rubber sole | PRETTY ANKLE BOOTS - Cozy up the cold season with these attractive warm house slippers while luxe chenille knit styling adds a chic and cute touch to your comfort. Subtle scrunchin</x:v>
      </x:c>
      <x:c r="H982" s="17" t="str">
        <x:v>For that, what matters is: Rubber sole; PRETTY ANKLE BOOTS - Cozy up the cold season with these attractive warm house slippers while luxe chenille knit styling adds a chic and cute touch to your comfort. Subtle scrunchin.</x:v>
      </x:c>
      <x:c r="I982" s="17" t="str"/>
    </x:row>
    <x:row r="983">
      <x:c r="A983" t="str">
        <x:v>public_0086</x:v>
      </x:c>
      <x:c r="B983" t="str">
        <x:v>browsing</x:v>
      </x:c>
      <x:c r="C983" t="str">
        <x:v>medium</x:v>
      </x:c>
      <x:c r="D983" s="17" t="str">
        <x:v>next ask before hit/override</x:v>
      </x:c>
      <x:c r="E983" s="17" t="str">
        <x:v>(no ask_attribute)</x:v>
      </x:c>
      <x:c r="F983" s="17" t="str">
        <x:v>agent did not ask</x:v>
      </x:c>
      <x:c r="G983" s="17" t="str"/>
      <x:c r="H983" s="17" t="str">
        <x:v>Those options are not quite right yet. Ask me about one specific attribute.</x:v>
      </x:c>
      <x:c r="I983" s="17" t="str"/>
    </x:row>
    <x:row r="984">
      <x:c r="A984" t="str">
        <x:v>public_0087</x:v>
      </x:c>
      <x:c r="B984" t="str">
        <x:v>browsing</x:v>
      </x:c>
      <x:c r="C984" t="str">
        <x:v>medium</x:v>
      </x:c>
      <x:c r="D984" s="17" t="str">
        <x:v>next ask before hit/override</x:v>
      </x:c>
      <x:c r="E984" s="17" t="str">
        <x:v>category</x:v>
      </x:c>
      <x:c r="F984" s="17" t="str">
        <x:v>no new constraint</x:v>
      </x:c>
      <x:c r="G984" s="17" t="str"/>
      <x:c r="H984" s="17" t="str">
        <x:v>I don't have an additional preference for category.</x:v>
      </x:c>
      <x:c r="I984" s="17" t="str"/>
    </x:row>
    <x:row r="985">
      <x:c r="A985" t="str">
        <x:v>public_0087</x:v>
      </x:c>
      <x:c r="B985" t="str">
        <x:v>browsing</x:v>
      </x:c>
      <x:c r="C985" t="str">
        <x:v>medium</x:v>
      </x:c>
      <x:c r="D985" s="17" t="str">
        <x:v>next ask before hit/override</x:v>
      </x:c>
      <x:c r="E985" s="17" t="str">
        <x:v>material</x:v>
      </x:c>
      <x:c r="F985" s="17" t="str">
        <x:v>constraint revealed</x:v>
      </x:c>
      <x:c r="G985" s="17" t="str">
        <x:v>cotton | 100% Cotton</x:v>
      </x:c>
      <x:c r="H985" s="17" t="str">
        <x:v>For that, what matters is: cotton; 100% Cotton.</x:v>
      </x:c>
      <x:c r="I985" s="17" t="str"/>
    </x:row>
    <x:row r="986">
      <x:c r="A986" t="str">
        <x:v>public_0087</x:v>
      </x:c>
      <x:c r="B986" t="str">
        <x:v>browsing</x:v>
      </x:c>
      <x:c r="C986" t="str">
        <x:v>medium</x:v>
      </x:c>
      <x:c r="D986" s="17" t="str">
        <x:v>next ask before hit/override</x:v>
      </x:c>
      <x:c r="E986" s="17" t="str">
        <x:v>color</x:v>
      </x:c>
      <x:c r="F986" s="17" t="str">
        <x:v>no new constraint</x:v>
      </x:c>
      <x:c r="G986" s="17" t="str"/>
      <x:c r="H986" s="17" t="str">
        <x:v>I don't have an additional preference for color.</x:v>
      </x:c>
      <x:c r="I986" s="17" t="str"/>
    </x:row>
    <x:row r="987">
      <x:c r="A987" t="str">
        <x:v>public_0087</x:v>
      </x:c>
      <x:c r="B987" t="str">
        <x:v>browsing</x:v>
      </x:c>
      <x:c r="C987" t="str">
        <x:v>medium</x:v>
      </x:c>
      <x:c r="D987" s="17" t="str">
        <x:v>next ask before hit/override</x:v>
      </x:c>
      <x:c r="E987" s="17" t="str">
        <x:v>size</x:v>
      </x:c>
      <x:c r="F987" s="17" t="str">
        <x:v>no new constraint</x:v>
      </x:c>
      <x:c r="G987" s="17" t="str"/>
      <x:c r="H987" s="17" t="str">
        <x:v>I don't have an additional preference for size.</x:v>
      </x:c>
      <x:c r="I987" s="17" t="str"/>
    </x:row>
    <x:row r="988">
      <x:c r="A988" t="str">
        <x:v>public_0087</x:v>
      </x:c>
      <x:c r="B988" t="str">
        <x:v>browsing</x:v>
      </x:c>
      <x:c r="C988" t="str">
        <x:v>medium</x:v>
      </x:c>
      <x:c r="D988" s="17" t="str">
        <x:v>next ask before hit/override</x:v>
      </x:c>
      <x:c r="E988" s="17" t="str">
        <x:v>style</x:v>
      </x:c>
      <x:c r="F988" s="17" t="str">
        <x:v>no new constraint</x:v>
      </x:c>
      <x:c r="G988" s="17" t="str"/>
      <x:c r="H988" s="17" t="str">
        <x:v>I don't have an additional preference for style.</x:v>
      </x:c>
      <x:c r="I988" s="17" t="str"/>
    </x:row>
    <x:row r="989">
      <x:c r="A989" t="str">
        <x:v>public_0087</x:v>
      </x:c>
      <x:c r="B989" t="str">
        <x:v>browsing</x:v>
      </x:c>
      <x:c r="C989" t="str">
        <x:v>medium</x:v>
      </x:c>
      <x:c r="D989" s="17" t="str">
        <x:v>next ask before hit/override</x:v>
      </x:c>
      <x:c r="E989" s="17" t="str">
        <x:v>brand</x:v>
      </x:c>
      <x:c r="F989" s="17" t="str">
        <x:v>no new constraint</x:v>
      </x:c>
      <x:c r="G989" s="17" t="str"/>
      <x:c r="H989" s="17" t="str">
        <x:v>I don't have an additional preference for brand.</x:v>
      </x:c>
      <x:c r="I989" s="17" t="str"/>
    </x:row>
    <x:row r="990">
      <x:c r="A990" t="str">
        <x:v>public_0087</x:v>
      </x:c>
      <x:c r="B990" t="str">
        <x:v>browsing</x:v>
      </x:c>
      <x:c r="C990" t="str">
        <x:v>medium</x:v>
      </x:c>
      <x:c r="D990" s="17" t="str">
        <x:v>next ask before hit/override</x:v>
      </x:c>
      <x:c r="E990" s="17" t="str">
        <x:v>budget</x:v>
      </x:c>
      <x:c r="F990" s="17" t="str">
        <x:v>no new constraint</x:v>
      </x:c>
      <x:c r="G990" s="17" t="str"/>
      <x:c r="H990" s="17" t="str">
        <x:v>I don't have an additional preference for budget.</x:v>
      </x:c>
      <x:c r="I990" s="17" t="str"/>
    </x:row>
    <x:row r="991">
      <x:c r="A991" t="str">
        <x:v>public_0087</x:v>
      </x:c>
      <x:c r="B991" t="str">
        <x:v>browsing</x:v>
      </x:c>
      <x:c r="C991" t="str">
        <x:v>medium</x:v>
      </x:c>
      <x:c r="D991" s="17" t="str">
        <x:v>next ask before hit/override</x:v>
      </x:c>
      <x:c r="E991" s="17" t="str">
        <x:v>feature</x:v>
      </x:c>
      <x:c r="F991" s="17" t="str">
        <x:v>constraint revealed</x:v>
      </x:c>
      <x:c r="G991" s="17" t="str">
        <x:v>Imported | Button closure</x:v>
      </x:c>
      <x:c r="H991" s="17" t="str">
        <x:v>For that, what matters is: Imported; Button closure.</x:v>
      </x:c>
      <x:c r="I991" s="17" t="str"/>
    </x:row>
    <x:row r="992">
      <x:c r="A992" t="str">
        <x:v>public_0087</x:v>
      </x:c>
      <x:c r="B992" t="str">
        <x:v>browsing</x:v>
      </x:c>
      <x:c r="C992" t="str">
        <x:v>medium</x:v>
      </x:c>
      <x:c r="D992" s="17" t="str">
        <x:v>next ask before hit/override</x:v>
      </x:c>
      <x:c r="E992" s="17" t="str">
        <x:v>use_case</x:v>
      </x:c>
      <x:c r="F992" s="17" t="str">
        <x:v>no new constraint</x:v>
      </x:c>
      <x:c r="G992" s="17" t="str"/>
      <x:c r="H992" s="17" t="str">
        <x:v>I don't have an additional preference for use_case.</x:v>
      </x:c>
      <x:c r="I992" s="17" t="str"/>
    </x:row>
    <x:row r="993">
      <x:c r="A993" t="str">
        <x:v>public_0087</x:v>
      </x:c>
      <x:c r="B993" t="str">
        <x:v>browsing</x:v>
      </x:c>
      <x:c r="C993" t="str">
        <x:v>medium</x:v>
      </x:c>
      <x:c r="D993" s="17" t="str">
        <x:v>next ask before hit/override</x:v>
      </x:c>
      <x:c r="E993" s="17" t="str">
        <x:v>other</x:v>
      </x:c>
      <x:c r="F993" s="17" t="str">
        <x:v>constraint revealed</x:v>
      </x:c>
      <x:c r="G993" s="17" t="str">
        <x:v>cotton | 100% Cotton</x:v>
      </x:c>
      <x:c r="H993" s="17" t="str">
        <x:v>For that, what matters is: cotton; 100% Cotton.</x:v>
      </x:c>
      <x:c r="I993" s="17" t="str"/>
    </x:row>
    <x:row r="994">
      <x:c r="A994" t="str">
        <x:v>public_0087</x:v>
      </x:c>
      <x:c r="B994" t="str">
        <x:v>browsing</x:v>
      </x:c>
      <x:c r="C994" t="str">
        <x:v>medium</x:v>
      </x:c>
      <x:c r="D994" s="17" t="str">
        <x:v>next ask before hit/override</x:v>
      </x:c>
      <x:c r="E994" s="17" t="str">
        <x:v>(no ask_attribute)</x:v>
      </x:c>
      <x:c r="F994" s="17" t="str">
        <x:v>agent did not ask</x:v>
      </x:c>
      <x:c r="G994" s="17" t="str"/>
      <x:c r="H994" s="17" t="str">
        <x:v>Those options are not quite right yet. Ask me about one specific attribute.</x:v>
      </x:c>
      <x:c r="I994" s="17" t="str"/>
    </x:row>
    <x:row r="995">
      <x:c r="A995" t="str">
        <x:v>public_0088</x:v>
      </x:c>
      <x:c r="B995" t="str">
        <x:v>buying</x:v>
      </x:c>
      <x:c r="C995" t="str">
        <x:v>easy</x:v>
      </x:c>
      <x:c r="D995" s="17" t="str">
        <x:v>next ask before hit/override</x:v>
      </x:c>
      <x:c r="E995" s="17" t="str">
        <x:v>category</x:v>
      </x:c>
      <x:c r="F995" s="17" t="str">
        <x:v>no new constraint</x:v>
      </x:c>
      <x:c r="G995" s="17" t="str"/>
      <x:c r="H995" s="17" t="str">
        <x:v>I don't have an additional preference for category.</x:v>
      </x:c>
      <x:c r="I995" s="17" t="str"/>
    </x:row>
    <x:row r="996">
      <x:c r="A996" t="str">
        <x:v>public_0088</x:v>
      </x:c>
      <x:c r="B996" t="str">
        <x:v>buying</x:v>
      </x:c>
      <x:c r="C996" t="str">
        <x:v>easy</x:v>
      </x:c>
      <x:c r="D996" s="17" t="str">
        <x:v>next ask before hit/override</x:v>
      </x:c>
      <x:c r="E996" s="17" t="str">
        <x:v>material</x:v>
      </x:c>
      <x:c r="F996" s="17" t="str">
        <x:v>constraint revealed</x:v>
      </x:c>
      <x:c r="G996" s="17" t="str">
        <x:v>95% Cotton, 5% Spandex</x:v>
      </x:c>
      <x:c r="H996" s="17" t="str">
        <x:v>For that, what matters is: 95% Cotton, 5% Spandex.</x:v>
      </x:c>
      <x:c r="I996" s="17" t="str"/>
    </x:row>
    <x:row r="997">
      <x:c r="A997" t="str">
        <x:v>public_0088</x:v>
      </x:c>
      <x:c r="B997" t="str">
        <x:v>buying</x:v>
      </x:c>
      <x:c r="C997" t="str">
        <x:v>easy</x:v>
      </x:c>
      <x:c r="D997" s="17" t="str">
        <x:v>next ask before hit/override</x:v>
      </x:c>
      <x:c r="E997" s="17" t="str">
        <x:v>color</x:v>
      </x:c>
      <x:c r="F997" s="17" t="str">
        <x:v>no new constraint</x:v>
      </x:c>
      <x:c r="G997" s="17" t="str"/>
      <x:c r="H997" s="17" t="str">
        <x:v>I don't have an additional preference for color.</x:v>
      </x:c>
      <x:c r="I997" s="17" t="str"/>
    </x:row>
    <x:row r="998">
      <x:c r="A998" t="str">
        <x:v>public_0088</x:v>
      </x:c>
      <x:c r="B998" t="str">
        <x:v>buying</x:v>
      </x:c>
      <x:c r="C998" t="str">
        <x:v>easy</x:v>
      </x:c>
      <x:c r="D998" s="17" t="str">
        <x:v>next ask before hit/override</x:v>
      </x:c>
      <x:c r="E998" s="17" t="str">
        <x:v>size</x:v>
      </x:c>
      <x:c r="F998" s="17" t="str">
        <x:v>no new constraint</x:v>
      </x:c>
      <x:c r="G998" s="17" t="str"/>
      <x:c r="H998" s="17" t="str">
        <x:v>I don't have an additional preference for size.</x:v>
      </x:c>
      <x:c r="I998" s="17" t="str"/>
    </x:row>
    <x:row r="999">
      <x:c r="A999" t="str">
        <x:v>public_0088</x:v>
      </x:c>
      <x:c r="B999" t="str">
        <x:v>buying</x:v>
      </x:c>
      <x:c r="C999" t="str">
        <x:v>easy</x:v>
      </x:c>
      <x:c r="D999" s="17" t="str">
        <x:v>next ask before hit/override</x:v>
      </x:c>
      <x:c r="E999" s="17" t="str">
        <x:v>style</x:v>
      </x:c>
      <x:c r="F999" s="17" t="str">
        <x:v>no new constraint</x:v>
      </x:c>
      <x:c r="G999" s="17" t="str"/>
      <x:c r="H999" s="17" t="str">
        <x:v>I don't have an additional preference for style.</x:v>
      </x:c>
      <x:c r="I999" s="17" t="str"/>
    </x:row>
    <x:row r="1000">
      <x:c r="A1000" t="str">
        <x:v>public_0088</x:v>
      </x:c>
      <x:c r="B1000" t="str">
        <x:v>buying</x:v>
      </x:c>
      <x:c r="C1000" t="str">
        <x:v>easy</x:v>
      </x:c>
      <x:c r="D1000" s="17" t="str">
        <x:v>next ask before hit/override</x:v>
      </x:c>
      <x:c r="E1000" s="17" t="str">
        <x:v>brand</x:v>
      </x:c>
      <x:c r="F1000" s="17" t="str">
        <x:v>no new constraint</x:v>
      </x:c>
      <x:c r="G1000" s="17" t="str"/>
      <x:c r="H1000" s="17" t="str">
        <x:v>I don't have an additional preference for brand.</x:v>
      </x:c>
      <x:c r="I1000" s="17" t="str"/>
    </x:row>
    <x:row r="1001">
      <x:c r="A1001" t="str">
        <x:v>public_0088</x:v>
      </x:c>
      <x:c r="B1001" t="str">
        <x:v>buying</x:v>
      </x:c>
      <x:c r="C1001" t="str">
        <x:v>easy</x:v>
      </x:c>
      <x:c r="D1001" s="17" t="str">
        <x:v>next ask before hit/override</x:v>
      </x:c>
      <x:c r="E1001" s="17" t="str">
        <x:v>budget</x:v>
      </x:c>
      <x:c r="F1001" s="17" t="str">
        <x:v>no new constraint</x:v>
      </x:c>
      <x:c r="G1001" s="17" t="str"/>
      <x:c r="H1001" s="17" t="str">
        <x:v>I don't have an additional preference for budget.</x:v>
      </x:c>
      <x:c r="I1001" s="17" t="str"/>
    </x:row>
    <x:row r="1002">
      <x:c r="A1002" t="str">
        <x:v>public_0088</x:v>
      </x:c>
      <x:c r="B1002" t="str">
        <x:v>buying</x:v>
      </x:c>
      <x:c r="C1002" t="str">
        <x:v>easy</x:v>
      </x:c>
      <x:c r="D1002" s="17" t="str">
        <x:v>next ask before hit/override</x:v>
      </x:c>
      <x:c r="E1002" s="17" t="str">
        <x:v>feature</x:v>
      </x:c>
      <x:c r="F1002" s="17" t="str">
        <x:v>constraint revealed</x:v>
      </x:c>
      <x:c r="G1002" s="17" t="str">
        <x:v>Imported | Machine Wash</x:v>
      </x:c>
      <x:c r="H1002" s="17" t="str">
        <x:v>For that, what matters is: Imported; Machine Wash.</x:v>
      </x:c>
      <x:c r="I1002" s="17" t="str"/>
    </x:row>
    <x:row r="1003">
      <x:c r="A1003" t="str">
        <x:v>public_0088</x:v>
      </x:c>
      <x:c r="B1003" t="str">
        <x:v>buying</x:v>
      </x:c>
      <x:c r="C1003" t="str">
        <x:v>easy</x:v>
      </x:c>
      <x:c r="D1003" s="17" t="str">
        <x:v>next ask before hit/override</x:v>
      </x:c>
      <x:c r="E1003" s="17" t="str">
        <x:v>use_case</x:v>
      </x:c>
      <x:c r="F1003" s="17" t="str">
        <x:v>no new constraint</x:v>
      </x:c>
      <x:c r="G1003" s="17" t="str"/>
      <x:c r="H1003" s="17" t="str">
        <x:v>I don't have an additional preference for use_case.</x:v>
      </x:c>
      <x:c r="I1003" s="17" t="str"/>
    </x:row>
    <x:row r="1004">
      <x:c r="A1004" t="str">
        <x:v>public_0088</x:v>
      </x:c>
      <x:c r="B1004" t="str">
        <x:v>buying</x:v>
      </x:c>
      <x:c r="C1004" t="str">
        <x:v>easy</x:v>
      </x:c>
      <x:c r="D1004" s="17" t="str">
        <x:v>next ask before hit/override</x:v>
      </x:c>
      <x:c r="E1004" s="17" t="str">
        <x:v>other</x:v>
      </x:c>
      <x:c r="F1004" s="17" t="str">
        <x:v>constraint revealed</x:v>
      </x:c>
      <x:c r="G1004" s="17" t="str">
        <x:v>95% Cotton, 5% Spandex | Imported</x:v>
      </x:c>
      <x:c r="H1004" s="17" t="str">
        <x:v>For that, what matters is: 95% Cotton, 5% Spandex; Imported.</x:v>
      </x:c>
      <x:c r="I1004" s="17" t="str"/>
    </x:row>
    <x:row r="1005">
      <x:c r="A1005" t="str">
        <x:v>public_0088</x:v>
      </x:c>
      <x:c r="B1005" t="str">
        <x:v>buying</x:v>
      </x:c>
      <x:c r="C1005" t="str">
        <x:v>easy</x:v>
      </x:c>
      <x:c r="D1005" s="17" t="str">
        <x:v>next ask before hit/override</x:v>
      </x:c>
      <x:c r="E1005" s="17" t="str">
        <x:v>(no ask_attribute)</x:v>
      </x:c>
      <x:c r="F1005" s="17" t="str">
        <x:v>agent did not ask</x:v>
      </x:c>
      <x:c r="G1005" s="17" t="str"/>
      <x:c r="H1005" s="17" t="str">
        <x:v>Those options are not quite right yet. Ask me about one specific attribute.</x:v>
      </x:c>
      <x:c r="I1005" s="17" t="str"/>
    </x:row>
    <x:row r="1006">
      <x:c r="A1006" t="str">
        <x:v>public_0089</x:v>
      </x:c>
      <x:c r="B1006" t="str">
        <x:v>intent_override</x:v>
      </x:c>
      <x:c r="C1006" t="str">
        <x:v>hard</x:v>
      </x:c>
      <x:c r="D1006" s="17" t="str">
        <x:v>next ask before hit/override</x:v>
      </x:c>
      <x:c r="E1006" s="17" t="str">
        <x:v>category</x:v>
      </x:c>
      <x:c r="F1006" s="17" t="str">
        <x:v>no new constraint</x:v>
      </x:c>
      <x:c r="G1006" s="17" t="str"/>
      <x:c r="H1006" s="17" t="str">
        <x:v>I don't have an additional preference for category.</x:v>
      </x:c>
      <x:c r="I1006" s="17" t="str">
        <x:v>Override message occurs automatically on turn 3 or 4 before this reply when scheduled.</x:v>
      </x:c>
    </x:row>
    <x:row r="1007">
      <x:c r="A1007" t="str">
        <x:v>public_0089</x:v>
      </x:c>
      <x:c r="B1007" t="str">
        <x:v>intent_override</x:v>
      </x:c>
      <x:c r="C1007" t="str">
        <x:v>hard</x:v>
      </x:c>
      <x:c r="D1007" s="17" t="str">
        <x:v>next ask before hit/override</x:v>
      </x:c>
      <x:c r="E1007" s="17" t="str">
        <x:v>material</x:v>
      </x:c>
      <x:c r="F1007" s="17" t="str">
        <x:v>constraint revealed</x:v>
      </x:c>
      <x:c r="G1007" s="17" t="str">
        <x:v>nylon | 100% Nylon</x:v>
      </x:c>
      <x:c r="H1007" s="17" t="str">
        <x:v>For that, what matters is: nylon; 100% Nylon.</x:v>
      </x:c>
      <x:c r="I1007" s="17" t="str">
        <x:v>Override message occurs automatically on turn 3 or 4 before this reply when scheduled.</x:v>
      </x:c>
    </x:row>
    <x:row r="1008">
      <x:c r="A1008" t="str">
        <x:v>public_0089</x:v>
      </x:c>
      <x:c r="B1008" t="str">
        <x:v>intent_override</x:v>
      </x:c>
      <x:c r="C1008" t="str">
        <x:v>hard</x:v>
      </x:c>
      <x:c r="D1008" s="17" t="str">
        <x:v>next ask before hit/override</x:v>
      </x:c>
      <x:c r="E1008" s="17" t="str">
        <x:v>color</x:v>
      </x:c>
      <x:c r="F1008" s="17" t="str">
        <x:v>no new constraint</x:v>
      </x:c>
      <x:c r="G1008" s="17" t="str"/>
      <x:c r="H1008" s="17" t="str">
        <x:v>I don't have an additional preference for color.</x:v>
      </x:c>
      <x:c r="I1008" s="17" t="str">
        <x:v>Override message occurs automatically on turn 3 or 4 before this reply when scheduled.</x:v>
      </x:c>
    </x:row>
    <x:row r="1009">
      <x:c r="A1009" t="str">
        <x:v>public_0089</x:v>
      </x:c>
      <x:c r="B1009" t="str">
        <x:v>intent_override</x:v>
      </x:c>
      <x:c r="C1009" t="str">
        <x:v>hard</x:v>
      </x:c>
      <x:c r="D1009" s="17" t="str">
        <x:v>next ask before hit/override</x:v>
      </x:c>
      <x:c r="E1009" s="17" t="str">
        <x:v>size</x:v>
      </x:c>
      <x:c r="F1009" s="17" t="str">
        <x:v>no new constraint</x:v>
      </x:c>
      <x:c r="G1009" s="17" t="str"/>
      <x:c r="H1009" s="17" t="str">
        <x:v>I don't have an additional preference for size.</x:v>
      </x:c>
      <x:c r="I1009" s="17" t="str">
        <x:v>Override message occurs automatically on turn 3 or 4 before this reply when scheduled.</x:v>
      </x:c>
    </x:row>
    <x:row r="1010">
      <x:c r="A1010" t="str">
        <x:v>public_0089</x:v>
      </x:c>
      <x:c r="B1010" t="str">
        <x:v>intent_override</x:v>
      </x:c>
      <x:c r="C1010" t="str">
        <x:v>hard</x:v>
      </x:c>
      <x:c r="D1010" s="17" t="str">
        <x:v>next ask before hit/override</x:v>
      </x:c>
      <x:c r="E1010" s="17" t="str">
        <x:v>style</x:v>
      </x:c>
      <x:c r="F1010" s="17" t="str">
        <x:v>no new constraint</x:v>
      </x:c>
      <x:c r="G1010" s="17" t="str"/>
      <x:c r="H1010" s="17" t="str">
        <x:v>I don't have an additional preference for style.</x:v>
      </x:c>
      <x:c r="I1010" s="17" t="str">
        <x:v>Override message occurs automatically on turn 3 or 4 before this reply when scheduled.</x:v>
      </x:c>
    </x:row>
    <x:row r="1011">
      <x:c r="A1011" t="str">
        <x:v>public_0089</x:v>
      </x:c>
      <x:c r="B1011" t="str">
        <x:v>intent_override</x:v>
      </x:c>
      <x:c r="C1011" t="str">
        <x:v>hard</x:v>
      </x:c>
      <x:c r="D1011" s="17" t="str">
        <x:v>next ask before hit/override</x:v>
      </x:c>
      <x:c r="E1011" s="17" t="str">
        <x:v>brand</x:v>
      </x:c>
      <x:c r="F1011" s="17" t="str">
        <x:v>no new constraint</x:v>
      </x:c>
      <x:c r="G1011" s="17" t="str"/>
      <x:c r="H1011" s="17" t="str">
        <x:v>I don't have an additional preference for brand.</x:v>
      </x:c>
      <x:c r="I1011" s="17" t="str">
        <x:v>Override message occurs automatically on turn 3 or 4 before this reply when scheduled.</x:v>
      </x:c>
    </x:row>
    <x:row r="1012">
      <x:c r="A1012" t="str">
        <x:v>public_0089</x:v>
      </x:c>
      <x:c r="B1012" t="str">
        <x:v>intent_override</x:v>
      </x:c>
      <x:c r="C1012" t="str">
        <x:v>hard</x:v>
      </x:c>
      <x:c r="D1012" s="17" t="str">
        <x:v>next ask before hit/override</x:v>
      </x:c>
      <x:c r="E1012" s="17" t="str">
        <x:v>budget</x:v>
      </x:c>
      <x:c r="F1012" s="17" t="str">
        <x:v>no new constraint</x:v>
      </x:c>
      <x:c r="G1012" s="17" t="str"/>
      <x:c r="H1012" s="17" t="str">
        <x:v>I don't have an additional preference for budget.</x:v>
      </x:c>
      <x:c r="I1012" s="17" t="str">
        <x:v>Override message occurs automatically on turn 3 or 4 before this reply when scheduled.</x:v>
      </x:c>
    </x:row>
    <x:row r="1013">
      <x:c r="A1013" t="str">
        <x:v>public_0089</x:v>
      </x:c>
      <x:c r="B1013" t="str">
        <x:v>intent_override</x:v>
      </x:c>
      <x:c r="C1013" t="str">
        <x:v>hard</x:v>
      </x:c>
      <x:c r="D1013" s="17" t="str">
        <x:v>next ask before hit/override</x:v>
      </x:c>
      <x:c r="E1013" s="17" t="str">
        <x:v>feature</x:v>
      </x:c>
      <x:c r="F1013" s="17" t="str">
        <x:v>constraint revealed</x:v>
      </x:c>
      <x:c r="G1013" s="17" t="str">
        <x:v>Imported | Elastic closure</x:v>
      </x:c>
      <x:c r="H1013" s="17" t="str">
        <x:v>For that, what matters is: Imported; Elastic closure.</x:v>
      </x:c>
      <x:c r="I1013" s="17" t="str">
        <x:v>Override message occurs automatically on turn 3 or 4 before this reply when scheduled.</x:v>
      </x:c>
    </x:row>
    <x:row r="1014">
      <x:c r="A1014" t="str">
        <x:v>public_0089</x:v>
      </x:c>
      <x:c r="B1014" t="str">
        <x:v>intent_override</x:v>
      </x:c>
      <x:c r="C1014" t="str">
        <x:v>hard</x:v>
      </x:c>
      <x:c r="D1014" s="17" t="str">
        <x:v>next ask before hit/override</x:v>
      </x:c>
      <x:c r="E1014" s="17" t="str">
        <x:v>use_case</x:v>
      </x:c>
      <x:c r="F1014" s="17" t="str">
        <x:v>no new constraint</x:v>
      </x:c>
      <x:c r="G1014" s="17" t="str"/>
      <x:c r="H1014" s="17" t="str">
        <x:v>I don't have an additional preference for use_case.</x:v>
      </x:c>
      <x:c r="I1014" s="17" t="str">
        <x:v>Override message occurs automatically on turn 3 or 4 before this reply when scheduled.</x:v>
      </x:c>
    </x:row>
    <x:row r="1015">
      <x:c r="A1015" t="str">
        <x:v>public_0089</x:v>
      </x:c>
      <x:c r="B1015" t="str">
        <x:v>intent_override</x:v>
      </x:c>
      <x:c r="C1015" t="str">
        <x:v>hard</x:v>
      </x:c>
      <x:c r="D1015" s="17" t="str">
        <x:v>next ask before hit/override</x:v>
      </x:c>
      <x:c r="E1015" s="17" t="str">
        <x:v>other</x:v>
      </x:c>
      <x:c r="F1015" s="17" t="str">
        <x:v>constraint revealed</x:v>
      </x:c>
      <x:c r="G1015" s="17" t="str">
        <x:v>nylon | 100% Nylon</x:v>
      </x:c>
      <x:c r="H1015" s="17" t="str">
        <x:v>For that, what matters is: nylon; 100% Nylon.</x:v>
      </x:c>
      <x:c r="I1015" s="17" t="str">
        <x:v>Override message occurs automatically on turn 3 or 4 before this reply when scheduled.</x:v>
      </x:c>
    </x:row>
    <x:row r="1016">
      <x:c r="A1016" t="str">
        <x:v>public_0089</x:v>
      </x:c>
      <x:c r="B1016" t="str">
        <x:v>intent_override</x:v>
      </x:c>
      <x:c r="C1016" t="str">
        <x:v>hard</x:v>
      </x:c>
      <x:c r="D1016" s="17" t="str">
        <x:v>next ask before hit/override</x:v>
      </x:c>
      <x:c r="E1016" s="17" t="str">
        <x:v>(no ask_attribute)</x:v>
      </x:c>
      <x:c r="F1016" s="17" t="str">
        <x:v>agent did not ask</x:v>
      </x:c>
      <x:c r="G1016" s="17" t="str"/>
      <x:c r="H1016" s="17" t="str">
        <x:v>Those options are not quite right yet. Ask me about one specific attribute.</x:v>
      </x:c>
      <x:c r="I1016" s="17" t="str">
        <x:v>Override message occurs automatically on turn 3 or 4 before this reply when scheduled.</x:v>
      </x:c>
    </x:row>
    <x:row r="1017">
      <x:c r="A1017" t="str">
        <x:v>public_0090</x:v>
      </x:c>
      <x:c r="B1017" t="str">
        <x:v>buying</x:v>
      </x:c>
      <x:c r="C1017" t="str">
        <x:v>easy</x:v>
      </x:c>
      <x:c r="D1017" s="17" t="str">
        <x:v>next ask before hit/override</x:v>
      </x:c>
      <x:c r="E1017" s="17" t="str">
        <x:v>category</x:v>
      </x:c>
      <x:c r="F1017" s="17" t="str">
        <x:v>no new constraint</x:v>
      </x:c>
      <x:c r="G1017" s="17" t="str"/>
      <x:c r="H1017" s="17" t="str">
        <x:v>I don't have an additional preference for category.</x:v>
      </x:c>
      <x:c r="I1017" s="17" t="str"/>
    </x:row>
    <x:row r="1018">
      <x:c r="A1018" t="str">
        <x:v>public_0090</x:v>
      </x:c>
      <x:c r="B1018" t="str">
        <x:v>buying</x:v>
      </x:c>
      <x:c r="C1018" t="str">
        <x:v>easy</x:v>
      </x:c>
      <x:c r="D1018" s="17" t="str">
        <x:v>next ask before hit/override</x:v>
      </x:c>
      <x:c r="E1018" s="17" t="str">
        <x:v>material</x:v>
      </x:c>
      <x:c r="F1018" s="17" t="str">
        <x:v>no new constraint</x:v>
      </x:c>
      <x:c r="G1018" s="17" t="str"/>
      <x:c r="H1018" s="17" t="str">
        <x:v>I don't have an additional preference for material.</x:v>
      </x:c>
      <x:c r="I1018" s="17" t="str"/>
    </x:row>
    <x:row r="1019">
      <x:c r="A1019" t="str">
        <x:v>public_0090</x:v>
      </x:c>
      <x:c r="B1019" t="str">
        <x:v>buying</x:v>
      </x:c>
      <x:c r="C1019" t="str">
        <x:v>easy</x:v>
      </x:c>
      <x:c r="D1019" s="17" t="str">
        <x:v>next ask before hit/override</x:v>
      </x:c>
      <x:c r="E1019" s="17" t="str">
        <x:v>color</x:v>
      </x:c>
      <x:c r="F1019" s="17" t="str">
        <x:v>constraint revealed</x:v>
      </x:c>
      <x:c r="G1019" s="17" t="str">
        <x:v>color: purple | Classic mardi gras scarf: designed with gold, purple, green color, the scarf measure: 55 x 134 cm, tassel: 15 cm/ 5.9 inch</x:v>
      </x:c>
      <x:c r="H1019" s="17" t="str">
        <x:v>For that, what matters is: color: purple; Classic mardi gras scarf: designed with gold, purple, green color, the scarf measure: 55 x 134 cm, tassel: 15 cm/ 5.9 inch.</x:v>
      </x:c>
      <x:c r="I1019" s="17" t="str"/>
    </x:row>
    <x:row r="1020">
      <x:c r="A1020" t="str">
        <x:v>public_0090</x:v>
      </x:c>
      <x:c r="B1020" t="str">
        <x:v>buying</x:v>
      </x:c>
      <x:c r="C1020" t="str">
        <x:v>easy</x:v>
      </x:c>
      <x:c r="D1020" s="17" t="str">
        <x:v>next ask before hit/override</x:v>
      </x:c>
      <x:c r="E1020" s="17" t="str">
        <x:v>size</x:v>
      </x:c>
      <x:c r="F1020" s="17" t="str">
        <x:v>no new constraint</x:v>
      </x:c>
      <x:c r="G1020" s="17" t="str"/>
      <x:c r="H1020" s="17" t="str">
        <x:v>I don't have an additional preference for size.</x:v>
      </x:c>
      <x:c r="I1020" s="17" t="str"/>
    </x:row>
    <x:row r="1021">
      <x:c r="A1021" t="str">
        <x:v>public_0090</x:v>
      </x:c>
      <x:c r="B1021" t="str">
        <x:v>buying</x:v>
      </x:c>
      <x:c r="C1021" t="str">
        <x:v>easy</x:v>
      </x:c>
      <x:c r="D1021" s="17" t="str">
        <x:v>next ask before hit/override</x:v>
      </x:c>
      <x:c r="E1021" s="17" t="str">
        <x:v>style</x:v>
      </x:c>
      <x:c r="F1021" s="17" t="str">
        <x:v>no new constraint</x:v>
      </x:c>
      <x:c r="G1021" s="17" t="str"/>
      <x:c r="H1021" s="17" t="str">
        <x:v>I don't have an additional preference for style.</x:v>
      </x:c>
      <x:c r="I1021" s="17" t="str"/>
    </x:row>
    <x:row r="1022">
      <x:c r="A1022" t="str">
        <x:v>public_0090</x:v>
      </x:c>
      <x:c r="B1022" t="str">
        <x:v>buying</x:v>
      </x:c>
      <x:c r="C1022" t="str">
        <x:v>easy</x:v>
      </x:c>
      <x:c r="D1022" s="17" t="str">
        <x:v>next ask before hit/override</x:v>
      </x:c>
      <x:c r="E1022" s="17" t="str">
        <x:v>brand</x:v>
      </x:c>
      <x:c r="F1022" s="17" t="str">
        <x:v>no new constraint</x:v>
      </x:c>
      <x:c r="G1022" s="17" t="str"/>
      <x:c r="H1022" s="17" t="str">
        <x:v>I don't have an additional preference for brand.</x:v>
      </x:c>
      <x:c r="I1022" s="17" t="str"/>
    </x:row>
    <x:row r="1023">
      <x:c r="A1023" t="str">
        <x:v>public_0090</x:v>
      </x:c>
      <x:c r="B1023" t="str">
        <x:v>buying</x:v>
      </x:c>
      <x:c r="C1023" t="str">
        <x:v>easy</x:v>
      </x:c>
      <x:c r="D1023" s="17" t="str">
        <x:v>next ask before hit/override</x:v>
      </x:c>
      <x:c r="E1023" s="17" t="str">
        <x:v>budget</x:v>
      </x:c>
      <x:c r="F1023" s="17" t="str">
        <x:v>no new constraint</x:v>
      </x:c>
      <x:c r="G1023" s="17" t="str"/>
      <x:c r="H1023" s="17" t="str">
        <x:v>I don't have an additional preference for budget.</x:v>
      </x:c>
      <x:c r="I1023" s="17" t="str"/>
    </x:row>
    <x:row r="1024">
      <x:c r="A1024" t="str">
        <x:v>public_0090</x:v>
      </x:c>
      <x:c r="B1024" t="str">
        <x:v>buying</x:v>
      </x:c>
      <x:c r="C1024" t="str">
        <x:v>easy</x:v>
      </x:c>
      <x:c r="D1024" s="17" t="str">
        <x:v>next ask before hit/override</x:v>
      </x:c>
      <x:c r="E1024" s="17" t="str">
        <x:v>feature</x:v>
      </x:c>
      <x:c r="F1024" s="17" t="str">
        <x:v>no new constraint</x:v>
      </x:c>
      <x:c r="G1024" s="17" t="str"/>
      <x:c r="H1024" s="17" t="str">
        <x:v>I don't have an additional preference for feature.</x:v>
      </x:c>
      <x:c r="I1024" s="17" t="str"/>
    </x:row>
    <x:row r="1025">
      <x:c r="A1025" t="str">
        <x:v>public_0090</x:v>
      </x:c>
      <x:c r="B1025" t="str">
        <x:v>buying</x:v>
      </x:c>
      <x:c r="C1025" t="str">
        <x:v>easy</x:v>
      </x:c>
      <x:c r="D1025" s="17" t="str">
        <x:v>next ask before hit/override</x:v>
      </x:c>
      <x:c r="E1025" s="17" t="str">
        <x:v>use_case</x:v>
      </x:c>
      <x:c r="F1025" s="17" t="str">
        <x:v>no new constraint</x:v>
      </x:c>
      <x:c r="G1025" s="17" t="str"/>
      <x:c r="H1025" s="17" t="str">
        <x:v>I don't have an additional preference for use_case.</x:v>
      </x:c>
      <x:c r="I1025" s="17" t="str"/>
    </x:row>
    <x:row r="1026">
      <x:c r="A1026" t="str">
        <x:v>public_0090</x:v>
      </x:c>
      <x:c r="B1026" t="str">
        <x:v>buying</x:v>
      </x:c>
      <x:c r="C1026" t="str">
        <x:v>easy</x:v>
      </x:c>
      <x:c r="D1026" s="17" t="str">
        <x:v>next ask before hit/override</x:v>
      </x:c>
      <x:c r="E1026" s="17" t="str">
        <x:v>other</x:v>
      </x:c>
      <x:c r="F1026" s="17" t="str">
        <x:v>constraint revealed</x:v>
      </x:c>
      <x:c r="G1026" s="17" t="str">
        <x:v>color: purple | Classic mardi gras scarf: designed with gold, purple, green color, the scarf measure: 55 x 134 cm, tassel: 15 cm/ 5.9 inch</x:v>
      </x:c>
      <x:c r="H1026" s="17" t="str">
        <x:v>For that, what matters is: color: purple; Classic mardi gras scarf: designed with gold, purple, green color, the scarf measure: 55 x 134 cm, tassel: 15 cm/ 5.9 inch.</x:v>
      </x:c>
      <x:c r="I1026" s="17" t="str"/>
    </x:row>
    <x:row r="1027">
      <x:c r="A1027" t="str">
        <x:v>public_0090</x:v>
      </x:c>
      <x:c r="B1027" t="str">
        <x:v>buying</x:v>
      </x:c>
      <x:c r="C1027" t="str">
        <x:v>easy</x:v>
      </x:c>
      <x:c r="D1027" s="17" t="str">
        <x:v>next ask before hit/override</x:v>
      </x:c>
      <x:c r="E1027" s="17" t="str">
        <x:v>(no ask_attribute)</x:v>
      </x:c>
      <x:c r="F1027" s="17" t="str">
        <x:v>agent did not ask</x:v>
      </x:c>
      <x:c r="G1027" s="17" t="str"/>
      <x:c r="H1027" s="17" t="str">
        <x:v>Those options are not quite right yet. Ask me about one specific attribute.</x:v>
      </x:c>
      <x:c r="I1027" s="17" t="str"/>
    </x:row>
    <x:row r="1028">
      <x:c r="A1028" t="str">
        <x:v>public_0091</x:v>
      </x:c>
      <x:c r="B1028" t="str">
        <x:v>browsing</x:v>
      </x:c>
      <x:c r="C1028" t="str">
        <x:v>medium</x:v>
      </x:c>
      <x:c r="D1028" s="17" t="str">
        <x:v>next ask before hit/override</x:v>
      </x:c>
      <x:c r="E1028" s="17" t="str">
        <x:v>category</x:v>
      </x:c>
      <x:c r="F1028" s="17" t="str">
        <x:v>no new constraint</x:v>
      </x:c>
      <x:c r="G1028" s="17" t="str"/>
      <x:c r="H1028" s="17" t="str">
        <x:v>I don't have an additional preference for category.</x:v>
      </x:c>
      <x:c r="I1028" s="17" t="str"/>
    </x:row>
    <x:row r="1029">
      <x:c r="A1029" t="str">
        <x:v>public_0091</x:v>
      </x:c>
      <x:c r="B1029" t="str">
        <x:v>browsing</x:v>
      </x:c>
      <x:c r="C1029" t="str">
        <x:v>medium</x:v>
      </x:c>
      <x:c r="D1029" s="17" t="str">
        <x:v>next ask before hit/override</x:v>
      </x:c>
      <x:c r="E1029" s="17" t="str">
        <x:v>material</x:v>
      </x:c>
      <x:c r="F1029" s="17" t="str">
        <x:v>no new constraint</x:v>
      </x:c>
      <x:c r="G1029" s="17" t="str"/>
      <x:c r="H1029" s="17" t="str">
        <x:v>I don't have an additional preference for material.</x:v>
      </x:c>
      <x:c r="I1029" s="17" t="str"/>
    </x:row>
    <x:row r="1030">
      <x:c r="A1030" t="str">
        <x:v>public_0091</x:v>
      </x:c>
      <x:c r="B1030" t="str">
        <x:v>browsing</x:v>
      </x:c>
      <x:c r="C1030" t="str">
        <x:v>medium</x:v>
      </x:c>
      <x:c r="D1030" s="17" t="str">
        <x:v>next ask before hit/override</x:v>
      </x:c>
      <x:c r="E1030" s="17" t="str">
        <x:v>color</x:v>
      </x:c>
      <x:c r="F1030" s="17" t="str">
        <x:v>constraint revealed</x:v>
      </x:c>
      <x:c r="G1030" s="17" t="str">
        <x:v>color: white</x:v>
      </x:c>
      <x:c r="H1030" s="17" t="str">
        <x:v>For that, what matters is: color: white.</x:v>
      </x:c>
      <x:c r="I1030" s="17" t="str"/>
    </x:row>
    <x:row r="1031">
      <x:c r="A1031" t="str">
        <x:v>public_0091</x:v>
      </x:c>
      <x:c r="B1031" t="str">
        <x:v>browsing</x:v>
      </x:c>
      <x:c r="C1031" t="str">
        <x:v>medium</x:v>
      </x:c>
      <x:c r="D1031" s="17" t="str">
        <x:v>next ask before hit/override</x:v>
      </x:c>
      <x:c r="E1031" s="17" t="str">
        <x:v>size</x:v>
      </x:c>
      <x:c r="F1031" s="17" t="str">
        <x:v>no new constraint</x:v>
      </x:c>
      <x:c r="G1031" s="17" t="str"/>
      <x:c r="H1031" s="17" t="str">
        <x:v>I don't have an additional preference for size.</x:v>
      </x:c>
      <x:c r="I1031" s="17" t="str"/>
    </x:row>
    <x:row r="1032">
      <x:c r="A1032" t="str">
        <x:v>public_0091</x:v>
      </x:c>
      <x:c r="B1032" t="str">
        <x:v>browsing</x:v>
      </x:c>
      <x:c r="C1032" t="str">
        <x:v>medium</x:v>
      </x:c>
      <x:c r="D1032" s="17" t="str">
        <x:v>next ask before hit/override</x:v>
      </x:c>
      <x:c r="E1032" s="17" t="str">
        <x:v>style</x:v>
      </x:c>
      <x:c r="F1032" s="17" t="str">
        <x:v>no new constraint</x:v>
      </x:c>
      <x:c r="G1032" s="17" t="str"/>
      <x:c r="H1032" s="17" t="str">
        <x:v>I don't have an additional preference for style.</x:v>
      </x:c>
      <x:c r="I1032" s="17" t="str"/>
    </x:row>
    <x:row r="1033">
      <x:c r="A1033" t="str">
        <x:v>public_0091</x:v>
      </x:c>
      <x:c r="B1033" t="str">
        <x:v>browsing</x:v>
      </x:c>
      <x:c r="C1033" t="str">
        <x:v>medium</x:v>
      </x:c>
      <x:c r="D1033" s="17" t="str">
        <x:v>next ask before hit/override</x:v>
      </x:c>
      <x:c r="E1033" s="17" t="str">
        <x:v>brand</x:v>
      </x:c>
      <x:c r="F1033" s="17" t="str">
        <x:v>no new constraint</x:v>
      </x:c>
      <x:c r="G1033" s="17" t="str"/>
      <x:c r="H1033" s="17" t="str">
        <x:v>I don't have an additional preference for brand.</x:v>
      </x:c>
      <x:c r="I1033" s="17" t="str"/>
    </x:row>
    <x:row r="1034">
      <x:c r="A1034" t="str">
        <x:v>public_0091</x:v>
      </x:c>
      <x:c r="B1034" t="str">
        <x:v>browsing</x:v>
      </x:c>
      <x:c r="C1034" t="str">
        <x:v>medium</x:v>
      </x:c>
      <x:c r="D1034" s="17" t="str">
        <x:v>next ask before hit/override</x:v>
      </x:c>
      <x:c r="E1034" s="17" t="str">
        <x:v>budget</x:v>
      </x:c>
      <x:c r="F1034" s="17" t="str">
        <x:v>no new constraint</x:v>
      </x:c>
      <x:c r="G1034" s="17" t="str"/>
      <x:c r="H1034" s="17" t="str">
        <x:v>I don't have an additional preference for budget.</x:v>
      </x:c>
      <x:c r="I1034" s="17" t="str"/>
    </x:row>
    <x:row r="1035">
      <x:c r="A1035" t="str">
        <x:v>public_0091</x:v>
      </x:c>
      <x:c r="B1035" t="str">
        <x:v>browsing</x:v>
      </x:c>
      <x:c r="C1035" t="str">
        <x:v>medium</x:v>
      </x:c>
      <x:c r="D1035" s="17" t="str">
        <x:v>next ask before hit/override</x:v>
      </x:c>
      <x:c r="E1035" s="17" t="str">
        <x:v>feature</x:v>
      </x:c>
      <x:c r="F1035" s="17" t="str">
        <x:v>constraint revealed</x:v>
      </x:c>
      <x:c r="G1035" s="17" t="str">
        <x:v>【HIGH QUALITY】This Sterling Silver Huggie Hoop Earring is made of 925 Sterling Silver post,Hypoallergenic.Best Choice for Sensitive Ears. Earrings Surface Mounted with Sparkling AA | 【CLASSICAL&amp;TIMELESS】Simple and Classical Hoop design,Classical and Timeless.You will be more Beautiful and Elegant when You Wearing this CZ Hoop Earrings.This Small Rose Gold Hoop</x:v>
      </x:c>
      <x:c r="H1035" s="17" t="str">
        <x:v>For that, what matters is: 【HIGH QUALITY】This Sterling Silver Huggie Hoop Earring is made of 925 Sterling Silver post,Hypoallergenic.Best Choice for Sensitive Ears. Earrings Surface Mounted with Sparkling AA; 【CLASSICAL&amp;TIMELESS】Simple and Classical Hoop design,Classical and Timeless.You will be more Beautiful and Elegant when You Wearing this CZ Hoop Earrings.This Small Rose Gold Hoop.</x:v>
      </x:c>
      <x:c r="I1035" s="17" t="str"/>
    </x:row>
    <x:row r="1036">
      <x:c r="A1036" t="str">
        <x:v>public_0091</x:v>
      </x:c>
      <x:c r="B1036" t="str">
        <x:v>browsing</x:v>
      </x:c>
      <x:c r="C1036" t="str">
        <x:v>medium</x:v>
      </x:c>
      <x:c r="D1036" s="17" t="str">
        <x:v>next ask before hit/override</x:v>
      </x:c>
      <x:c r="E1036" s="17" t="str">
        <x:v>use_case</x:v>
      </x:c>
      <x:c r="F1036" s="17" t="str">
        <x:v>no new constraint</x:v>
      </x:c>
      <x:c r="G1036" s="17" t="str"/>
      <x:c r="H1036" s="17" t="str">
        <x:v>I don't have an additional preference for use_case.</x:v>
      </x:c>
      <x:c r="I1036" s="17" t="str"/>
    </x:row>
    <x:row r="1037">
      <x:c r="A1037" t="str">
        <x:v>public_0091</x:v>
      </x:c>
      <x:c r="B1037" t="str">
        <x:v>browsing</x:v>
      </x:c>
      <x:c r="C1037" t="str">
        <x:v>medium</x:v>
      </x:c>
      <x:c r="D1037" s="17" t="str">
        <x:v>next ask before hit/override</x:v>
      </x:c>
      <x:c r="E1037" s="17" t="str">
        <x:v>other</x:v>
      </x:c>
      <x:c r="F1037" s="17" t="str">
        <x:v>constraint revealed</x:v>
      </x:c>
      <x:c r="G1037" s="17" t="str">
        <x:v>【HIGH QUALITY】This Sterling Silver Huggie Hoop Earring is made of 925 Sterling Silver post,Hypoallergenic.Best Choice for Sensitive Ears. Earrings Surface Mounted with Sparkling AA | color: white</x:v>
      </x:c>
      <x:c r="H1037" s="17" t="str">
        <x:v>For that, what matters is: 【HIGH QUALITY】This Sterling Silver Huggie Hoop Earring is made of 925 Sterling Silver post,Hypoallergenic.Best Choice for Sensitive Ears. Earrings Surface Mounted with Sparkling AA; color: white.</x:v>
      </x:c>
      <x:c r="I1037" s="17" t="str"/>
    </x:row>
    <x:row r="1038">
      <x:c r="A1038" t="str">
        <x:v>public_0091</x:v>
      </x:c>
      <x:c r="B1038" t="str">
        <x:v>browsing</x:v>
      </x:c>
      <x:c r="C1038" t="str">
        <x:v>medium</x:v>
      </x:c>
      <x:c r="D1038" s="17" t="str">
        <x:v>next ask before hit/override</x:v>
      </x:c>
      <x:c r="E1038" s="17" t="str">
        <x:v>(no ask_attribute)</x:v>
      </x:c>
      <x:c r="F1038" s="17" t="str">
        <x:v>agent did not ask</x:v>
      </x:c>
      <x:c r="G1038" s="17" t="str"/>
      <x:c r="H1038" s="17" t="str">
        <x:v>Those options are not quite right yet. Ask me about one specific attribute.</x:v>
      </x:c>
      <x:c r="I1038" s="17" t="str"/>
    </x:row>
    <x:row r="1039">
      <x:c r="A1039" t="str">
        <x:v>public_0092</x:v>
      </x:c>
      <x:c r="B1039" t="str">
        <x:v>browsing</x:v>
      </x:c>
      <x:c r="C1039" t="str">
        <x:v>medium</x:v>
      </x:c>
      <x:c r="D1039" s="17" t="str">
        <x:v>next ask before hit/override</x:v>
      </x:c>
      <x:c r="E1039" s="17" t="str">
        <x:v>category</x:v>
      </x:c>
      <x:c r="F1039" s="17" t="str">
        <x:v>no new constraint</x:v>
      </x:c>
      <x:c r="G1039" s="17" t="str"/>
      <x:c r="H1039" s="17" t="str">
        <x:v>I don't have an additional preference for category.</x:v>
      </x:c>
      <x:c r="I1039" s="17" t="str"/>
    </x:row>
    <x:row r="1040">
      <x:c r="A1040" t="str">
        <x:v>public_0092</x:v>
      </x:c>
      <x:c r="B1040" t="str">
        <x:v>browsing</x:v>
      </x:c>
      <x:c r="C1040" t="str">
        <x:v>medium</x:v>
      </x:c>
      <x:c r="D1040" s="17" t="str">
        <x:v>next ask before hit/override</x:v>
      </x:c>
      <x:c r="E1040" s="17" t="str">
        <x:v>material</x:v>
      </x:c>
      <x:c r="F1040" s="17" t="str">
        <x:v>constraint revealed</x:v>
      </x:c>
      <x:c r="G1040" s="17" t="str">
        <x:v>polyester | 95% Polyester, 5% Spandex</x:v>
      </x:c>
      <x:c r="H1040" s="17" t="str">
        <x:v>For that, what matters is: polyester; 95% Polyester, 5% Spandex.</x:v>
      </x:c>
      <x:c r="I1040" s="17" t="str"/>
    </x:row>
    <x:row r="1041">
      <x:c r="A1041" t="str">
        <x:v>public_0092</x:v>
      </x:c>
      <x:c r="B1041" t="str">
        <x:v>browsing</x:v>
      </x:c>
      <x:c r="C1041" t="str">
        <x:v>medium</x:v>
      </x:c>
      <x:c r="D1041" s="17" t="str">
        <x:v>next ask before hit/override</x:v>
      </x:c>
      <x:c r="E1041" s="17" t="str">
        <x:v>color</x:v>
      </x:c>
      <x:c r="F1041" s="17" t="str">
        <x:v>no new constraint</x:v>
      </x:c>
      <x:c r="G1041" s="17" t="str"/>
      <x:c r="H1041" s="17" t="str">
        <x:v>I don't have an additional preference for color.</x:v>
      </x:c>
      <x:c r="I1041" s="17" t="str"/>
    </x:row>
    <x:row r="1042">
      <x:c r="A1042" t="str">
        <x:v>public_0092</x:v>
      </x:c>
      <x:c r="B1042" t="str">
        <x:v>browsing</x:v>
      </x:c>
      <x:c r="C1042" t="str">
        <x:v>medium</x:v>
      </x:c>
      <x:c r="D1042" s="17" t="str">
        <x:v>next ask before hit/override</x:v>
      </x:c>
      <x:c r="E1042" s="17" t="str">
        <x:v>size</x:v>
      </x:c>
      <x:c r="F1042" s="17" t="str">
        <x:v>no new constraint</x:v>
      </x:c>
      <x:c r="G1042" s="17" t="str"/>
      <x:c r="H1042" s="17" t="str">
        <x:v>I don't have an additional preference for size.</x:v>
      </x:c>
      <x:c r="I1042" s="17" t="str"/>
    </x:row>
    <x:row r="1043">
      <x:c r="A1043" t="str">
        <x:v>public_0092</x:v>
      </x:c>
      <x:c r="B1043" t="str">
        <x:v>browsing</x:v>
      </x:c>
      <x:c r="C1043" t="str">
        <x:v>medium</x:v>
      </x:c>
      <x:c r="D1043" s="17" t="str">
        <x:v>next ask before hit/override</x:v>
      </x:c>
      <x:c r="E1043" s="17" t="str">
        <x:v>style</x:v>
      </x:c>
      <x:c r="F1043" s="17" t="str">
        <x:v>no new constraint</x:v>
      </x:c>
      <x:c r="G1043" s="17" t="str"/>
      <x:c r="H1043" s="17" t="str">
        <x:v>I don't have an additional preference for style.</x:v>
      </x:c>
      <x:c r="I1043" s="17" t="str"/>
    </x:row>
    <x:row r="1044">
      <x:c r="A1044" t="str">
        <x:v>public_0092</x:v>
      </x:c>
      <x:c r="B1044" t="str">
        <x:v>browsing</x:v>
      </x:c>
      <x:c r="C1044" t="str">
        <x:v>medium</x:v>
      </x:c>
      <x:c r="D1044" s="17" t="str">
        <x:v>next ask before hit/override</x:v>
      </x:c>
      <x:c r="E1044" s="17" t="str">
        <x:v>brand</x:v>
      </x:c>
      <x:c r="F1044" s="17" t="str">
        <x:v>no new constraint</x:v>
      </x:c>
      <x:c r="G1044" s="17" t="str"/>
      <x:c r="H1044" s="17" t="str">
        <x:v>I don't have an additional preference for brand.</x:v>
      </x:c>
      <x:c r="I1044" s="17" t="str"/>
    </x:row>
    <x:row r="1045">
      <x:c r="A1045" t="str">
        <x:v>public_0092</x:v>
      </x:c>
      <x:c r="B1045" t="str">
        <x:v>browsing</x:v>
      </x:c>
      <x:c r="C1045" t="str">
        <x:v>medium</x:v>
      </x:c>
      <x:c r="D1045" s="17" t="str">
        <x:v>next ask before hit/override</x:v>
      </x:c>
      <x:c r="E1045" s="17" t="str">
        <x:v>budget</x:v>
      </x:c>
      <x:c r="F1045" s="17" t="str">
        <x:v>no new constraint</x:v>
      </x:c>
      <x:c r="G1045" s="17" t="str"/>
      <x:c r="H1045" s="17" t="str">
        <x:v>I don't have an additional preference for budget.</x:v>
      </x:c>
      <x:c r="I1045" s="17" t="str"/>
    </x:row>
    <x:row r="1046">
      <x:c r="A1046" t="str">
        <x:v>public_0092</x:v>
      </x:c>
      <x:c r="B1046" t="str">
        <x:v>browsing</x:v>
      </x:c>
      <x:c r="C1046" t="str">
        <x:v>medium</x:v>
      </x:c>
      <x:c r="D1046" s="17" t="str">
        <x:v>next ask before hit/override</x:v>
      </x:c>
      <x:c r="E1046" s="17" t="str">
        <x:v>feature</x:v>
      </x:c>
      <x:c r="F1046" s="17" t="str">
        <x:v>constraint revealed</x:v>
      </x:c>
      <x:c r="G1046" s="17" t="str">
        <x:v>Imported | Button closure</x:v>
      </x:c>
      <x:c r="H1046" s="17" t="str">
        <x:v>For that, what matters is: Imported; Button closure.</x:v>
      </x:c>
      <x:c r="I1046" s="17" t="str"/>
    </x:row>
    <x:row r="1047">
      <x:c r="A1047" t="str">
        <x:v>public_0092</x:v>
      </x:c>
      <x:c r="B1047" t="str">
        <x:v>browsing</x:v>
      </x:c>
      <x:c r="C1047" t="str">
        <x:v>medium</x:v>
      </x:c>
      <x:c r="D1047" s="17" t="str">
        <x:v>next ask before hit/override</x:v>
      </x:c>
      <x:c r="E1047" s="17" t="str">
        <x:v>use_case</x:v>
      </x:c>
      <x:c r="F1047" s="17" t="str">
        <x:v>no new constraint</x:v>
      </x:c>
      <x:c r="G1047" s="17" t="str"/>
      <x:c r="H1047" s="17" t="str">
        <x:v>I don't have an additional preference for use_case.</x:v>
      </x:c>
      <x:c r="I1047" s="17" t="str"/>
    </x:row>
    <x:row r="1048">
      <x:c r="A1048" t="str">
        <x:v>public_0092</x:v>
      </x:c>
      <x:c r="B1048" t="str">
        <x:v>browsing</x:v>
      </x:c>
      <x:c r="C1048" t="str">
        <x:v>medium</x:v>
      </x:c>
      <x:c r="D1048" s="17" t="str">
        <x:v>next ask before hit/override</x:v>
      </x:c>
      <x:c r="E1048" s="17" t="str">
        <x:v>other</x:v>
      </x:c>
      <x:c r="F1048" s="17" t="str">
        <x:v>constraint revealed</x:v>
      </x:c>
      <x:c r="G1048" s="17" t="str">
        <x:v>polyester | 95% Polyester, 5% Spandex</x:v>
      </x:c>
      <x:c r="H1048" s="17" t="str">
        <x:v>For that, what matters is: polyester; 95% Polyester, 5% Spandex.</x:v>
      </x:c>
      <x:c r="I1048" s="17" t="str"/>
    </x:row>
    <x:row r="1049">
      <x:c r="A1049" t="str">
        <x:v>public_0092</x:v>
      </x:c>
      <x:c r="B1049" t="str">
        <x:v>browsing</x:v>
      </x:c>
      <x:c r="C1049" t="str">
        <x:v>medium</x:v>
      </x:c>
      <x:c r="D1049" s="17" t="str">
        <x:v>next ask before hit/override</x:v>
      </x:c>
      <x:c r="E1049" s="17" t="str">
        <x:v>(no ask_attribute)</x:v>
      </x:c>
      <x:c r="F1049" s="17" t="str">
        <x:v>agent did not ask</x:v>
      </x:c>
      <x:c r="G1049" s="17" t="str"/>
      <x:c r="H1049" s="17" t="str">
        <x:v>Those options are not quite right yet. Ask me about one specific attribute.</x:v>
      </x:c>
      <x:c r="I1049" s="17" t="str"/>
    </x:row>
    <x:row r="1050">
      <x:c r="A1050" t="str">
        <x:v>public_0093</x:v>
      </x:c>
      <x:c r="B1050" t="str">
        <x:v>buying</x:v>
      </x:c>
      <x:c r="C1050" t="str">
        <x:v>easy</x:v>
      </x:c>
      <x:c r="D1050" s="17" t="str">
        <x:v>next ask before hit/override</x:v>
      </x:c>
      <x:c r="E1050" s="17" t="str">
        <x:v>category</x:v>
      </x:c>
      <x:c r="F1050" s="17" t="str">
        <x:v>no new constraint</x:v>
      </x:c>
      <x:c r="G1050" s="17" t="str"/>
      <x:c r="H1050" s="17" t="str">
        <x:v>I don't have an additional preference for category.</x:v>
      </x:c>
      <x:c r="I1050" s="17" t="str"/>
    </x:row>
    <x:row r="1051">
      <x:c r="A1051" t="str">
        <x:v>public_0093</x:v>
      </x:c>
      <x:c r="B1051" t="str">
        <x:v>buying</x:v>
      </x:c>
      <x:c r="C1051" t="str">
        <x:v>easy</x:v>
      </x:c>
      <x:c r="D1051" s="17" t="str">
        <x:v>next ask before hit/override</x:v>
      </x:c>
      <x:c r="E1051" s="17" t="str">
        <x:v>material</x:v>
      </x:c>
      <x:c r="F1051" s="17" t="str">
        <x:v>constraint revealed</x:v>
      </x:c>
      <x:c r="G1051" s="17" t="str">
        <x:v>Solid: 100% Cotton; Heathers: 75% Cotton, 25% Polyester</x:v>
      </x:c>
      <x:c r="H1051" s="17" t="str">
        <x:v>For that, what matters is: Solid: 100% Cotton; Heathers: 75% Cotton, 25% Polyester.</x:v>
      </x:c>
      <x:c r="I1051" s="17" t="str"/>
    </x:row>
    <x:row r="1052">
      <x:c r="A1052" t="str">
        <x:v>public_0093</x:v>
      </x:c>
      <x:c r="B1052" t="str">
        <x:v>buying</x:v>
      </x:c>
      <x:c r="C1052" t="str">
        <x:v>easy</x:v>
      </x:c>
      <x:c r="D1052" s="17" t="str">
        <x:v>next ask before hit/override</x:v>
      </x:c>
      <x:c r="E1052" s="17" t="str">
        <x:v>color</x:v>
      </x:c>
      <x:c r="F1052" s="17" t="str">
        <x:v>no new constraint</x:v>
      </x:c>
      <x:c r="G1052" s="17" t="str"/>
      <x:c r="H1052" s="17" t="str">
        <x:v>I don't have an additional preference for color.</x:v>
      </x:c>
      <x:c r="I1052" s="17" t="str"/>
    </x:row>
    <x:row r="1053">
      <x:c r="A1053" t="str">
        <x:v>public_0093</x:v>
      </x:c>
      <x:c r="B1053" t="str">
        <x:v>buying</x:v>
      </x:c>
      <x:c r="C1053" t="str">
        <x:v>easy</x:v>
      </x:c>
      <x:c r="D1053" s="17" t="str">
        <x:v>next ask before hit/override</x:v>
      </x:c>
      <x:c r="E1053" s="17" t="str">
        <x:v>size</x:v>
      </x:c>
      <x:c r="F1053" s="17" t="str">
        <x:v>no new constraint</x:v>
      </x:c>
      <x:c r="G1053" s="17" t="str"/>
      <x:c r="H1053" s="17" t="str">
        <x:v>I don't have an additional preference for size.</x:v>
      </x:c>
      <x:c r="I1053" s="17" t="str"/>
    </x:row>
    <x:row r="1054">
      <x:c r="A1054" t="str">
        <x:v>public_0093</x:v>
      </x:c>
      <x:c r="B1054" t="str">
        <x:v>buying</x:v>
      </x:c>
      <x:c r="C1054" t="str">
        <x:v>easy</x:v>
      </x:c>
      <x:c r="D1054" s="17" t="str">
        <x:v>next ask before hit/override</x:v>
      </x:c>
      <x:c r="E1054" s="17" t="str">
        <x:v>style</x:v>
      </x:c>
      <x:c r="F1054" s="17" t="str">
        <x:v>no new constraint</x:v>
      </x:c>
      <x:c r="G1054" s="17" t="str"/>
      <x:c r="H1054" s="17" t="str">
        <x:v>I don't have an additional preference for style.</x:v>
      </x:c>
      <x:c r="I1054" s="17" t="str"/>
    </x:row>
    <x:row r="1055">
      <x:c r="A1055" t="str">
        <x:v>public_0093</x:v>
      </x:c>
      <x:c r="B1055" t="str">
        <x:v>buying</x:v>
      </x:c>
      <x:c r="C1055" t="str">
        <x:v>easy</x:v>
      </x:c>
      <x:c r="D1055" s="17" t="str">
        <x:v>next ask before hit/override</x:v>
      </x:c>
      <x:c r="E1055" s="17" t="str">
        <x:v>brand</x:v>
      </x:c>
      <x:c r="F1055" s="17" t="str">
        <x:v>no new constraint</x:v>
      </x:c>
      <x:c r="G1055" s="17" t="str"/>
      <x:c r="H1055" s="17" t="str">
        <x:v>I don't have an additional preference for brand.</x:v>
      </x:c>
      <x:c r="I1055" s="17" t="str"/>
    </x:row>
    <x:row r="1056">
      <x:c r="A1056" t="str">
        <x:v>public_0093</x:v>
      </x:c>
      <x:c r="B1056" t="str">
        <x:v>buying</x:v>
      </x:c>
      <x:c r="C1056" t="str">
        <x:v>easy</x:v>
      </x:c>
      <x:c r="D1056" s="17" t="str">
        <x:v>next ask before hit/override</x:v>
      </x:c>
      <x:c r="E1056" s="17" t="str">
        <x:v>budget</x:v>
      </x:c>
      <x:c r="F1056" s="17" t="str">
        <x:v>no new constraint</x:v>
      </x:c>
      <x:c r="G1056" s="17" t="str"/>
      <x:c r="H1056" s="17" t="str">
        <x:v>I don't have an additional preference for budget.</x:v>
      </x:c>
      <x:c r="I1056" s="17" t="str"/>
    </x:row>
    <x:row r="1057">
      <x:c r="A1057" t="str">
        <x:v>public_0093</x:v>
      </x:c>
      <x:c r="B1057" t="str">
        <x:v>buying</x:v>
      </x:c>
      <x:c r="C1057" t="str">
        <x:v>easy</x:v>
      </x:c>
      <x:c r="D1057" s="17" t="str">
        <x:v>next ask before hit/override</x:v>
      </x:c>
      <x:c r="E1057" s="17" t="str">
        <x:v>feature</x:v>
      </x:c>
      <x:c r="F1057" s="17" t="str">
        <x:v>constraint revealed</x:v>
      </x:c>
      <x:c r="G1057" s="17" t="str">
        <x:v>Imported | Pull On closure</x:v>
      </x:c>
      <x:c r="H1057" s="17" t="str">
        <x:v>For that, what matters is: Imported; Pull On closure.</x:v>
      </x:c>
      <x:c r="I1057" s="17" t="str"/>
    </x:row>
    <x:row r="1058">
      <x:c r="A1058" t="str">
        <x:v>public_0093</x:v>
      </x:c>
      <x:c r="B1058" t="str">
        <x:v>buying</x:v>
      </x:c>
      <x:c r="C1058" t="str">
        <x:v>easy</x:v>
      </x:c>
      <x:c r="D1058" s="17" t="str">
        <x:v>next ask before hit/override</x:v>
      </x:c>
      <x:c r="E1058" s="17" t="str">
        <x:v>use_case</x:v>
      </x:c>
      <x:c r="F1058" s="17" t="str">
        <x:v>no new constraint</x:v>
      </x:c>
      <x:c r="G1058" s="17" t="str"/>
      <x:c r="H1058" s="17" t="str">
        <x:v>I don't have an additional preference for use_case.</x:v>
      </x:c>
      <x:c r="I1058" s="17" t="str"/>
    </x:row>
    <x:row r="1059">
      <x:c r="A1059" t="str">
        <x:v>public_0093</x:v>
      </x:c>
      <x:c r="B1059" t="str">
        <x:v>buying</x:v>
      </x:c>
      <x:c r="C1059" t="str">
        <x:v>easy</x:v>
      </x:c>
      <x:c r="D1059" s="17" t="str">
        <x:v>next ask before hit/override</x:v>
      </x:c>
      <x:c r="E1059" s="17" t="str">
        <x:v>other</x:v>
      </x:c>
      <x:c r="F1059" s="17" t="str">
        <x:v>constraint revealed</x:v>
      </x:c>
      <x:c r="G1059" s="17" t="str">
        <x:v>Solid: 100% Cotton; Heathers: 75% Cotton, 25% Polyester | Imported</x:v>
      </x:c>
      <x:c r="H1059" s="17" t="str">
        <x:v>For that, what matters is: Solid: 100% Cotton; Heathers: 75% Cotton, 25% Polyester; Imported.</x:v>
      </x:c>
      <x:c r="I1059" s="17" t="str"/>
    </x:row>
    <x:row r="1060">
      <x:c r="A1060" t="str">
        <x:v>public_0093</x:v>
      </x:c>
      <x:c r="B1060" t="str">
        <x:v>buying</x:v>
      </x:c>
      <x:c r="C1060" t="str">
        <x:v>easy</x:v>
      </x:c>
      <x:c r="D1060" s="17" t="str">
        <x:v>next ask before hit/override</x:v>
      </x:c>
      <x:c r="E1060" s="17" t="str">
        <x:v>(no ask_attribute)</x:v>
      </x:c>
      <x:c r="F1060" s="17" t="str">
        <x:v>agent did not ask</x:v>
      </x:c>
      <x:c r="G1060" s="17" t="str"/>
      <x:c r="H1060" s="17" t="str">
        <x:v>Those options are not quite right yet. Ask me about one specific attribute.</x:v>
      </x:c>
      <x:c r="I1060" s="17" t="str"/>
    </x:row>
    <x:row r="1061">
      <x:c r="A1061" t="str">
        <x:v>public_0094</x:v>
      </x:c>
      <x:c r="B1061" t="str">
        <x:v>buying</x:v>
      </x:c>
      <x:c r="C1061" t="str">
        <x:v>easy</x:v>
      </x:c>
      <x:c r="D1061" s="17" t="str">
        <x:v>next ask before hit/override</x:v>
      </x:c>
      <x:c r="E1061" s="17" t="str">
        <x:v>category</x:v>
      </x:c>
      <x:c r="F1061" s="17" t="str">
        <x:v>no new constraint</x:v>
      </x:c>
      <x:c r="G1061" s="17" t="str"/>
      <x:c r="H1061" s="17" t="str">
        <x:v>I don't have an additional preference for category.</x:v>
      </x:c>
      <x:c r="I1061" s="17" t="str"/>
    </x:row>
    <x:row r="1062">
      <x:c r="A1062" t="str">
        <x:v>public_0094</x:v>
      </x:c>
      <x:c r="B1062" t="str">
        <x:v>buying</x:v>
      </x:c>
      <x:c r="C1062" t="str">
        <x:v>easy</x:v>
      </x:c>
      <x:c r="D1062" s="17" t="str">
        <x:v>next ask before hit/override</x:v>
      </x:c>
      <x:c r="E1062" s="17" t="str">
        <x:v>material</x:v>
      </x:c>
      <x:c r="F1062" s="17" t="str">
        <x:v>no new constraint</x:v>
      </x:c>
      <x:c r="G1062" s="17" t="str"/>
      <x:c r="H1062" s="17" t="str">
        <x:v>I don't have an additional preference for material.</x:v>
      </x:c>
      <x:c r="I1062" s="17" t="str"/>
    </x:row>
    <x:row r="1063">
      <x:c r="A1063" t="str">
        <x:v>public_0094</x:v>
      </x:c>
      <x:c r="B1063" t="str">
        <x:v>buying</x:v>
      </x:c>
      <x:c r="C1063" t="str">
        <x:v>easy</x:v>
      </x:c>
      <x:c r="D1063" s="17" t="str">
        <x:v>next ask before hit/override</x:v>
      </x:c>
      <x:c r="E1063" s="17" t="str">
        <x:v>color</x:v>
      </x:c>
      <x:c r="F1063" s="17" t="str">
        <x:v>no new constraint</x:v>
      </x:c>
      <x:c r="G1063" s="17" t="str"/>
      <x:c r="H1063" s="17" t="str">
        <x:v>I don't have an additional preference for color.</x:v>
      </x:c>
      <x:c r="I1063" s="17" t="str"/>
    </x:row>
    <x:row r="1064">
      <x:c r="A1064" t="str">
        <x:v>public_0094</x:v>
      </x:c>
      <x:c r="B1064" t="str">
        <x:v>buying</x:v>
      </x:c>
      <x:c r="C1064" t="str">
        <x:v>easy</x:v>
      </x:c>
      <x:c r="D1064" s="17" t="str">
        <x:v>next ask before hit/override</x:v>
      </x:c>
      <x:c r="E1064" s="17" t="str">
        <x:v>size</x:v>
      </x:c>
      <x:c r="F1064" s="17" t="str">
        <x:v>no new constraint</x:v>
      </x:c>
      <x:c r="G1064" s="17" t="str"/>
      <x:c r="H1064" s="17" t="str">
        <x:v>I don't have an additional preference for size.</x:v>
      </x:c>
      <x:c r="I1064" s="17" t="str"/>
    </x:row>
    <x:row r="1065">
      <x:c r="A1065" t="str">
        <x:v>public_0094</x:v>
      </x:c>
      <x:c r="B1065" t="str">
        <x:v>buying</x:v>
      </x:c>
      <x:c r="C1065" t="str">
        <x:v>easy</x:v>
      </x:c>
      <x:c r="D1065" s="17" t="str">
        <x:v>next ask before hit/override</x:v>
      </x:c>
      <x:c r="E1065" s="17" t="str">
        <x:v>style</x:v>
      </x:c>
      <x:c r="F1065" s="17" t="str">
        <x:v>no new constraint</x:v>
      </x:c>
      <x:c r="G1065" s="17" t="str"/>
      <x:c r="H1065" s="17" t="str">
        <x:v>I don't have an additional preference for style.</x:v>
      </x:c>
      <x:c r="I1065" s="17" t="str"/>
    </x:row>
    <x:row r="1066">
      <x:c r="A1066" t="str">
        <x:v>public_0094</x:v>
      </x:c>
      <x:c r="B1066" t="str">
        <x:v>buying</x:v>
      </x:c>
      <x:c r="C1066" t="str">
        <x:v>easy</x:v>
      </x:c>
      <x:c r="D1066" s="17" t="str">
        <x:v>next ask before hit/override</x:v>
      </x:c>
      <x:c r="E1066" s="17" t="str">
        <x:v>brand</x:v>
      </x:c>
      <x:c r="F1066" s="17" t="str">
        <x:v>no new constraint</x:v>
      </x:c>
      <x:c r="G1066" s="17" t="str"/>
      <x:c r="H1066" s="17" t="str">
        <x:v>I don't have an additional preference for brand.</x:v>
      </x:c>
      <x:c r="I1066" s="17" t="str"/>
    </x:row>
    <x:row r="1067">
      <x:c r="A1067" t="str">
        <x:v>public_0094</x:v>
      </x:c>
      <x:c r="B1067" t="str">
        <x:v>buying</x:v>
      </x:c>
      <x:c r="C1067" t="str">
        <x:v>easy</x:v>
      </x:c>
      <x:c r="D1067" s="17" t="str">
        <x:v>next ask before hit/override</x:v>
      </x:c>
      <x:c r="E1067" s="17" t="str">
        <x:v>budget</x:v>
      </x:c>
      <x:c r="F1067" s="17" t="str">
        <x:v>no new constraint</x:v>
      </x:c>
      <x:c r="G1067" s="17" t="str"/>
      <x:c r="H1067" s="17" t="str">
        <x:v>I don't have an additional preference for budget.</x:v>
      </x:c>
      <x:c r="I1067" s="17" t="str"/>
    </x:row>
    <x:row r="1068">
      <x:c r="A1068" t="str">
        <x:v>public_0094</x:v>
      </x:c>
      <x:c r="B1068" t="str">
        <x:v>buying</x:v>
      </x:c>
      <x:c r="C1068" t="str">
        <x:v>easy</x:v>
      </x:c>
      <x:c r="D1068" s="17" t="str">
        <x:v>next ask before hit/override</x:v>
      </x:c>
      <x:c r="E1068" s="17" t="str">
        <x:v>feature</x:v>
      </x:c>
      <x:c r="F1068" s="17" t="str">
        <x:v>constraint revealed</x:v>
      </x:c>
      <x:c r="G1068" s="17" t="str">
        <x:v>Synthetic sole | Shaft measures approximately 8" from arch</x:v>
      </x:c>
      <x:c r="H1068" s="17" t="str">
        <x:v>For that, what matters is: Synthetic sole; Shaft measures approximately 8" from arch.</x:v>
      </x:c>
      <x:c r="I1068" s="17" t="str"/>
    </x:row>
    <x:row r="1069">
      <x:c r="A1069" t="str">
        <x:v>public_0094</x:v>
      </x:c>
      <x:c r="B1069" t="str">
        <x:v>buying</x:v>
      </x:c>
      <x:c r="C1069" t="str">
        <x:v>easy</x:v>
      </x:c>
      <x:c r="D1069" s="17" t="str">
        <x:v>next ask before hit/override</x:v>
      </x:c>
      <x:c r="E1069" s="17" t="str">
        <x:v>use_case</x:v>
      </x:c>
      <x:c r="F1069" s="17" t="str">
        <x:v>no new constraint</x:v>
      </x:c>
      <x:c r="G1069" s="17" t="str"/>
      <x:c r="H1069" s="17" t="str">
        <x:v>I don't have an additional preference for use_case.</x:v>
      </x:c>
      <x:c r="I1069" s="17" t="str"/>
    </x:row>
    <x:row r="1070">
      <x:c r="A1070" t="str">
        <x:v>public_0094</x:v>
      </x:c>
      <x:c r="B1070" t="str">
        <x:v>buying</x:v>
      </x:c>
      <x:c r="C1070" t="str">
        <x:v>easy</x:v>
      </x:c>
      <x:c r="D1070" s="17" t="str">
        <x:v>next ask before hit/override</x:v>
      </x:c>
      <x:c r="E1070" s="17" t="str">
        <x:v>other</x:v>
      </x:c>
      <x:c r="F1070" s="17" t="str">
        <x:v>constraint revealed</x:v>
      </x:c>
      <x:c r="G1070" s="17" t="str">
        <x:v>Synthetic sole | Shaft measures approximately 8" from arch</x:v>
      </x:c>
      <x:c r="H1070" s="17" t="str">
        <x:v>For that, what matters is: Synthetic sole; Shaft measures approximately 8" from arch.</x:v>
      </x:c>
      <x:c r="I1070" s="17" t="str"/>
    </x:row>
    <x:row r="1071">
      <x:c r="A1071" t="str">
        <x:v>public_0094</x:v>
      </x:c>
      <x:c r="B1071" t="str">
        <x:v>buying</x:v>
      </x:c>
      <x:c r="C1071" t="str">
        <x:v>easy</x:v>
      </x:c>
      <x:c r="D1071" s="17" t="str">
        <x:v>next ask before hit/override</x:v>
      </x:c>
      <x:c r="E1071" s="17" t="str">
        <x:v>(no ask_attribute)</x:v>
      </x:c>
      <x:c r="F1071" s="17" t="str">
        <x:v>agent did not ask</x:v>
      </x:c>
      <x:c r="G1071" s="17" t="str"/>
      <x:c r="H1071" s="17" t="str">
        <x:v>Those options are not quite right yet. Ask me about one specific attribute.</x:v>
      </x:c>
      <x:c r="I1071" s="17" t="str"/>
    </x:row>
    <x:row r="1072">
      <x:c r="A1072" t="str">
        <x:v>public_0095</x:v>
      </x:c>
      <x:c r="B1072" t="str">
        <x:v>buying</x:v>
      </x:c>
      <x:c r="C1072" t="str">
        <x:v>easy</x:v>
      </x:c>
      <x:c r="D1072" s="17" t="str">
        <x:v>next ask before hit/override</x:v>
      </x:c>
      <x:c r="E1072" s="17" t="str">
        <x:v>category</x:v>
      </x:c>
      <x:c r="F1072" s="17" t="str">
        <x:v>no new constraint</x:v>
      </x:c>
      <x:c r="G1072" s="17" t="str"/>
      <x:c r="H1072" s="17" t="str">
        <x:v>I don't have an additional preference for category.</x:v>
      </x:c>
      <x:c r="I1072" s="17" t="str"/>
    </x:row>
    <x:row r="1073">
      <x:c r="A1073" t="str">
        <x:v>public_0095</x:v>
      </x:c>
      <x:c r="B1073" t="str">
        <x:v>buying</x:v>
      </x:c>
      <x:c r="C1073" t="str">
        <x:v>easy</x:v>
      </x:c>
      <x:c r="D1073" s="17" t="str">
        <x:v>next ask before hit/override</x:v>
      </x:c>
      <x:c r="E1073" s="17" t="str">
        <x:v>material</x:v>
      </x:c>
      <x:c r="F1073" s="17" t="str">
        <x:v>constraint revealed</x:v>
      </x:c>
      <x:c r="G1073" s="17" t="str">
        <x:v>75% Polyester, 25% Spandex</x:v>
      </x:c>
      <x:c r="H1073" s="17" t="str">
        <x:v>For that, what matters is: 75% Polyester, 25% Spandex.</x:v>
      </x:c>
      <x:c r="I1073" s="17" t="str"/>
    </x:row>
    <x:row r="1074">
      <x:c r="A1074" t="str">
        <x:v>public_0095</x:v>
      </x:c>
      <x:c r="B1074" t="str">
        <x:v>buying</x:v>
      </x:c>
      <x:c r="C1074" t="str">
        <x:v>easy</x:v>
      </x:c>
      <x:c r="D1074" s="17" t="str">
        <x:v>next ask before hit/override</x:v>
      </x:c>
      <x:c r="E1074" s="17" t="str">
        <x:v>color</x:v>
      </x:c>
      <x:c r="F1074" s="17" t="str">
        <x:v>no new constraint</x:v>
      </x:c>
      <x:c r="G1074" s="17" t="str"/>
      <x:c r="H1074" s="17" t="str">
        <x:v>I don't have an additional preference for color.</x:v>
      </x:c>
      <x:c r="I1074" s="17" t="str"/>
    </x:row>
    <x:row r="1075">
      <x:c r="A1075" t="str">
        <x:v>public_0095</x:v>
      </x:c>
      <x:c r="B1075" t="str">
        <x:v>buying</x:v>
      </x:c>
      <x:c r="C1075" t="str">
        <x:v>easy</x:v>
      </x:c>
      <x:c r="D1075" s="17" t="str">
        <x:v>next ask before hit/override</x:v>
      </x:c>
      <x:c r="E1075" s="17" t="str">
        <x:v>size</x:v>
      </x:c>
      <x:c r="F1075" s="17" t="str">
        <x:v>no new constraint</x:v>
      </x:c>
      <x:c r="G1075" s="17" t="str"/>
      <x:c r="H1075" s="17" t="str">
        <x:v>I don't have an additional preference for size.</x:v>
      </x:c>
      <x:c r="I1075" s="17" t="str"/>
    </x:row>
    <x:row r="1076">
      <x:c r="A1076" t="str">
        <x:v>public_0095</x:v>
      </x:c>
      <x:c r="B1076" t="str">
        <x:v>buying</x:v>
      </x:c>
      <x:c r="C1076" t="str">
        <x:v>easy</x:v>
      </x:c>
      <x:c r="D1076" s="17" t="str">
        <x:v>next ask before hit/override</x:v>
      </x:c>
      <x:c r="E1076" s="17" t="str">
        <x:v>style</x:v>
      </x:c>
      <x:c r="F1076" s="17" t="str">
        <x:v>no new constraint</x:v>
      </x:c>
      <x:c r="G1076" s="17" t="str"/>
      <x:c r="H1076" s="17" t="str">
        <x:v>I don't have an additional preference for style.</x:v>
      </x:c>
      <x:c r="I1076" s="17" t="str"/>
    </x:row>
    <x:row r="1077">
      <x:c r="A1077" t="str">
        <x:v>public_0095</x:v>
      </x:c>
      <x:c r="B1077" t="str">
        <x:v>buying</x:v>
      </x:c>
      <x:c r="C1077" t="str">
        <x:v>easy</x:v>
      </x:c>
      <x:c r="D1077" s="17" t="str">
        <x:v>next ask before hit/override</x:v>
      </x:c>
      <x:c r="E1077" s="17" t="str">
        <x:v>brand</x:v>
      </x:c>
      <x:c r="F1077" s="17" t="str">
        <x:v>no new constraint</x:v>
      </x:c>
      <x:c r="G1077" s="17" t="str"/>
      <x:c r="H1077" s="17" t="str">
        <x:v>I don't have an additional preference for brand.</x:v>
      </x:c>
      <x:c r="I1077" s="17" t="str"/>
    </x:row>
    <x:row r="1078">
      <x:c r="A1078" t="str">
        <x:v>public_0095</x:v>
      </x:c>
      <x:c r="B1078" t="str">
        <x:v>buying</x:v>
      </x:c>
      <x:c r="C1078" t="str">
        <x:v>easy</x:v>
      </x:c>
      <x:c r="D1078" s="17" t="str">
        <x:v>next ask before hit/override</x:v>
      </x:c>
      <x:c r="E1078" s="17" t="str">
        <x:v>budget</x:v>
      </x:c>
      <x:c r="F1078" s="17" t="str">
        <x:v>no new constraint</x:v>
      </x:c>
      <x:c r="G1078" s="17" t="str"/>
      <x:c r="H1078" s="17" t="str">
        <x:v>I don't have an additional preference for budget.</x:v>
      </x:c>
      <x:c r="I1078" s="17" t="str"/>
    </x:row>
    <x:row r="1079">
      <x:c r="A1079" t="str">
        <x:v>public_0095</x:v>
      </x:c>
      <x:c r="B1079" t="str">
        <x:v>buying</x:v>
      </x:c>
      <x:c r="C1079" t="str">
        <x:v>easy</x:v>
      </x:c>
      <x:c r="D1079" s="17" t="str">
        <x:v>next ask before hit/override</x:v>
      </x:c>
      <x:c r="E1079" s="17" t="str">
        <x:v>feature</x:v>
      </x:c>
      <x:c r="F1079" s="17" t="str">
        <x:v>constraint revealed</x:v>
      </x:c>
      <x:c r="G1079" s="17" t="str">
        <x:v>Imported | Pull On closure</x:v>
      </x:c>
      <x:c r="H1079" s="17" t="str">
        <x:v>For that, what matters is: Imported; Pull On closure.</x:v>
      </x:c>
      <x:c r="I1079" s="17" t="str"/>
    </x:row>
    <x:row r="1080">
      <x:c r="A1080" t="str">
        <x:v>public_0095</x:v>
      </x:c>
      <x:c r="B1080" t="str">
        <x:v>buying</x:v>
      </x:c>
      <x:c r="C1080" t="str">
        <x:v>easy</x:v>
      </x:c>
      <x:c r="D1080" s="17" t="str">
        <x:v>next ask before hit/override</x:v>
      </x:c>
      <x:c r="E1080" s="17" t="str">
        <x:v>use_case</x:v>
      </x:c>
      <x:c r="F1080" s="17" t="str">
        <x:v>no new constraint</x:v>
      </x:c>
      <x:c r="G1080" s="17" t="str"/>
      <x:c r="H1080" s="17" t="str">
        <x:v>I don't have an additional preference for use_case.</x:v>
      </x:c>
      <x:c r="I1080" s="17" t="str"/>
    </x:row>
    <x:row r="1081">
      <x:c r="A1081" t="str">
        <x:v>public_0095</x:v>
      </x:c>
      <x:c r="B1081" t="str">
        <x:v>buying</x:v>
      </x:c>
      <x:c r="C1081" t="str">
        <x:v>easy</x:v>
      </x:c>
      <x:c r="D1081" s="17" t="str">
        <x:v>next ask before hit/override</x:v>
      </x:c>
      <x:c r="E1081" s="17" t="str">
        <x:v>other</x:v>
      </x:c>
      <x:c r="F1081" s="17" t="str">
        <x:v>constraint revealed</x:v>
      </x:c>
      <x:c r="G1081" s="17" t="str">
        <x:v>75% Polyester, 25% Spandex | Imported</x:v>
      </x:c>
      <x:c r="H1081" s="17" t="str">
        <x:v>For that, what matters is: 75% Polyester, 25% Spandex; Imported.</x:v>
      </x:c>
      <x:c r="I1081" s="17" t="str"/>
    </x:row>
    <x:row r="1082">
      <x:c r="A1082" t="str">
        <x:v>public_0095</x:v>
      </x:c>
      <x:c r="B1082" t="str">
        <x:v>buying</x:v>
      </x:c>
      <x:c r="C1082" t="str">
        <x:v>easy</x:v>
      </x:c>
      <x:c r="D1082" s="17" t="str">
        <x:v>next ask before hit/override</x:v>
      </x:c>
      <x:c r="E1082" s="17" t="str">
        <x:v>(no ask_attribute)</x:v>
      </x:c>
      <x:c r="F1082" s="17" t="str">
        <x:v>agent did not ask</x:v>
      </x:c>
      <x:c r="G1082" s="17" t="str"/>
      <x:c r="H1082" s="17" t="str">
        <x:v>Those options are not quite right yet. Ask me about one specific attribute.</x:v>
      </x:c>
      <x:c r="I1082" s="17" t="str"/>
    </x:row>
    <x:row r="1083">
      <x:c r="A1083" t="str">
        <x:v>public_0096</x:v>
      </x:c>
      <x:c r="B1083" t="str">
        <x:v>intent_override</x:v>
      </x:c>
      <x:c r="C1083" t="str">
        <x:v>hard</x:v>
      </x:c>
      <x:c r="D1083" s="17" t="str">
        <x:v>next ask before hit/override</x:v>
      </x:c>
      <x:c r="E1083" s="17" t="str">
        <x:v>category</x:v>
      </x:c>
      <x:c r="F1083" s="17" t="str">
        <x:v>no new constraint</x:v>
      </x:c>
      <x:c r="G1083" s="17" t="str"/>
      <x:c r="H1083" s="17" t="str">
        <x:v>I don't have an additional preference for category.</x:v>
      </x:c>
      <x:c r="I1083" s="17" t="str">
        <x:v>Override message occurs automatically on turn 3 or 4 before this reply when scheduled.</x:v>
      </x:c>
    </x:row>
    <x:row r="1084">
      <x:c r="A1084" t="str">
        <x:v>public_0096</x:v>
      </x:c>
      <x:c r="B1084" t="str">
        <x:v>intent_override</x:v>
      </x:c>
      <x:c r="C1084" t="str">
        <x:v>hard</x:v>
      </x:c>
      <x:c r="D1084" s="17" t="str">
        <x:v>next ask before hit/override</x:v>
      </x:c>
      <x:c r="E1084" s="17" t="str">
        <x:v>material</x:v>
      </x:c>
      <x:c r="F1084" s="17" t="str">
        <x:v>constraint revealed</x:v>
      </x:c>
      <x:c r="G1084" s="17" t="str">
        <x:v>polyester | 95% Polyester, 5% Spandex</x:v>
      </x:c>
      <x:c r="H1084" s="17" t="str">
        <x:v>For that, what matters is: polyester; 95% Polyester, 5% Spandex.</x:v>
      </x:c>
      <x:c r="I1084" s="17" t="str">
        <x:v>Override message occurs automatically on turn 3 or 4 before this reply when scheduled.</x:v>
      </x:c>
    </x:row>
    <x:row r="1085">
      <x:c r="A1085" t="str">
        <x:v>public_0096</x:v>
      </x:c>
      <x:c r="B1085" t="str">
        <x:v>intent_override</x:v>
      </x:c>
      <x:c r="C1085" t="str">
        <x:v>hard</x:v>
      </x:c>
      <x:c r="D1085" s="17" t="str">
        <x:v>next ask before hit/override</x:v>
      </x:c>
      <x:c r="E1085" s="17" t="str">
        <x:v>color</x:v>
      </x:c>
      <x:c r="F1085" s="17" t="str">
        <x:v>no new constraint</x:v>
      </x:c>
      <x:c r="G1085" s="17" t="str"/>
      <x:c r="H1085" s="17" t="str">
        <x:v>I don't have an additional preference for color.</x:v>
      </x:c>
      <x:c r="I1085" s="17" t="str">
        <x:v>Override message occurs automatically on turn 3 or 4 before this reply when scheduled.</x:v>
      </x:c>
    </x:row>
    <x:row r="1086">
      <x:c r="A1086" t="str">
        <x:v>public_0096</x:v>
      </x:c>
      <x:c r="B1086" t="str">
        <x:v>intent_override</x:v>
      </x:c>
      <x:c r="C1086" t="str">
        <x:v>hard</x:v>
      </x:c>
      <x:c r="D1086" s="17" t="str">
        <x:v>next ask before hit/override</x:v>
      </x:c>
      <x:c r="E1086" s="17" t="str">
        <x:v>size</x:v>
      </x:c>
      <x:c r="F1086" s="17" t="str">
        <x:v>no new constraint</x:v>
      </x:c>
      <x:c r="G1086" s="17" t="str"/>
      <x:c r="H1086" s="17" t="str">
        <x:v>I don't have an additional preference for size.</x:v>
      </x:c>
      <x:c r="I1086" s="17" t="str">
        <x:v>Override message occurs automatically on turn 3 or 4 before this reply when scheduled.</x:v>
      </x:c>
    </x:row>
    <x:row r="1087">
      <x:c r="A1087" t="str">
        <x:v>public_0096</x:v>
      </x:c>
      <x:c r="B1087" t="str">
        <x:v>intent_override</x:v>
      </x:c>
      <x:c r="C1087" t="str">
        <x:v>hard</x:v>
      </x:c>
      <x:c r="D1087" s="17" t="str">
        <x:v>next ask before hit/override</x:v>
      </x:c>
      <x:c r="E1087" s="17" t="str">
        <x:v>style</x:v>
      </x:c>
      <x:c r="F1087" s="17" t="str">
        <x:v>no new constraint</x:v>
      </x:c>
      <x:c r="G1087" s="17" t="str"/>
      <x:c r="H1087" s="17" t="str">
        <x:v>I don't have an additional preference for style.</x:v>
      </x:c>
      <x:c r="I1087" s="17" t="str">
        <x:v>Override message occurs automatically on turn 3 or 4 before this reply when scheduled.</x:v>
      </x:c>
    </x:row>
    <x:row r="1088">
      <x:c r="A1088" t="str">
        <x:v>public_0096</x:v>
      </x:c>
      <x:c r="B1088" t="str">
        <x:v>intent_override</x:v>
      </x:c>
      <x:c r="C1088" t="str">
        <x:v>hard</x:v>
      </x:c>
      <x:c r="D1088" s="17" t="str">
        <x:v>next ask before hit/override</x:v>
      </x:c>
      <x:c r="E1088" s="17" t="str">
        <x:v>brand</x:v>
      </x:c>
      <x:c r="F1088" s="17" t="str">
        <x:v>no new constraint</x:v>
      </x:c>
      <x:c r="G1088" s="17" t="str"/>
      <x:c r="H1088" s="17" t="str">
        <x:v>I don't have an additional preference for brand.</x:v>
      </x:c>
      <x:c r="I1088" s="17" t="str">
        <x:v>Override message occurs automatically on turn 3 or 4 before this reply when scheduled.</x:v>
      </x:c>
    </x:row>
    <x:row r="1089">
      <x:c r="A1089" t="str">
        <x:v>public_0096</x:v>
      </x:c>
      <x:c r="B1089" t="str">
        <x:v>intent_override</x:v>
      </x:c>
      <x:c r="C1089" t="str">
        <x:v>hard</x:v>
      </x:c>
      <x:c r="D1089" s="17" t="str">
        <x:v>next ask before hit/override</x:v>
      </x:c>
      <x:c r="E1089" s="17" t="str">
        <x:v>budget</x:v>
      </x:c>
      <x:c r="F1089" s="17" t="str">
        <x:v>no new constraint</x:v>
      </x:c>
      <x:c r="G1089" s="17" t="str"/>
      <x:c r="H1089" s="17" t="str">
        <x:v>I don't have an additional preference for budget.</x:v>
      </x:c>
      <x:c r="I1089" s="17" t="str">
        <x:v>Override message occurs automatically on turn 3 or 4 before this reply when scheduled.</x:v>
      </x:c>
    </x:row>
    <x:row r="1090">
      <x:c r="A1090" t="str">
        <x:v>public_0096</x:v>
      </x:c>
      <x:c r="B1090" t="str">
        <x:v>intent_override</x:v>
      </x:c>
      <x:c r="C1090" t="str">
        <x:v>hard</x:v>
      </x:c>
      <x:c r="D1090" s="17" t="str">
        <x:v>next ask before hit/override</x:v>
      </x:c>
      <x:c r="E1090" s="17" t="str">
        <x:v>feature</x:v>
      </x:c>
      <x:c r="F1090" s="17" t="str">
        <x:v>constraint revealed</x:v>
      </x:c>
      <x:c r="G1090" s="17" t="str">
        <x:v>Imported | Pull On closure</x:v>
      </x:c>
      <x:c r="H1090" s="17" t="str">
        <x:v>For that, what matters is: Imported; Pull On closure.</x:v>
      </x:c>
      <x:c r="I1090" s="17" t="str">
        <x:v>Override message occurs automatically on turn 3 or 4 before this reply when scheduled.</x:v>
      </x:c>
    </x:row>
    <x:row r="1091">
      <x:c r="A1091" t="str">
        <x:v>public_0096</x:v>
      </x:c>
      <x:c r="B1091" t="str">
        <x:v>intent_override</x:v>
      </x:c>
      <x:c r="C1091" t="str">
        <x:v>hard</x:v>
      </x:c>
      <x:c r="D1091" s="17" t="str">
        <x:v>next ask before hit/override</x:v>
      </x:c>
      <x:c r="E1091" s="17" t="str">
        <x:v>use_case</x:v>
      </x:c>
      <x:c r="F1091" s="17" t="str">
        <x:v>no new constraint</x:v>
      </x:c>
      <x:c r="G1091" s="17" t="str"/>
      <x:c r="H1091" s="17" t="str">
        <x:v>I don't have an additional preference for use_case.</x:v>
      </x:c>
      <x:c r="I1091" s="17" t="str">
        <x:v>Override message occurs automatically on turn 3 or 4 before this reply when scheduled.</x:v>
      </x:c>
    </x:row>
    <x:row r="1092">
      <x:c r="A1092" t="str">
        <x:v>public_0096</x:v>
      </x:c>
      <x:c r="B1092" t="str">
        <x:v>intent_override</x:v>
      </x:c>
      <x:c r="C1092" t="str">
        <x:v>hard</x:v>
      </x:c>
      <x:c r="D1092" s="17" t="str">
        <x:v>next ask before hit/override</x:v>
      </x:c>
      <x:c r="E1092" s="17" t="str">
        <x:v>other</x:v>
      </x:c>
      <x:c r="F1092" s="17" t="str">
        <x:v>constraint revealed</x:v>
      </x:c>
      <x:c r="G1092" s="17" t="str">
        <x:v>polyester | 95% Polyester, 5% Spandex</x:v>
      </x:c>
      <x:c r="H1092" s="17" t="str">
        <x:v>For that, what matters is: polyester; 95% Polyester, 5% Spandex.</x:v>
      </x:c>
      <x:c r="I1092" s="17" t="str">
        <x:v>Override message occurs automatically on turn 3 or 4 before this reply when scheduled.</x:v>
      </x:c>
    </x:row>
    <x:row r="1093">
      <x:c r="A1093" t="str">
        <x:v>public_0096</x:v>
      </x:c>
      <x:c r="B1093" t="str">
        <x:v>intent_override</x:v>
      </x:c>
      <x:c r="C1093" t="str">
        <x:v>hard</x:v>
      </x:c>
      <x:c r="D1093" s="17" t="str">
        <x:v>next ask before hit/override</x:v>
      </x:c>
      <x:c r="E1093" s="17" t="str">
        <x:v>(no ask_attribute)</x:v>
      </x:c>
      <x:c r="F1093" s="17" t="str">
        <x:v>agent did not ask</x:v>
      </x:c>
      <x:c r="G1093" s="17" t="str"/>
      <x:c r="H1093" s="17" t="str">
        <x:v>Those options are not quite right yet. Ask me about one specific attribute.</x:v>
      </x:c>
      <x:c r="I1093" s="17" t="str">
        <x:v>Override message occurs automatically on turn 3 or 4 before this reply when scheduled.</x:v>
      </x:c>
    </x:row>
    <x:row r="1094">
      <x:c r="A1094" t="str">
        <x:v>public_0097</x:v>
      </x:c>
      <x:c r="B1094" t="str">
        <x:v>buying</x:v>
      </x:c>
      <x:c r="C1094" t="str">
        <x:v>easy</x:v>
      </x:c>
      <x:c r="D1094" s="17" t="str">
        <x:v>next ask before hit/override</x:v>
      </x:c>
      <x:c r="E1094" s="17" t="str">
        <x:v>category</x:v>
      </x:c>
      <x:c r="F1094" s="17" t="str">
        <x:v>no new constraint</x:v>
      </x:c>
      <x:c r="G1094" s="17" t="str"/>
      <x:c r="H1094" s="17" t="str">
        <x:v>I don't have an additional preference for category.</x:v>
      </x:c>
      <x:c r="I1094" s="17" t="str"/>
    </x:row>
    <x:row r="1095">
      <x:c r="A1095" t="str">
        <x:v>public_0097</x:v>
      </x:c>
      <x:c r="B1095" t="str">
        <x:v>buying</x:v>
      </x:c>
      <x:c r="C1095" t="str">
        <x:v>easy</x:v>
      </x:c>
      <x:c r="D1095" s="17" t="str">
        <x:v>next ask before hit/override</x:v>
      </x:c>
      <x:c r="E1095" s="17" t="str">
        <x:v>material</x:v>
      </x:c>
      <x:c r="F1095" s="17" t="str">
        <x:v>constraint revealed</x:v>
      </x:c>
      <x:c r="G1095" s="17" t="str">
        <x:v>92% Polyester</x:v>
      </x:c>
      <x:c r="H1095" s="17" t="str">
        <x:v>For that, what matters is: 92% Polyester.</x:v>
      </x:c>
      <x:c r="I1095" s="17" t="str"/>
    </x:row>
    <x:row r="1096">
      <x:c r="A1096" t="str">
        <x:v>public_0097</x:v>
      </x:c>
      <x:c r="B1096" t="str">
        <x:v>buying</x:v>
      </x:c>
      <x:c r="C1096" t="str">
        <x:v>easy</x:v>
      </x:c>
      <x:c r="D1096" s="17" t="str">
        <x:v>next ask before hit/override</x:v>
      </x:c>
      <x:c r="E1096" s="17" t="str">
        <x:v>color</x:v>
      </x:c>
      <x:c r="F1096" s="17" t="str">
        <x:v>no new constraint</x:v>
      </x:c>
      <x:c r="G1096" s="17" t="str"/>
      <x:c r="H1096" s="17" t="str">
        <x:v>I don't have an additional preference for color.</x:v>
      </x:c>
      <x:c r="I1096" s="17" t="str"/>
    </x:row>
    <x:row r="1097">
      <x:c r="A1097" t="str">
        <x:v>public_0097</x:v>
      </x:c>
      <x:c r="B1097" t="str">
        <x:v>buying</x:v>
      </x:c>
      <x:c r="C1097" t="str">
        <x:v>easy</x:v>
      </x:c>
      <x:c r="D1097" s="17" t="str">
        <x:v>next ask before hit/override</x:v>
      </x:c>
      <x:c r="E1097" s="17" t="str">
        <x:v>size</x:v>
      </x:c>
      <x:c r="F1097" s="17" t="str">
        <x:v>no new constraint</x:v>
      </x:c>
      <x:c r="G1097" s="17" t="str"/>
      <x:c r="H1097" s="17" t="str">
        <x:v>I don't have an additional preference for size.</x:v>
      </x:c>
      <x:c r="I1097" s="17" t="str"/>
    </x:row>
    <x:row r="1098">
      <x:c r="A1098" t="str">
        <x:v>public_0097</x:v>
      </x:c>
      <x:c r="B1098" t="str">
        <x:v>buying</x:v>
      </x:c>
      <x:c r="C1098" t="str">
        <x:v>easy</x:v>
      </x:c>
      <x:c r="D1098" s="17" t="str">
        <x:v>next ask before hit/override</x:v>
      </x:c>
      <x:c r="E1098" s="17" t="str">
        <x:v>style</x:v>
      </x:c>
      <x:c r="F1098" s="17" t="str">
        <x:v>no new constraint</x:v>
      </x:c>
      <x:c r="G1098" s="17" t="str"/>
      <x:c r="H1098" s="17" t="str">
        <x:v>I don't have an additional preference for style.</x:v>
      </x:c>
      <x:c r="I1098" s="17" t="str"/>
    </x:row>
    <x:row r="1099">
      <x:c r="A1099" t="str">
        <x:v>public_0097</x:v>
      </x:c>
      <x:c r="B1099" t="str">
        <x:v>buying</x:v>
      </x:c>
      <x:c r="C1099" t="str">
        <x:v>easy</x:v>
      </x:c>
      <x:c r="D1099" s="17" t="str">
        <x:v>next ask before hit/override</x:v>
      </x:c>
      <x:c r="E1099" s="17" t="str">
        <x:v>brand</x:v>
      </x:c>
      <x:c r="F1099" s="17" t="str">
        <x:v>no new constraint</x:v>
      </x:c>
      <x:c r="G1099" s="17" t="str"/>
      <x:c r="H1099" s="17" t="str">
        <x:v>I don't have an additional preference for brand.</x:v>
      </x:c>
      <x:c r="I1099" s="17" t="str"/>
    </x:row>
    <x:row r="1100">
      <x:c r="A1100" t="str">
        <x:v>public_0097</x:v>
      </x:c>
      <x:c r="B1100" t="str">
        <x:v>buying</x:v>
      </x:c>
      <x:c r="C1100" t="str">
        <x:v>easy</x:v>
      </x:c>
      <x:c r="D1100" s="17" t="str">
        <x:v>next ask before hit/override</x:v>
      </x:c>
      <x:c r="E1100" s="17" t="str">
        <x:v>budget</x:v>
      </x:c>
      <x:c r="F1100" s="17" t="str">
        <x:v>no new constraint</x:v>
      </x:c>
      <x:c r="G1100" s="17" t="str"/>
      <x:c r="H1100" s="17" t="str">
        <x:v>I don't have an additional preference for budget.</x:v>
      </x:c>
      <x:c r="I1100" s="17" t="str"/>
    </x:row>
    <x:row r="1101">
      <x:c r="A1101" t="str">
        <x:v>public_0097</x:v>
      </x:c>
      <x:c r="B1101" t="str">
        <x:v>buying</x:v>
      </x:c>
      <x:c r="C1101" t="str">
        <x:v>easy</x:v>
      </x:c>
      <x:c r="D1101" s="17" t="str">
        <x:v>next ask before hit/override</x:v>
      </x:c>
      <x:c r="E1101" s="17" t="str">
        <x:v>feature</x:v>
      </x:c>
      <x:c r="F1101" s="17" t="str">
        <x:v>constraint revealed</x:v>
      </x:c>
      <x:c r="G1101" s="17" t="str">
        <x:v>Elastic closure | Machine Wash</x:v>
      </x:c>
      <x:c r="H1101" s="17" t="str">
        <x:v>For that, what matters is: Elastic closure; Machine Wash.</x:v>
      </x:c>
      <x:c r="I1101" s="17" t="str"/>
    </x:row>
    <x:row r="1102">
      <x:c r="A1102" t="str">
        <x:v>public_0097</x:v>
      </x:c>
      <x:c r="B1102" t="str">
        <x:v>buying</x:v>
      </x:c>
      <x:c r="C1102" t="str">
        <x:v>easy</x:v>
      </x:c>
      <x:c r="D1102" s="17" t="str">
        <x:v>next ask before hit/override</x:v>
      </x:c>
      <x:c r="E1102" s="17" t="str">
        <x:v>use_case</x:v>
      </x:c>
      <x:c r="F1102" s="17" t="str">
        <x:v>no new constraint</x:v>
      </x:c>
      <x:c r="G1102" s="17" t="str"/>
      <x:c r="H1102" s="17" t="str">
        <x:v>I don't have an additional preference for use_case.</x:v>
      </x:c>
      <x:c r="I1102" s="17" t="str"/>
    </x:row>
    <x:row r="1103">
      <x:c r="A1103" t="str">
        <x:v>public_0097</x:v>
      </x:c>
      <x:c r="B1103" t="str">
        <x:v>buying</x:v>
      </x:c>
      <x:c r="C1103" t="str">
        <x:v>easy</x:v>
      </x:c>
      <x:c r="D1103" s="17" t="str">
        <x:v>next ask before hit/override</x:v>
      </x:c>
      <x:c r="E1103" s="17" t="str">
        <x:v>other</x:v>
      </x:c>
      <x:c r="F1103" s="17" t="str">
        <x:v>constraint revealed</x:v>
      </x:c>
      <x:c r="G1103" s="17" t="str">
        <x:v>92% Polyester | Elastic closure</x:v>
      </x:c>
      <x:c r="H1103" s="17" t="str">
        <x:v>For that, what matters is: 92% Polyester; Elastic closure.</x:v>
      </x:c>
      <x:c r="I1103" s="17" t="str"/>
    </x:row>
    <x:row r="1104">
      <x:c r="A1104" t="str">
        <x:v>public_0097</x:v>
      </x:c>
      <x:c r="B1104" t="str">
        <x:v>buying</x:v>
      </x:c>
      <x:c r="C1104" t="str">
        <x:v>easy</x:v>
      </x:c>
      <x:c r="D1104" s="17" t="str">
        <x:v>next ask before hit/override</x:v>
      </x:c>
      <x:c r="E1104" s="17" t="str">
        <x:v>(no ask_attribute)</x:v>
      </x:c>
      <x:c r="F1104" s="17" t="str">
        <x:v>agent did not ask</x:v>
      </x:c>
      <x:c r="G1104" s="17" t="str"/>
      <x:c r="H1104" s="17" t="str">
        <x:v>Those options are not quite right yet. Ask me about one specific attribute.</x:v>
      </x:c>
      <x:c r="I1104" s="17" t="str"/>
    </x:row>
    <x:row r="1105">
      <x:c r="A1105" t="str">
        <x:v>public_0098</x:v>
      </x:c>
      <x:c r="B1105" t="str">
        <x:v>browsing</x:v>
      </x:c>
      <x:c r="C1105" t="str">
        <x:v>medium</x:v>
      </x:c>
      <x:c r="D1105" s="17" t="str">
        <x:v>next ask before hit/override</x:v>
      </x:c>
      <x:c r="E1105" s="17" t="str">
        <x:v>category</x:v>
      </x:c>
      <x:c r="F1105" s="17" t="str">
        <x:v>no new constraint</x:v>
      </x:c>
      <x:c r="G1105" s="17" t="str"/>
      <x:c r="H1105" s="17" t="str">
        <x:v>I don't have an additional preference for category.</x:v>
      </x:c>
      <x:c r="I1105" s="17" t="str"/>
    </x:row>
    <x:row r="1106">
      <x:c r="A1106" t="str">
        <x:v>public_0098</x:v>
      </x:c>
      <x:c r="B1106" t="str">
        <x:v>browsing</x:v>
      </x:c>
      <x:c r="C1106" t="str">
        <x:v>medium</x:v>
      </x:c>
      <x:c r="D1106" s="17" t="str">
        <x:v>next ask before hit/override</x:v>
      </x:c>
      <x:c r="E1106" s="17" t="str">
        <x:v>material</x:v>
      </x:c>
      <x:c r="F1106" s="17" t="str">
        <x:v>constraint revealed</x:v>
      </x:c>
      <x:c r="G1106" s="17" t="str">
        <x:v>polyester</x:v>
      </x:c>
      <x:c r="H1106" s="17" t="str">
        <x:v>For that, what matters is: polyester.</x:v>
      </x:c>
      <x:c r="I1106" s="17" t="str"/>
    </x:row>
    <x:row r="1107">
      <x:c r="A1107" t="str">
        <x:v>public_0098</x:v>
      </x:c>
      <x:c r="B1107" t="str">
        <x:v>browsing</x:v>
      </x:c>
      <x:c r="C1107" t="str">
        <x:v>medium</x:v>
      </x:c>
      <x:c r="D1107" s="17" t="str">
        <x:v>next ask before hit/override</x:v>
      </x:c>
      <x:c r="E1107" s="17" t="str">
        <x:v>color</x:v>
      </x:c>
      <x:c r="F1107" s="17" t="str">
        <x:v>no new constraint</x:v>
      </x:c>
      <x:c r="G1107" s="17" t="str"/>
      <x:c r="H1107" s="17" t="str">
        <x:v>I don't have an additional preference for color.</x:v>
      </x:c>
      <x:c r="I1107" s="17" t="str"/>
    </x:row>
    <x:row r="1108">
      <x:c r="A1108" t="str">
        <x:v>public_0098</x:v>
      </x:c>
      <x:c r="B1108" t="str">
        <x:v>browsing</x:v>
      </x:c>
      <x:c r="C1108" t="str">
        <x:v>medium</x:v>
      </x:c>
      <x:c r="D1108" s="17" t="str">
        <x:v>next ask before hit/override</x:v>
      </x:c>
      <x:c r="E1108" s="17" t="str">
        <x:v>size</x:v>
      </x:c>
      <x:c r="F1108" s="17" t="str">
        <x:v>no new constraint</x:v>
      </x:c>
      <x:c r="G1108" s="17" t="str"/>
      <x:c r="H1108" s="17" t="str">
        <x:v>I don't have an additional preference for size.</x:v>
      </x:c>
      <x:c r="I1108" s="17" t="str"/>
    </x:row>
    <x:row r="1109">
      <x:c r="A1109" t="str">
        <x:v>public_0098</x:v>
      </x:c>
      <x:c r="B1109" t="str">
        <x:v>browsing</x:v>
      </x:c>
      <x:c r="C1109" t="str">
        <x:v>medium</x:v>
      </x:c>
      <x:c r="D1109" s="17" t="str">
        <x:v>next ask before hit/override</x:v>
      </x:c>
      <x:c r="E1109" s="17" t="str">
        <x:v>style</x:v>
      </x:c>
      <x:c r="F1109" s="17" t="str">
        <x:v>no new constraint</x:v>
      </x:c>
      <x:c r="G1109" s="17" t="str"/>
      <x:c r="H1109" s="17" t="str">
        <x:v>I don't have an additional preference for style.</x:v>
      </x:c>
      <x:c r="I1109" s="17" t="str"/>
    </x:row>
    <x:row r="1110">
      <x:c r="A1110" t="str">
        <x:v>public_0098</x:v>
      </x:c>
      <x:c r="B1110" t="str">
        <x:v>browsing</x:v>
      </x:c>
      <x:c r="C1110" t="str">
        <x:v>medium</x:v>
      </x:c>
      <x:c r="D1110" s="17" t="str">
        <x:v>next ask before hit/override</x:v>
      </x:c>
      <x:c r="E1110" s="17" t="str">
        <x:v>brand</x:v>
      </x:c>
      <x:c r="F1110" s="17" t="str">
        <x:v>no new constraint</x:v>
      </x:c>
      <x:c r="G1110" s="17" t="str"/>
      <x:c r="H1110" s="17" t="str">
        <x:v>I don't have an additional preference for brand.</x:v>
      </x:c>
      <x:c r="I1110" s="17" t="str"/>
    </x:row>
    <x:row r="1111">
      <x:c r="A1111" t="str">
        <x:v>public_0098</x:v>
      </x:c>
      <x:c r="B1111" t="str">
        <x:v>browsing</x:v>
      </x:c>
      <x:c r="C1111" t="str">
        <x:v>medium</x:v>
      </x:c>
      <x:c r="D1111" s="17" t="str">
        <x:v>next ask before hit/override</x:v>
      </x:c>
      <x:c r="E1111" s="17" t="str">
        <x:v>budget</x:v>
      </x:c>
      <x:c r="F1111" s="17" t="str">
        <x:v>no new constraint</x:v>
      </x:c>
      <x:c r="G1111" s="17" t="str"/>
      <x:c r="H1111" s="17" t="str">
        <x:v>I don't have an additional preference for budget.</x:v>
      </x:c>
      <x:c r="I1111" s="17" t="str"/>
    </x:row>
    <x:row r="1112">
      <x:c r="A1112" t="str">
        <x:v>public_0098</x:v>
      </x:c>
      <x:c r="B1112" t="str">
        <x:v>browsing</x:v>
      </x:c>
      <x:c r="C1112" t="str">
        <x:v>medium</x:v>
      </x:c>
      <x:c r="D1112" s="17" t="str">
        <x:v>next ask before hit/override</x:v>
      </x:c>
      <x:c r="E1112" s="17" t="str">
        <x:v>feature</x:v>
      </x:c>
      <x:c r="F1112" s="17" t="str">
        <x:v>constraint revealed</x:v>
      </x:c>
      <x:c r="G1112" s="17" t="str">
        <x:v>100% Rubber | Imported</x:v>
      </x:c>
      <x:c r="H1112" s="17" t="str">
        <x:v>For that, what matters is: 100% Rubber; Imported.</x:v>
      </x:c>
      <x:c r="I1112" s="17" t="str"/>
    </x:row>
    <x:row r="1113">
      <x:c r="A1113" t="str">
        <x:v>public_0098</x:v>
      </x:c>
      <x:c r="B1113" t="str">
        <x:v>browsing</x:v>
      </x:c>
      <x:c r="C1113" t="str">
        <x:v>medium</x:v>
      </x:c>
      <x:c r="D1113" s="17" t="str">
        <x:v>next ask before hit/override</x:v>
      </x:c>
      <x:c r="E1113" s="17" t="str">
        <x:v>use_case</x:v>
      </x:c>
      <x:c r="F1113" s="17" t="str">
        <x:v>no new constraint</x:v>
      </x:c>
      <x:c r="G1113" s="17" t="str"/>
      <x:c r="H1113" s="17" t="str">
        <x:v>I don't have an additional preference for use_case.</x:v>
      </x:c>
      <x:c r="I1113" s="17" t="str"/>
    </x:row>
    <x:row r="1114">
      <x:c r="A1114" t="str">
        <x:v>public_0098</x:v>
      </x:c>
      <x:c r="B1114" t="str">
        <x:v>browsing</x:v>
      </x:c>
      <x:c r="C1114" t="str">
        <x:v>medium</x:v>
      </x:c>
      <x:c r="D1114" s="17" t="str">
        <x:v>next ask before hit/override</x:v>
      </x:c>
      <x:c r="E1114" s="17" t="str">
        <x:v>other</x:v>
      </x:c>
      <x:c r="F1114" s="17" t="str">
        <x:v>constraint revealed</x:v>
      </x:c>
      <x:c r="G1114" s="17" t="str">
        <x:v>polyester | 100% Rubber</x:v>
      </x:c>
      <x:c r="H1114" s="17" t="str">
        <x:v>For that, what matters is: polyester; 100% Rubber.</x:v>
      </x:c>
      <x:c r="I1114" s="17" t="str"/>
    </x:row>
    <x:row r="1115">
      <x:c r="A1115" t="str">
        <x:v>public_0098</x:v>
      </x:c>
      <x:c r="B1115" t="str">
        <x:v>browsing</x:v>
      </x:c>
      <x:c r="C1115" t="str">
        <x:v>medium</x:v>
      </x:c>
      <x:c r="D1115" s="17" t="str">
        <x:v>next ask before hit/override</x:v>
      </x:c>
      <x:c r="E1115" s="17" t="str">
        <x:v>(no ask_attribute)</x:v>
      </x:c>
      <x:c r="F1115" s="17" t="str">
        <x:v>agent did not ask</x:v>
      </x:c>
      <x:c r="G1115" s="17" t="str"/>
      <x:c r="H1115" s="17" t="str">
        <x:v>Those options are not quite right yet. Ask me about one specific attribute.</x:v>
      </x:c>
      <x:c r="I1115" s="17" t="str"/>
    </x:row>
    <x:row r="1116">
      <x:c r="A1116" t="str">
        <x:v>public_0099</x:v>
      </x:c>
      <x:c r="B1116" t="str">
        <x:v>browsing</x:v>
      </x:c>
      <x:c r="C1116" t="str">
        <x:v>medium</x:v>
      </x:c>
      <x:c r="D1116" s="17" t="str">
        <x:v>next ask before hit/override</x:v>
      </x:c>
      <x:c r="E1116" s="17" t="str">
        <x:v>category</x:v>
      </x:c>
      <x:c r="F1116" s="17" t="str">
        <x:v>no new constraint</x:v>
      </x:c>
      <x:c r="G1116" s="17" t="str"/>
      <x:c r="H1116" s="17" t="str">
        <x:v>I don't have an additional preference for category.</x:v>
      </x:c>
      <x:c r="I1116" s="17" t="str"/>
    </x:row>
    <x:row r="1117">
      <x:c r="A1117" t="str">
        <x:v>public_0099</x:v>
      </x:c>
      <x:c r="B1117" t="str">
        <x:v>browsing</x:v>
      </x:c>
      <x:c r="C1117" t="str">
        <x:v>medium</x:v>
      </x:c>
      <x:c r="D1117" s="17" t="str">
        <x:v>next ask before hit/override</x:v>
      </x:c>
      <x:c r="E1117" s="17" t="str">
        <x:v>material</x:v>
      </x:c>
      <x:c r="F1117" s="17" t="str">
        <x:v>constraint revealed</x:v>
      </x:c>
      <x:c r="G1117" s="17" t="str">
        <x:v>cotton | 60% Cotton, 40% Polyester</x:v>
      </x:c>
      <x:c r="H1117" s="17" t="str">
        <x:v>For that, what matters is: cotton; 60% Cotton, 40% Polyester.</x:v>
      </x:c>
      <x:c r="I1117" s="17" t="str"/>
    </x:row>
    <x:row r="1118">
      <x:c r="A1118" t="str">
        <x:v>public_0099</x:v>
      </x:c>
      <x:c r="B1118" t="str">
        <x:v>browsing</x:v>
      </x:c>
      <x:c r="C1118" t="str">
        <x:v>medium</x:v>
      </x:c>
      <x:c r="D1118" s="17" t="str">
        <x:v>next ask before hit/override</x:v>
      </x:c>
      <x:c r="E1118" s="17" t="str">
        <x:v>color</x:v>
      </x:c>
      <x:c r="F1118" s="17" t="str">
        <x:v>no new constraint</x:v>
      </x:c>
      <x:c r="G1118" s="17" t="str"/>
      <x:c r="H1118" s="17" t="str">
        <x:v>I don't have an additional preference for color.</x:v>
      </x:c>
      <x:c r="I1118" s="17" t="str"/>
    </x:row>
    <x:row r="1119">
      <x:c r="A1119" t="str">
        <x:v>public_0099</x:v>
      </x:c>
      <x:c r="B1119" t="str">
        <x:v>browsing</x:v>
      </x:c>
      <x:c r="C1119" t="str">
        <x:v>medium</x:v>
      </x:c>
      <x:c r="D1119" s="17" t="str">
        <x:v>next ask before hit/override</x:v>
      </x:c>
      <x:c r="E1119" s="17" t="str">
        <x:v>size</x:v>
      </x:c>
      <x:c r="F1119" s="17" t="str">
        <x:v>no new constraint</x:v>
      </x:c>
      <x:c r="G1119" s="17" t="str"/>
      <x:c r="H1119" s="17" t="str">
        <x:v>I don't have an additional preference for size.</x:v>
      </x:c>
      <x:c r="I1119" s="17" t="str"/>
    </x:row>
    <x:row r="1120">
      <x:c r="A1120" t="str">
        <x:v>public_0099</x:v>
      </x:c>
      <x:c r="B1120" t="str">
        <x:v>browsing</x:v>
      </x:c>
      <x:c r="C1120" t="str">
        <x:v>medium</x:v>
      </x:c>
      <x:c r="D1120" s="17" t="str">
        <x:v>next ask before hit/override</x:v>
      </x:c>
      <x:c r="E1120" s="17" t="str">
        <x:v>style</x:v>
      </x:c>
      <x:c r="F1120" s="17" t="str">
        <x:v>no new constraint</x:v>
      </x:c>
      <x:c r="G1120" s="17" t="str"/>
      <x:c r="H1120" s="17" t="str">
        <x:v>I don't have an additional preference for style.</x:v>
      </x:c>
      <x:c r="I1120" s="17" t="str"/>
    </x:row>
    <x:row r="1121">
      <x:c r="A1121" t="str">
        <x:v>public_0099</x:v>
      </x:c>
      <x:c r="B1121" t="str">
        <x:v>browsing</x:v>
      </x:c>
      <x:c r="C1121" t="str">
        <x:v>medium</x:v>
      </x:c>
      <x:c r="D1121" s="17" t="str">
        <x:v>next ask before hit/override</x:v>
      </x:c>
      <x:c r="E1121" s="17" t="str">
        <x:v>brand</x:v>
      </x:c>
      <x:c r="F1121" s="17" t="str">
        <x:v>no new constraint</x:v>
      </x:c>
      <x:c r="G1121" s="17" t="str"/>
      <x:c r="H1121" s="17" t="str">
        <x:v>I don't have an additional preference for brand.</x:v>
      </x:c>
      <x:c r="I1121" s="17" t="str"/>
    </x:row>
    <x:row r="1122">
      <x:c r="A1122" t="str">
        <x:v>public_0099</x:v>
      </x:c>
      <x:c r="B1122" t="str">
        <x:v>browsing</x:v>
      </x:c>
      <x:c r="C1122" t="str">
        <x:v>medium</x:v>
      </x:c>
      <x:c r="D1122" s="17" t="str">
        <x:v>next ask before hit/override</x:v>
      </x:c>
      <x:c r="E1122" s="17" t="str">
        <x:v>budget</x:v>
      </x:c>
      <x:c r="F1122" s="17" t="str">
        <x:v>no new constraint</x:v>
      </x:c>
      <x:c r="G1122" s="17" t="str"/>
      <x:c r="H1122" s="17" t="str">
        <x:v>I don't have an additional preference for budget.</x:v>
      </x:c>
      <x:c r="I1122" s="17" t="str"/>
    </x:row>
    <x:row r="1123">
      <x:c r="A1123" t="str">
        <x:v>public_0099</x:v>
      </x:c>
      <x:c r="B1123" t="str">
        <x:v>browsing</x:v>
      </x:c>
      <x:c r="C1123" t="str">
        <x:v>medium</x:v>
      </x:c>
      <x:c r="D1123" s="17" t="str">
        <x:v>next ask before hit/override</x:v>
      </x:c>
      <x:c r="E1123" s="17" t="str">
        <x:v>feature</x:v>
      </x:c>
      <x:c r="F1123" s="17" t="str">
        <x:v>constraint revealed</x:v>
      </x:c>
      <x:c r="G1123" s="17" t="str">
        <x:v>Imported | Drawstring closure</x:v>
      </x:c>
      <x:c r="H1123" s="17" t="str">
        <x:v>For that, what matters is: Imported; Drawstring closure.</x:v>
      </x:c>
      <x:c r="I1123" s="17" t="str"/>
    </x:row>
    <x:row r="1124">
      <x:c r="A1124" t="str">
        <x:v>public_0099</x:v>
      </x:c>
      <x:c r="B1124" t="str">
        <x:v>browsing</x:v>
      </x:c>
      <x:c r="C1124" t="str">
        <x:v>medium</x:v>
      </x:c>
      <x:c r="D1124" s="17" t="str">
        <x:v>next ask before hit/override</x:v>
      </x:c>
      <x:c r="E1124" s="17" t="str">
        <x:v>use_case</x:v>
      </x:c>
      <x:c r="F1124" s="17" t="str">
        <x:v>no new constraint</x:v>
      </x:c>
      <x:c r="G1124" s="17" t="str"/>
      <x:c r="H1124" s="17" t="str">
        <x:v>I don't have an additional preference for use_case.</x:v>
      </x:c>
      <x:c r="I1124" s="17" t="str"/>
    </x:row>
    <x:row r="1125">
      <x:c r="A1125" t="str">
        <x:v>public_0099</x:v>
      </x:c>
      <x:c r="B1125" t="str">
        <x:v>browsing</x:v>
      </x:c>
      <x:c r="C1125" t="str">
        <x:v>medium</x:v>
      </x:c>
      <x:c r="D1125" s="17" t="str">
        <x:v>next ask before hit/override</x:v>
      </x:c>
      <x:c r="E1125" s="17" t="str">
        <x:v>other</x:v>
      </x:c>
      <x:c r="F1125" s="17" t="str">
        <x:v>constraint revealed</x:v>
      </x:c>
      <x:c r="G1125" s="17" t="str">
        <x:v>cotton | 60% Cotton, 40% Polyester</x:v>
      </x:c>
      <x:c r="H1125" s="17" t="str">
        <x:v>For that, what matters is: cotton; 60% Cotton, 40% Polyester.</x:v>
      </x:c>
      <x:c r="I1125" s="17" t="str"/>
    </x:row>
    <x:row r="1126">
      <x:c r="A1126" t="str">
        <x:v>public_0099</x:v>
      </x:c>
      <x:c r="B1126" t="str">
        <x:v>browsing</x:v>
      </x:c>
      <x:c r="C1126" t="str">
        <x:v>medium</x:v>
      </x:c>
      <x:c r="D1126" s="17" t="str">
        <x:v>next ask before hit/override</x:v>
      </x:c>
      <x:c r="E1126" s="17" t="str">
        <x:v>(no ask_attribute)</x:v>
      </x:c>
      <x:c r="F1126" s="17" t="str">
        <x:v>agent did not ask</x:v>
      </x:c>
      <x:c r="G1126" s="17" t="str"/>
      <x:c r="H1126" s="17" t="str">
        <x:v>Those options are not quite right yet. Ask me about one specific attribute.</x:v>
      </x:c>
      <x:c r="I1126" s="17" t="str"/>
    </x:row>
    <x:row r="1127">
      <x:c r="A1127" t="str">
        <x:v>public_0100</x:v>
      </x:c>
      <x:c r="B1127" t="str">
        <x:v>browsing</x:v>
      </x:c>
      <x:c r="C1127" t="str">
        <x:v>medium</x:v>
      </x:c>
      <x:c r="D1127" s="17" t="str">
        <x:v>next ask before hit/override</x:v>
      </x:c>
      <x:c r="E1127" s="17" t="str">
        <x:v>category</x:v>
      </x:c>
      <x:c r="F1127" s="17" t="str">
        <x:v>no new constraint</x:v>
      </x:c>
      <x:c r="G1127" s="17" t="str"/>
      <x:c r="H1127" s="17" t="str">
        <x:v>I don't have an additional preference for category.</x:v>
      </x:c>
      <x:c r="I1127" s="17" t="str"/>
    </x:row>
    <x:row r="1128">
      <x:c r="A1128" t="str">
        <x:v>public_0100</x:v>
      </x:c>
      <x:c r="B1128" t="str">
        <x:v>browsing</x:v>
      </x:c>
      <x:c r="C1128" t="str">
        <x:v>medium</x:v>
      </x:c>
      <x:c r="D1128" s="17" t="str">
        <x:v>next ask before hit/override</x:v>
      </x:c>
      <x:c r="E1128" s="17" t="str">
        <x:v>material</x:v>
      </x:c>
      <x:c r="F1128" s="17" t="str">
        <x:v>constraint revealed</x:v>
      </x:c>
      <x:c r="G1128" s="17" t="str">
        <x:v>leather | 100% Leather</x:v>
      </x:c>
      <x:c r="H1128" s="17" t="str">
        <x:v>For that, what matters is: leather; 100% Leather.</x:v>
      </x:c>
      <x:c r="I1128" s="17" t="str"/>
    </x:row>
    <x:row r="1129">
      <x:c r="A1129" t="str">
        <x:v>public_0100</x:v>
      </x:c>
      <x:c r="B1129" t="str">
        <x:v>browsing</x:v>
      </x:c>
      <x:c r="C1129" t="str">
        <x:v>medium</x:v>
      </x:c>
      <x:c r="D1129" s="17" t="str">
        <x:v>next ask before hit/override</x:v>
      </x:c>
      <x:c r="E1129" s="17" t="str">
        <x:v>color</x:v>
      </x:c>
      <x:c r="F1129" s="17" t="str">
        <x:v>no new constraint</x:v>
      </x:c>
      <x:c r="G1129" s="17" t="str"/>
      <x:c r="H1129" s="17" t="str">
        <x:v>I don't have an additional preference for color.</x:v>
      </x:c>
      <x:c r="I1129" s="17" t="str"/>
    </x:row>
    <x:row r="1130">
      <x:c r="A1130" t="str">
        <x:v>public_0100</x:v>
      </x:c>
      <x:c r="B1130" t="str">
        <x:v>browsing</x:v>
      </x:c>
      <x:c r="C1130" t="str">
        <x:v>medium</x:v>
      </x:c>
      <x:c r="D1130" s="17" t="str">
        <x:v>next ask before hit/override</x:v>
      </x:c>
      <x:c r="E1130" s="17" t="str">
        <x:v>size</x:v>
      </x:c>
      <x:c r="F1130" s="17" t="str">
        <x:v>no new constraint</x:v>
      </x:c>
      <x:c r="G1130" s="17" t="str"/>
      <x:c r="H1130" s="17" t="str">
        <x:v>I don't have an additional preference for size.</x:v>
      </x:c>
      <x:c r="I1130" s="17" t="str"/>
    </x:row>
    <x:row r="1131">
      <x:c r="A1131" t="str">
        <x:v>public_0100</x:v>
      </x:c>
      <x:c r="B1131" t="str">
        <x:v>browsing</x:v>
      </x:c>
      <x:c r="C1131" t="str">
        <x:v>medium</x:v>
      </x:c>
      <x:c r="D1131" s="17" t="str">
        <x:v>next ask before hit/override</x:v>
      </x:c>
      <x:c r="E1131" s="17" t="str">
        <x:v>style</x:v>
      </x:c>
      <x:c r="F1131" s="17" t="str">
        <x:v>no new constraint</x:v>
      </x:c>
      <x:c r="G1131" s="17" t="str"/>
      <x:c r="H1131" s="17" t="str">
        <x:v>I don't have an additional preference for style.</x:v>
      </x:c>
      <x:c r="I1131" s="17" t="str"/>
    </x:row>
    <x:row r="1132">
      <x:c r="A1132" t="str">
        <x:v>public_0100</x:v>
      </x:c>
      <x:c r="B1132" t="str">
        <x:v>browsing</x:v>
      </x:c>
      <x:c r="C1132" t="str">
        <x:v>medium</x:v>
      </x:c>
      <x:c r="D1132" s="17" t="str">
        <x:v>next ask before hit/override</x:v>
      </x:c>
      <x:c r="E1132" s="17" t="str">
        <x:v>brand</x:v>
      </x:c>
      <x:c r="F1132" s="17" t="str">
        <x:v>no new constraint</x:v>
      </x:c>
      <x:c r="G1132" s="17" t="str"/>
      <x:c r="H1132" s="17" t="str">
        <x:v>I don't have an additional preference for brand.</x:v>
      </x:c>
      <x:c r="I1132" s="17" t="str"/>
    </x:row>
    <x:row r="1133">
      <x:c r="A1133" t="str">
        <x:v>public_0100</x:v>
      </x:c>
      <x:c r="B1133" t="str">
        <x:v>browsing</x:v>
      </x:c>
      <x:c r="C1133" t="str">
        <x:v>medium</x:v>
      </x:c>
      <x:c r="D1133" s="17" t="str">
        <x:v>next ask before hit/override</x:v>
      </x:c>
      <x:c r="E1133" s="17" t="str">
        <x:v>budget</x:v>
      </x:c>
      <x:c r="F1133" s="17" t="str">
        <x:v>no new constraint</x:v>
      </x:c>
      <x:c r="G1133" s="17" t="str"/>
      <x:c r="H1133" s="17" t="str">
        <x:v>I don't have an additional preference for budget.</x:v>
      </x:c>
      <x:c r="I1133" s="17" t="str"/>
    </x:row>
    <x:row r="1134">
      <x:c r="A1134" t="str">
        <x:v>public_0100</x:v>
      </x:c>
      <x:c r="B1134" t="str">
        <x:v>browsing</x:v>
      </x:c>
      <x:c r="C1134" t="str">
        <x:v>medium</x:v>
      </x:c>
      <x:c r="D1134" s="17" t="str">
        <x:v>next ask before hit/override</x:v>
      </x:c>
      <x:c r="E1134" s="17" t="str">
        <x:v>feature</x:v>
      </x:c>
      <x:c r="F1134" s="17" t="str">
        <x:v>constraint revealed</x:v>
      </x:c>
      <x:c r="G1134" s="17" t="str">
        <x:v>Manmade sole | Platform measures approximately 0.5"</x:v>
      </x:c>
      <x:c r="H1134" s="17" t="str">
        <x:v>For that, what matters is: Manmade sole; Platform measures approximately 0.5".</x:v>
      </x:c>
      <x:c r="I1134" s="17" t="str"/>
    </x:row>
    <x:row r="1135">
      <x:c r="A1135" t="str">
        <x:v>public_0100</x:v>
      </x:c>
      <x:c r="B1135" t="str">
        <x:v>browsing</x:v>
      </x:c>
      <x:c r="C1135" t="str">
        <x:v>medium</x:v>
      </x:c>
      <x:c r="D1135" s="17" t="str">
        <x:v>next ask before hit/override</x:v>
      </x:c>
      <x:c r="E1135" s="17" t="str">
        <x:v>use_case</x:v>
      </x:c>
      <x:c r="F1135" s="17" t="str">
        <x:v>no new constraint</x:v>
      </x:c>
      <x:c r="G1135" s="17" t="str"/>
      <x:c r="H1135" s="17" t="str">
        <x:v>I don't have an additional preference for use_case.</x:v>
      </x:c>
      <x:c r="I1135" s="17" t="str"/>
    </x:row>
    <x:row r="1136">
      <x:c r="A1136" t="str">
        <x:v>public_0100</x:v>
      </x:c>
      <x:c r="B1136" t="str">
        <x:v>browsing</x:v>
      </x:c>
      <x:c r="C1136" t="str">
        <x:v>medium</x:v>
      </x:c>
      <x:c r="D1136" s="17" t="str">
        <x:v>next ask before hit/override</x:v>
      </x:c>
      <x:c r="E1136" s="17" t="str">
        <x:v>other</x:v>
      </x:c>
      <x:c r="F1136" s="17" t="str">
        <x:v>constraint revealed</x:v>
      </x:c>
      <x:c r="G1136" s="17" t="str">
        <x:v>leather | 100% Leather</x:v>
      </x:c>
      <x:c r="H1136" s="17" t="str">
        <x:v>For that, what matters is: leather; 100% Leather.</x:v>
      </x:c>
      <x:c r="I1136" s="17" t="str"/>
    </x:row>
    <x:row r="1137">
      <x:c r="A1137" t="str">
        <x:v>public_0100</x:v>
      </x:c>
      <x:c r="B1137" t="str">
        <x:v>browsing</x:v>
      </x:c>
      <x:c r="C1137" t="str">
        <x:v>medium</x:v>
      </x:c>
      <x:c r="D1137" s="17" t="str">
        <x:v>next ask before hit/override</x:v>
      </x:c>
      <x:c r="E1137" s="17" t="str">
        <x:v>(no ask_attribute)</x:v>
      </x:c>
      <x:c r="F1137" s="17" t="str">
        <x:v>agent did not ask</x:v>
      </x:c>
      <x:c r="G1137" s="17" t="str"/>
      <x:c r="H1137" s="17" t="str">
        <x:v>Those options are not quite right yet. Ask me about one specific attribute.</x:v>
      </x:c>
      <x:c r="I1137" s="17" t="str"/>
    </x:row>
    <x:row r="1138">
      <x:c r="A1138" t="str">
        <x:v>public_0101</x:v>
      </x:c>
      <x:c r="B1138" t="str">
        <x:v>buying</x:v>
      </x:c>
      <x:c r="C1138" t="str">
        <x:v>easy</x:v>
      </x:c>
      <x:c r="D1138" s="17" t="str">
        <x:v>next ask before hit/override</x:v>
      </x:c>
      <x:c r="E1138" s="17" t="str">
        <x:v>category</x:v>
      </x:c>
      <x:c r="F1138" s="17" t="str">
        <x:v>no new constraint</x:v>
      </x:c>
      <x:c r="G1138" s="17" t="str"/>
      <x:c r="H1138" s="17" t="str">
        <x:v>I don't have an additional preference for category.</x:v>
      </x:c>
      <x:c r="I1138" s="17" t="str"/>
    </x:row>
    <x:row r="1139">
      <x:c r="A1139" t="str">
        <x:v>public_0101</x:v>
      </x:c>
      <x:c r="B1139" t="str">
        <x:v>buying</x:v>
      </x:c>
      <x:c r="C1139" t="str">
        <x:v>easy</x:v>
      </x:c>
      <x:c r="D1139" s="17" t="str">
        <x:v>next ask before hit/override</x:v>
      </x:c>
      <x:c r="E1139" s="17" t="str">
        <x:v>material</x:v>
      </x:c>
      <x:c r="F1139" s="17" t="str">
        <x:v>constraint revealed</x:v>
      </x:c>
      <x:c r="G1139" s="17" t="str">
        <x:v>65% Polyester, 35% Cotton</x:v>
      </x:c>
      <x:c r="H1139" s="17" t="str">
        <x:v>For that, what matters is: 65% Polyester, 35% Cotton.</x:v>
      </x:c>
      <x:c r="I1139" s="17" t="str"/>
    </x:row>
    <x:row r="1140">
      <x:c r="A1140" t="str">
        <x:v>public_0101</x:v>
      </x:c>
      <x:c r="B1140" t="str">
        <x:v>buying</x:v>
      </x:c>
      <x:c r="C1140" t="str">
        <x:v>easy</x:v>
      </x:c>
      <x:c r="D1140" s="17" t="str">
        <x:v>next ask before hit/override</x:v>
      </x:c>
      <x:c r="E1140" s="17" t="str">
        <x:v>color</x:v>
      </x:c>
      <x:c r="F1140" s="17" t="str">
        <x:v>constraint revealed</x:v>
      </x:c>
      <x:c r="G1140" s="17" t="str">
        <x:v>color: white</x:v>
      </x:c>
      <x:c r="H1140" s="17" t="str">
        <x:v>For that, what matters is: color: white.</x:v>
      </x:c>
      <x:c r="I1140" s="17" t="str"/>
    </x:row>
    <x:row r="1141">
      <x:c r="A1141" t="str">
        <x:v>public_0101</x:v>
      </x:c>
      <x:c r="B1141" t="str">
        <x:v>buying</x:v>
      </x:c>
      <x:c r="C1141" t="str">
        <x:v>easy</x:v>
      </x:c>
      <x:c r="D1141" s="17" t="str">
        <x:v>next ask before hit/override</x:v>
      </x:c>
      <x:c r="E1141" s="17" t="str">
        <x:v>size</x:v>
      </x:c>
      <x:c r="F1141" s="17" t="str">
        <x:v>no new constraint</x:v>
      </x:c>
      <x:c r="G1141" s="17" t="str"/>
      <x:c r="H1141" s="17" t="str">
        <x:v>I don't have an additional preference for size.</x:v>
      </x:c>
      <x:c r="I1141" s="17" t="str"/>
    </x:row>
    <x:row r="1142">
      <x:c r="A1142" t="str">
        <x:v>public_0101</x:v>
      </x:c>
      <x:c r="B1142" t="str">
        <x:v>buying</x:v>
      </x:c>
      <x:c r="C1142" t="str">
        <x:v>easy</x:v>
      </x:c>
      <x:c r="D1142" s="17" t="str">
        <x:v>next ask before hit/override</x:v>
      </x:c>
      <x:c r="E1142" s="17" t="str">
        <x:v>style</x:v>
      </x:c>
      <x:c r="F1142" s="17" t="str">
        <x:v>no new constraint</x:v>
      </x:c>
      <x:c r="G1142" s="17" t="str"/>
      <x:c r="H1142" s="17" t="str">
        <x:v>I don't have an additional preference for style.</x:v>
      </x:c>
      <x:c r="I1142" s="17" t="str"/>
    </x:row>
    <x:row r="1143">
      <x:c r="A1143" t="str">
        <x:v>public_0101</x:v>
      </x:c>
      <x:c r="B1143" t="str">
        <x:v>buying</x:v>
      </x:c>
      <x:c r="C1143" t="str">
        <x:v>easy</x:v>
      </x:c>
      <x:c r="D1143" s="17" t="str">
        <x:v>next ask before hit/override</x:v>
      </x:c>
      <x:c r="E1143" s="17" t="str">
        <x:v>brand</x:v>
      </x:c>
      <x:c r="F1143" s="17" t="str">
        <x:v>no new constraint</x:v>
      </x:c>
      <x:c r="G1143" s="17" t="str"/>
      <x:c r="H1143" s="17" t="str">
        <x:v>I don't have an additional preference for brand.</x:v>
      </x:c>
      <x:c r="I1143" s="17" t="str"/>
    </x:row>
    <x:row r="1144">
      <x:c r="A1144" t="str">
        <x:v>public_0101</x:v>
      </x:c>
      <x:c r="B1144" t="str">
        <x:v>buying</x:v>
      </x:c>
      <x:c r="C1144" t="str">
        <x:v>easy</x:v>
      </x:c>
      <x:c r="D1144" s="17" t="str">
        <x:v>next ask before hit/override</x:v>
      </x:c>
      <x:c r="E1144" s="17" t="str">
        <x:v>budget</x:v>
      </x:c>
      <x:c r="F1144" s="17" t="str">
        <x:v>no new constraint</x:v>
      </x:c>
      <x:c r="G1144" s="17" t="str"/>
      <x:c r="H1144" s="17" t="str">
        <x:v>I don't have an additional preference for budget.</x:v>
      </x:c>
      <x:c r="I1144" s="17" t="str"/>
    </x:row>
    <x:row r="1145">
      <x:c r="A1145" t="str">
        <x:v>public_0101</x:v>
      </x:c>
      <x:c r="B1145" t="str">
        <x:v>buying</x:v>
      </x:c>
      <x:c r="C1145" t="str">
        <x:v>easy</x:v>
      </x:c>
      <x:c r="D1145" s="17" t="str">
        <x:v>next ask before hit/override</x:v>
      </x:c>
      <x:c r="E1145" s="17" t="str">
        <x:v>feature</x:v>
      </x:c>
      <x:c r="F1145" s="17" t="str">
        <x:v>constraint revealed</x:v>
      </x:c>
      <x:c r="G1145" s="17" t="str">
        <x:v>Imported</x:v>
      </x:c>
      <x:c r="H1145" s="17" t="str">
        <x:v>For that, what matters is: Imported.</x:v>
      </x:c>
      <x:c r="I1145" s="17" t="str"/>
    </x:row>
    <x:row r="1146">
      <x:c r="A1146" t="str">
        <x:v>public_0101</x:v>
      </x:c>
      <x:c r="B1146" t="str">
        <x:v>buying</x:v>
      </x:c>
      <x:c r="C1146" t="str">
        <x:v>easy</x:v>
      </x:c>
      <x:c r="D1146" s="17" t="str">
        <x:v>next ask before hit/override</x:v>
      </x:c>
      <x:c r="E1146" s="17" t="str">
        <x:v>use_case</x:v>
      </x:c>
      <x:c r="F1146" s="17" t="str">
        <x:v>no new constraint</x:v>
      </x:c>
      <x:c r="G1146" s="17" t="str"/>
      <x:c r="H1146" s="17" t="str">
        <x:v>I don't have an additional preference for use_case.</x:v>
      </x:c>
      <x:c r="I1146" s="17" t="str"/>
    </x:row>
    <x:row r="1147">
      <x:c r="A1147" t="str">
        <x:v>public_0101</x:v>
      </x:c>
      <x:c r="B1147" t="str">
        <x:v>buying</x:v>
      </x:c>
      <x:c r="C1147" t="str">
        <x:v>easy</x:v>
      </x:c>
      <x:c r="D1147" s="17" t="str">
        <x:v>next ask before hit/override</x:v>
      </x:c>
      <x:c r="E1147" s="17" t="str">
        <x:v>other</x:v>
      </x:c>
      <x:c r="F1147" s="17" t="str">
        <x:v>constraint revealed</x:v>
      </x:c>
      <x:c r="G1147" s="17" t="str">
        <x:v>color: white | 65% Polyester, 35% Cotton</x:v>
      </x:c>
      <x:c r="H1147" s="17" t="str">
        <x:v>For that, what matters is: color: white; 65% Polyester, 35% Cotton.</x:v>
      </x:c>
      <x:c r="I1147" s="17" t="str"/>
    </x:row>
    <x:row r="1148">
      <x:c r="A1148" t="str">
        <x:v>public_0101</x:v>
      </x:c>
      <x:c r="B1148" t="str">
        <x:v>buying</x:v>
      </x:c>
      <x:c r="C1148" t="str">
        <x:v>easy</x:v>
      </x:c>
      <x:c r="D1148" s="17" t="str">
        <x:v>next ask before hit/override</x:v>
      </x:c>
      <x:c r="E1148" s="17" t="str">
        <x:v>(no ask_attribute)</x:v>
      </x:c>
      <x:c r="F1148" s="17" t="str">
        <x:v>agent did not ask</x:v>
      </x:c>
      <x:c r="G1148" s="17" t="str"/>
      <x:c r="H1148" s="17" t="str">
        <x:v>Those options are not quite right yet. Ask me about one specific attribute.</x:v>
      </x:c>
      <x:c r="I1148" s="17" t="str"/>
    </x:row>
    <x:row r="1149">
      <x:c r="A1149" t="str">
        <x:v>public_0102</x:v>
      </x:c>
      <x:c r="B1149" t="str">
        <x:v>browsing</x:v>
      </x:c>
      <x:c r="C1149" t="str">
        <x:v>medium</x:v>
      </x:c>
      <x:c r="D1149" s="17" t="str">
        <x:v>next ask before hit/override</x:v>
      </x:c>
      <x:c r="E1149" s="17" t="str">
        <x:v>category</x:v>
      </x:c>
      <x:c r="F1149" s="17" t="str">
        <x:v>no new constraint</x:v>
      </x:c>
      <x:c r="G1149" s="17" t="str"/>
      <x:c r="H1149" s="17" t="str">
        <x:v>I don't have an additional preference for category.</x:v>
      </x:c>
      <x:c r="I1149" s="17" t="str"/>
    </x:row>
    <x:row r="1150">
      <x:c r="A1150" t="str">
        <x:v>public_0102</x:v>
      </x:c>
      <x:c r="B1150" t="str">
        <x:v>browsing</x:v>
      </x:c>
      <x:c r="C1150" t="str">
        <x:v>medium</x:v>
      </x:c>
      <x:c r="D1150" s="17" t="str">
        <x:v>next ask before hit/override</x:v>
      </x:c>
      <x:c r="E1150" s="17" t="str">
        <x:v>material</x:v>
      </x:c>
      <x:c r="F1150" s="17" t="str">
        <x:v>no new constraint</x:v>
      </x:c>
      <x:c r="G1150" s="17" t="str"/>
      <x:c r="H1150" s="17" t="str">
        <x:v>I don't have an additional preference for material.</x:v>
      </x:c>
      <x:c r="I1150" s="17" t="str"/>
    </x:row>
    <x:row r="1151">
      <x:c r="A1151" t="str">
        <x:v>public_0102</x:v>
      </x:c>
      <x:c r="B1151" t="str">
        <x:v>browsing</x:v>
      </x:c>
      <x:c r="C1151" t="str">
        <x:v>medium</x:v>
      </x:c>
      <x:c r="D1151" s="17" t="str">
        <x:v>next ask before hit/override</x:v>
      </x:c>
      <x:c r="E1151" s="17" t="str">
        <x:v>color</x:v>
      </x:c>
      <x:c r="F1151" s="17" t="str">
        <x:v>no new constraint</x:v>
      </x:c>
      <x:c r="G1151" s="17" t="str"/>
      <x:c r="H1151" s="17" t="str">
        <x:v>I don't have an additional preference for color.</x:v>
      </x:c>
      <x:c r="I1151" s="17" t="str"/>
    </x:row>
    <x:row r="1152">
      <x:c r="A1152" t="str">
        <x:v>public_0102</x:v>
      </x:c>
      <x:c r="B1152" t="str">
        <x:v>browsing</x:v>
      </x:c>
      <x:c r="C1152" t="str">
        <x:v>medium</x:v>
      </x:c>
      <x:c r="D1152" s="17" t="str">
        <x:v>next ask before hit/override</x:v>
      </x:c>
      <x:c r="E1152" s="17" t="str">
        <x:v>size</x:v>
      </x:c>
      <x:c r="F1152" s="17" t="str">
        <x:v>no new constraint</x:v>
      </x:c>
      <x:c r="G1152" s="17" t="str"/>
      <x:c r="H1152" s="17" t="str">
        <x:v>I don't have an additional preference for size.</x:v>
      </x:c>
      <x:c r="I1152" s="17" t="str"/>
    </x:row>
    <x:row r="1153">
      <x:c r="A1153" t="str">
        <x:v>public_0102</x:v>
      </x:c>
      <x:c r="B1153" t="str">
        <x:v>browsing</x:v>
      </x:c>
      <x:c r="C1153" t="str">
        <x:v>medium</x:v>
      </x:c>
      <x:c r="D1153" s="17" t="str">
        <x:v>next ask before hit/override</x:v>
      </x:c>
      <x:c r="E1153" s="17" t="str">
        <x:v>style</x:v>
      </x:c>
      <x:c r="F1153" s="17" t="str">
        <x:v>no new constraint</x:v>
      </x:c>
      <x:c r="G1153" s="17" t="str"/>
      <x:c r="H1153" s="17" t="str">
        <x:v>I don't have an additional preference for style.</x:v>
      </x:c>
      <x:c r="I1153" s="17" t="str"/>
    </x:row>
    <x:row r="1154">
      <x:c r="A1154" t="str">
        <x:v>public_0102</x:v>
      </x:c>
      <x:c r="B1154" t="str">
        <x:v>browsing</x:v>
      </x:c>
      <x:c r="C1154" t="str">
        <x:v>medium</x:v>
      </x:c>
      <x:c r="D1154" s="17" t="str">
        <x:v>next ask before hit/override</x:v>
      </x:c>
      <x:c r="E1154" s="17" t="str">
        <x:v>brand</x:v>
      </x:c>
      <x:c r="F1154" s="17" t="str">
        <x:v>no new constraint</x:v>
      </x:c>
      <x:c r="G1154" s="17" t="str"/>
      <x:c r="H1154" s="17" t="str">
        <x:v>I don't have an additional preference for brand.</x:v>
      </x:c>
      <x:c r="I1154" s="17" t="str"/>
    </x:row>
    <x:row r="1155">
      <x:c r="A1155" t="str">
        <x:v>public_0102</x:v>
      </x:c>
      <x:c r="B1155" t="str">
        <x:v>browsing</x:v>
      </x:c>
      <x:c r="C1155" t="str">
        <x:v>medium</x:v>
      </x:c>
      <x:c r="D1155" s="17" t="str">
        <x:v>next ask before hit/override</x:v>
      </x:c>
      <x:c r="E1155" s="17" t="str">
        <x:v>budget</x:v>
      </x:c>
      <x:c r="F1155" s="17" t="str">
        <x:v>no new constraint</x:v>
      </x:c>
      <x:c r="G1155" s="17" t="str"/>
      <x:c r="H1155" s="17" t="str">
        <x:v>I don't have an additional preference for budget.</x:v>
      </x:c>
      <x:c r="I1155" s="17" t="str"/>
    </x:row>
    <x:row r="1156">
      <x:c r="A1156" t="str">
        <x:v>public_0102</x:v>
      </x:c>
      <x:c r="B1156" t="str">
        <x:v>browsing</x:v>
      </x:c>
      <x:c r="C1156" t="str">
        <x:v>medium</x:v>
      </x:c>
      <x:c r="D1156" s="17" t="str">
        <x:v>next ask before hit/override</x:v>
      </x:c>
      <x:c r="E1156" s="17" t="str">
        <x:v>feature</x:v>
      </x:c>
      <x:c r="F1156" s="17" t="str">
        <x:v>constraint revealed</x:v>
      </x:c>
      <x:c r="G1156" s="17" t="str">
        <x:v>Hand Wash Only | Push Up Bra, A/B/C cup 3 centimeters Thickness Pad inside. But noted that D cup is thin cup,lightly padded</x:v>
      </x:c>
      <x:c r="H1156" s="17" t="str">
        <x:v>For that, what matters is: Hand Wash Only; Push Up Bra, A/B/C cup 3 centimeters Thickness Pad inside. But noted that D cup is thin cup,lightly padded.</x:v>
      </x:c>
      <x:c r="I1156" s="17" t="str"/>
    </x:row>
    <x:row r="1157">
      <x:c r="A1157" t="str">
        <x:v>public_0102</x:v>
      </x:c>
      <x:c r="B1157" t="str">
        <x:v>browsing</x:v>
      </x:c>
      <x:c r="C1157" t="str">
        <x:v>medium</x:v>
      </x:c>
      <x:c r="D1157" s="17" t="str">
        <x:v>next ask before hit/override</x:v>
      </x:c>
      <x:c r="E1157" s="17" t="str">
        <x:v>use_case</x:v>
      </x:c>
      <x:c r="F1157" s="17" t="str">
        <x:v>no new constraint</x:v>
      </x:c>
      <x:c r="G1157" s="17" t="str"/>
      <x:c r="H1157" s="17" t="str">
        <x:v>I don't have an additional preference for use_case.</x:v>
      </x:c>
      <x:c r="I1157" s="17" t="str"/>
    </x:row>
    <x:row r="1158">
      <x:c r="A1158" t="str">
        <x:v>public_0102</x:v>
      </x:c>
      <x:c r="B1158" t="str">
        <x:v>browsing</x:v>
      </x:c>
      <x:c r="C1158" t="str">
        <x:v>medium</x:v>
      </x:c>
      <x:c r="D1158" s="17" t="str">
        <x:v>next ask before hit/override</x:v>
      </x:c>
      <x:c r="E1158" s="17" t="str">
        <x:v>other</x:v>
      </x:c>
      <x:c r="F1158" s="17" t="str">
        <x:v>constraint revealed</x:v>
      </x:c>
      <x:c r="G1158" s="17" t="str">
        <x:v>Hand Wash Only | Push Up Bra, A/B/C cup 3 centimeters Thickness Pad inside. But noted that D cup is thin cup,lightly padded</x:v>
      </x:c>
      <x:c r="H1158" s="17" t="str">
        <x:v>For that, what matters is: Hand Wash Only; Push Up Bra, A/B/C cup 3 centimeters Thickness Pad inside. But noted that D cup is thin cup,lightly padded.</x:v>
      </x:c>
      <x:c r="I1158" s="17" t="str"/>
    </x:row>
    <x:row r="1159">
      <x:c r="A1159" t="str">
        <x:v>public_0102</x:v>
      </x:c>
      <x:c r="B1159" t="str">
        <x:v>browsing</x:v>
      </x:c>
      <x:c r="C1159" t="str">
        <x:v>medium</x:v>
      </x:c>
      <x:c r="D1159" s="17" t="str">
        <x:v>next ask before hit/override</x:v>
      </x:c>
      <x:c r="E1159" s="17" t="str">
        <x:v>(no ask_attribute)</x:v>
      </x:c>
      <x:c r="F1159" s="17" t="str">
        <x:v>agent did not ask</x:v>
      </x:c>
      <x:c r="G1159" s="17" t="str"/>
      <x:c r="H1159" s="17" t="str">
        <x:v>Those options are not quite right yet. Ask me about one specific attribute.</x:v>
      </x:c>
      <x:c r="I1159" s="17" t="str"/>
    </x:row>
    <x:row r="1160">
      <x:c r="A1160" t="str">
        <x:v>public_0103</x:v>
      </x:c>
      <x:c r="B1160" t="str">
        <x:v>intent_override</x:v>
      </x:c>
      <x:c r="C1160" t="str">
        <x:v>hard</x:v>
      </x:c>
      <x:c r="D1160" s="17" t="str">
        <x:v>next ask before hit/override</x:v>
      </x:c>
      <x:c r="E1160" s="17" t="str">
        <x:v>category</x:v>
      </x:c>
      <x:c r="F1160" s="17" t="str">
        <x:v>no new constraint</x:v>
      </x:c>
      <x:c r="G1160" s="17" t="str"/>
      <x:c r="H1160" s="17" t="str">
        <x:v>I don't have an additional preference for category.</x:v>
      </x:c>
      <x:c r="I1160" s="17" t="str">
        <x:v>Override message occurs automatically on turn 3 or 4 before this reply when scheduled.</x:v>
      </x:c>
    </x:row>
    <x:row r="1161">
      <x:c r="A1161" t="str">
        <x:v>public_0103</x:v>
      </x:c>
      <x:c r="B1161" t="str">
        <x:v>intent_override</x:v>
      </x:c>
      <x:c r="C1161" t="str">
        <x:v>hard</x:v>
      </x:c>
      <x:c r="D1161" s="17" t="str">
        <x:v>next ask before hit/override</x:v>
      </x:c>
      <x:c r="E1161" s="17" t="str">
        <x:v>material</x:v>
      </x:c>
      <x:c r="F1161" s="17" t="str">
        <x:v>constraint revealed</x:v>
      </x:c>
      <x:c r="G1161" s="17" t="str">
        <x:v>cotton | 100% Cotton</x:v>
      </x:c>
      <x:c r="H1161" s="17" t="str">
        <x:v>For that, what matters is: cotton; 100% Cotton.</x:v>
      </x:c>
      <x:c r="I1161" s="17" t="str">
        <x:v>Override message occurs automatically on turn 3 or 4 before this reply when scheduled.</x:v>
      </x:c>
    </x:row>
    <x:row r="1162">
      <x:c r="A1162" t="str">
        <x:v>public_0103</x:v>
      </x:c>
      <x:c r="B1162" t="str">
        <x:v>intent_override</x:v>
      </x:c>
      <x:c r="C1162" t="str">
        <x:v>hard</x:v>
      </x:c>
      <x:c r="D1162" s="17" t="str">
        <x:v>next ask before hit/override</x:v>
      </x:c>
      <x:c r="E1162" s="17" t="str">
        <x:v>color</x:v>
      </x:c>
      <x:c r="F1162" s="17" t="str">
        <x:v>constraint revealed</x:v>
      </x:c>
      <x:c r="G1162" s="17" t="str">
        <x:v>color: white</x:v>
      </x:c>
      <x:c r="H1162" s="17" t="str">
        <x:v>For that, what matters is: color: white.</x:v>
      </x:c>
      <x:c r="I1162" s="17" t="str">
        <x:v>Override message occurs automatically on turn 3 or 4 before this reply when scheduled.</x:v>
      </x:c>
    </x:row>
    <x:row r="1163">
      <x:c r="A1163" t="str">
        <x:v>public_0103</x:v>
      </x:c>
      <x:c r="B1163" t="str">
        <x:v>intent_override</x:v>
      </x:c>
      <x:c r="C1163" t="str">
        <x:v>hard</x:v>
      </x:c>
      <x:c r="D1163" s="17" t="str">
        <x:v>next ask before hit/override</x:v>
      </x:c>
      <x:c r="E1163" s="17" t="str">
        <x:v>size</x:v>
      </x:c>
      <x:c r="F1163" s="17" t="str">
        <x:v>no new constraint</x:v>
      </x:c>
      <x:c r="G1163" s="17" t="str"/>
      <x:c r="H1163" s="17" t="str">
        <x:v>I don't have an additional preference for size.</x:v>
      </x:c>
      <x:c r="I1163" s="17" t="str">
        <x:v>Override message occurs automatically on turn 3 or 4 before this reply when scheduled.</x:v>
      </x:c>
    </x:row>
    <x:row r="1164">
      <x:c r="A1164" t="str">
        <x:v>public_0103</x:v>
      </x:c>
      <x:c r="B1164" t="str">
        <x:v>intent_override</x:v>
      </x:c>
      <x:c r="C1164" t="str">
        <x:v>hard</x:v>
      </x:c>
      <x:c r="D1164" s="17" t="str">
        <x:v>next ask before hit/override</x:v>
      </x:c>
      <x:c r="E1164" s="17" t="str">
        <x:v>style</x:v>
      </x:c>
      <x:c r="F1164" s="17" t="str">
        <x:v>no new constraint</x:v>
      </x:c>
      <x:c r="G1164" s="17" t="str"/>
      <x:c r="H1164" s="17" t="str">
        <x:v>I don't have an additional preference for style.</x:v>
      </x:c>
      <x:c r="I1164" s="17" t="str">
        <x:v>Override message occurs automatically on turn 3 or 4 before this reply when scheduled.</x:v>
      </x:c>
    </x:row>
    <x:row r="1165">
      <x:c r="A1165" t="str">
        <x:v>public_0103</x:v>
      </x:c>
      <x:c r="B1165" t="str">
        <x:v>intent_override</x:v>
      </x:c>
      <x:c r="C1165" t="str">
        <x:v>hard</x:v>
      </x:c>
      <x:c r="D1165" s="17" t="str">
        <x:v>next ask before hit/override</x:v>
      </x:c>
      <x:c r="E1165" s="17" t="str">
        <x:v>brand</x:v>
      </x:c>
      <x:c r="F1165" s="17" t="str">
        <x:v>no new constraint</x:v>
      </x:c>
      <x:c r="G1165" s="17" t="str"/>
      <x:c r="H1165" s="17" t="str">
        <x:v>I don't have an additional preference for brand.</x:v>
      </x:c>
      <x:c r="I1165" s="17" t="str">
        <x:v>Override message occurs automatically on turn 3 or 4 before this reply when scheduled.</x:v>
      </x:c>
    </x:row>
    <x:row r="1166">
      <x:c r="A1166" t="str">
        <x:v>public_0103</x:v>
      </x:c>
      <x:c r="B1166" t="str">
        <x:v>intent_override</x:v>
      </x:c>
      <x:c r="C1166" t="str">
        <x:v>hard</x:v>
      </x:c>
      <x:c r="D1166" s="17" t="str">
        <x:v>next ask before hit/override</x:v>
      </x:c>
      <x:c r="E1166" s="17" t="str">
        <x:v>budget</x:v>
      </x:c>
      <x:c r="F1166" s="17" t="str">
        <x:v>no new constraint</x:v>
      </x:c>
      <x:c r="G1166" s="17" t="str"/>
      <x:c r="H1166" s="17" t="str">
        <x:v>I don't have an additional preference for budget.</x:v>
      </x:c>
      <x:c r="I1166" s="17" t="str">
        <x:v>Override message occurs automatically on turn 3 or 4 before this reply when scheduled.</x:v>
      </x:c>
    </x:row>
    <x:row r="1167">
      <x:c r="A1167" t="str">
        <x:v>public_0103</x:v>
      </x:c>
      <x:c r="B1167" t="str">
        <x:v>intent_override</x:v>
      </x:c>
      <x:c r="C1167" t="str">
        <x:v>hard</x:v>
      </x:c>
      <x:c r="D1167" s="17" t="str">
        <x:v>next ask before hit/override</x:v>
      </x:c>
      <x:c r="E1167" s="17" t="str">
        <x:v>feature</x:v>
      </x:c>
      <x:c r="F1167" s="17" t="str">
        <x:v>constraint revealed</x:v>
      </x:c>
      <x:c r="G1167" s="17" t="str">
        <x:v>Imported</x:v>
      </x:c>
      <x:c r="H1167" s="17" t="str">
        <x:v>For that, what matters is: Imported.</x:v>
      </x:c>
      <x:c r="I1167" s="17" t="str">
        <x:v>Override message occurs automatically on turn 3 or 4 before this reply when scheduled.</x:v>
      </x:c>
    </x:row>
    <x:row r="1168">
      <x:c r="A1168" t="str">
        <x:v>public_0103</x:v>
      </x:c>
      <x:c r="B1168" t="str">
        <x:v>intent_override</x:v>
      </x:c>
      <x:c r="C1168" t="str">
        <x:v>hard</x:v>
      </x:c>
      <x:c r="D1168" s="17" t="str">
        <x:v>next ask before hit/override</x:v>
      </x:c>
      <x:c r="E1168" s="17" t="str">
        <x:v>use_case</x:v>
      </x:c>
      <x:c r="F1168" s="17" t="str">
        <x:v>no new constraint</x:v>
      </x:c>
      <x:c r="G1168" s="17" t="str"/>
      <x:c r="H1168" s="17" t="str">
        <x:v>I don't have an additional preference for use_case.</x:v>
      </x:c>
      <x:c r="I1168" s="17" t="str">
        <x:v>Override message occurs automatically on turn 3 or 4 before this reply when scheduled.</x:v>
      </x:c>
    </x:row>
    <x:row r="1169">
      <x:c r="A1169" t="str">
        <x:v>public_0103</x:v>
      </x:c>
      <x:c r="B1169" t="str">
        <x:v>intent_override</x:v>
      </x:c>
      <x:c r="C1169" t="str">
        <x:v>hard</x:v>
      </x:c>
      <x:c r="D1169" s="17" t="str">
        <x:v>next ask before hit/override</x:v>
      </x:c>
      <x:c r="E1169" s="17" t="str">
        <x:v>other</x:v>
      </x:c>
      <x:c r="F1169" s="17" t="str">
        <x:v>constraint revealed</x:v>
      </x:c>
      <x:c r="G1169" s="17" t="str">
        <x:v>cotton | color: white</x:v>
      </x:c>
      <x:c r="H1169" s="17" t="str">
        <x:v>For that, what matters is: cotton; color: white.</x:v>
      </x:c>
      <x:c r="I1169" s="17" t="str">
        <x:v>Override message occurs automatically on turn 3 or 4 before this reply when scheduled.</x:v>
      </x:c>
    </x:row>
    <x:row r="1170">
      <x:c r="A1170" t="str">
        <x:v>public_0103</x:v>
      </x:c>
      <x:c r="B1170" t="str">
        <x:v>intent_override</x:v>
      </x:c>
      <x:c r="C1170" t="str">
        <x:v>hard</x:v>
      </x:c>
      <x:c r="D1170" s="17" t="str">
        <x:v>next ask before hit/override</x:v>
      </x:c>
      <x:c r="E1170" s="17" t="str">
        <x:v>(no ask_attribute)</x:v>
      </x:c>
      <x:c r="F1170" s="17" t="str">
        <x:v>agent did not ask</x:v>
      </x:c>
      <x:c r="G1170" s="17" t="str"/>
      <x:c r="H1170" s="17" t="str">
        <x:v>Those options are not quite right yet. Ask me about one specific attribute.</x:v>
      </x:c>
      <x:c r="I1170" s="17" t="str">
        <x:v>Override message occurs automatically on turn 3 or 4 before this reply when scheduled.</x:v>
      </x:c>
    </x:row>
    <x:row r="1171">
      <x:c r="A1171" t="str">
        <x:v>public_0104</x:v>
      </x:c>
      <x:c r="B1171" t="str">
        <x:v>boundary</x:v>
      </x:c>
      <x:c r="C1171" t="str">
        <x:v>medium</x:v>
      </x:c>
      <x:c r="D1171" s="17" t="str">
        <x:v>first ask (boundary unused)</x:v>
      </x:c>
      <x:c r="E1171" s="17" t="str">
        <x:v>category</x:v>
      </x:c>
      <x:c r="F1171" s="17" t="str">
        <x:v>boundary no-preference</x:v>
      </x:c>
      <x:c r="G1171" s="17" t="str"/>
      <x:c r="H1171" s="17" t="str">
        <x:v>I don't have a preference for category; please use your judgment.</x:v>
      </x:c>
      <x:c r="I1171" s="17" t="str"/>
    </x:row>
    <x:row r="1172">
      <x:c r="A1172" t="str">
        <x:v>public_0104</x:v>
      </x:c>
      <x:c r="B1172" t="str">
        <x:v>boundary</x:v>
      </x:c>
      <x:c r="C1172" t="str">
        <x:v>medium</x:v>
      </x:c>
      <x:c r="D1172" s="17" t="str">
        <x:v>first ask (boundary unused)</x:v>
      </x:c>
      <x:c r="E1172" s="17" t="str">
        <x:v>material</x:v>
      </x:c>
      <x:c r="F1172" s="17" t="str">
        <x:v>boundary no-preference</x:v>
      </x:c>
      <x:c r="G1172" s="17" t="str"/>
      <x:c r="H1172" s="17" t="str">
        <x:v>I don't have a preference for material; please use your judgment.</x:v>
      </x:c>
      <x:c r="I1172" s="17" t="str"/>
    </x:row>
    <x:row r="1173">
      <x:c r="A1173" t="str">
        <x:v>public_0104</x:v>
      </x:c>
      <x:c r="B1173" t="str">
        <x:v>boundary</x:v>
      </x:c>
      <x:c r="C1173" t="str">
        <x:v>medium</x:v>
      </x:c>
      <x:c r="D1173" s="17" t="str">
        <x:v>first ask (boundary unused)</x:v>
      </x:c>
      <x:c r="E1173" s="17" t="str">
        <x:v>color</x:v>
      </x:c>
      <x:c r="F1173" s="17" t="str">
        <x:v>boundary no-preference</x:v>
      </x:c>
      <x:c r="G1173" s="17" t="str"/>
      <x:c r="H1173" s="17" t="str">
        <x:v>I don't have a preference for color; please use your judgment.</x:v>
      </x:c>
      <x:c r="I1173" s="17" t="str"/>
    </x:row>
    <x:row r="1174">
      <x:c r="A1174" t="str">
        <x:v>public_0104</x:v>
      </x:c>
      <x:c r="B1174" t="str">
        <x:v>boundary</x:v>
      </x:c>
      <x:c r="C1174" t="str">
        <x:v>medium</x:v>
      </x:c>
      <x:c r="D1174" s="17" t="str">
        <x:v>first ask (boundary unused)</x:v>
      </x:c>
      <x:c r="E1174" s="17" t="str">
        <x:v>size</x:v>
      </x:c>
      <x:c r="F1174" s="17" t="str">
        <x:v>boundary no-preference</x:v>
      </x:c>
      <x:c r="G1174" s="17" t="str"/>
      <x:c r="H1174" s="17" t="str">
        <x:v>I don't have a preference for size; please use your judgment.</x:v>
      </x:c>
      <x:c r="I1174" s="17" t="str"/>
    </x:row>
    <x:row r="1175">
      <x:c r="A1175" t="str">
        <x:v>public_0104</x:v>
      </x:c>
      <x:c r="B1175" t="str">
        <x:v>boundary</x:v>
      </x:c>
      <x:c r="C1175" t="str">
        <x:v>medium</x:v>
      </x:c>
      <x:c r="D1175" s="17" t="str">
        <x:v>first ask (boundary unused)</x:v>
      </x:c>
      <x:c r="E1175" s="17" t="str">
        <x:v>style</x:v>
      </x:c>
      <x:c r="F1175" s="17" t="str">
        <x:v>boundary no-preference</x:v>
      </x:c>
      <x:c r="G1175" s="17" t="str"/>
      <x:c r="H1175" s="17" t="str">
        <x:v>I don't have a preference for style; please use your judgment.</x:v>
      </x:c>
      <x:c r="I1175" s="17" t="str"/>
    </x:row>
    <x:row r="1176">
      <x:c r="A1176" t="str">
        <x:v>public_0104</x:v>
      </x:c>
      <x:c r="B1176" t="str">
        <x:v>boundary</x:v>
      </x:c>
      <x:c r="C1176" t="str">
        <x:v>medium</x:v>
      </x:c>
      <x:c r="D1176" s="17" t="str">
        <x:v>first ask (boundary unused)</x:v>
      </x:c>
      <x:c r="E1176" s="17" t="str">
        <x:v>brand</x:v>
      </x:c>
      <x:c r="F1176" s="17" t="str">
        <x:v>boundary no-preference</x:v>
      </x:c>
      <x:c r="G1176" s="17" t="str"/>
      <x:c r="H1176" s="17" t="str">
        <x:v>I don't have a preference for brand; please use your judgment.</x:v>
      </x:c>
      <x:c r="I1176" s="17" t="str"/>
    </x:row>
    <x:row r="1177">
      <x:c r="A1177" t="str">
        <x:v>public_0104</x:v>
      </x:c>
      <x:c r="B1177" t="str">
        <x:v>boundary</x:v>
      </x:c>
      <x:c r="C1177" t="str">
        <x:v>medium</x:v>
      </x:c>
      <x:c r="D1177" s="17" t="str">
        <x:v>first ask (boundary unused)</x:v>
      </x:c>
      <x:c r="E1177" s="17" t="str">
        <x:v>budget</x:v>
      </x:c>
      <x:c r="F1177" s="17" t="str">
        <x:v>boundary no-preference</x:v>
      </x:c>
      <x:c r="G1177" s="17" t="str"/>
      <x:c r="H1177" s="17" t="str">
        <x:v>I don't have a preference for budget; please use your judgment.</x:v>
      </x:c>
      <x:c r="I1177" s="17" t="str"/>
    </x:row>
    <x:row r="1178">
      <x:c r="A1178" t="str">
        <x:v>public_0104</x:v>
      </x:c>
      <x:c r="B1178" t="str">
        <x:v>boundary</x:v>
      </x:c>
      <x:c r="C1178" t="str">
        <x:v>medium</x:v>
      </x:c>
      <x:c r="D1178" s="17" t="str">
        <x:v>first ask (boundary unused)</x:v>
      </x:c>
      <x:c r="E1178" s="17" t="str">
        <x:v>feature</x:v>
      </x:c>
      <x:c r="F1178" s="17" t="str">
        <x:v>boundary no-preference</x:v>
      </x:c>
      <x:c r="G1178" s="17" t="str"/>
      <x:c r="H1178" s="17" t="str">
        <x:v>I don't have a preference for feature; please use your judgment.</x:v>
      </x:c>
      <x:c r="I1178" s="17" t="str"/>
    </x:row>
    <x:row r="1179">
      <x:c r="A1179" t="str">
        <x:v>public_0104</x:v>
      </x:c>
      <x:c r="B1179" t="str">
        <x:v>boundary</x:v>
      </x:c>
      <x:c r="C1179" t="str">
        <x:v>medium</x:v>
      </x:c>
      <x:c r="D1179" s="17" t="str">
        <x:v>first ask (boundary unused)</x:v>
      </x:c>
      <x:c r="E1179" s="17" t="str">
        <x:v>use_case</x:v>
      </x:c>
      <x:c r="F1179" s="17" t="str">
        <x:v>boundary no-preference</x:v>
      </x:c>
      <x:c r="G1179" s="17" t="str"/>
      <x:c r="H1179" s="17" t="str">
        <x:v>I don't have a preference for use_case; please use your judgment.</x:v>
      </x:c>
      <x:c r="I1179" s="17" t="str"/>
    </x:row>
    <x:row r="1180">
      <x:c r="A1180" t="str">
        <x:v>public_0104</x:v>
      </x:c>
      <x:c r="B1180" t="str">
        <x:v>boundary</x:v>
      </x:c>
      <x:c r="C1180" t="str">
        <x:v>medium</x:v>
      </x:c>
      <x:c r="D1180" s="17" t="str">
        <x:v>first ask (boundary unused)</x:v>
      </x:c>
      <x:c r="E1180" s="17" t="str">
        <x:v>other</x:v>
      </x:c>
      <x:c r="F1180" s="17" t="str">
        <x:v>boundary no-preference</x:v>
      </x:c>
      <x:c r="G1180" s="17" t="str"/>
      <x:c r="H1180" s="17" t="str">
        <x:v>I don't have a preference for other; please use your judgment.</x:v>
      </x:c>
      <x:c r="I1180" s="17" t="str"/>
    </x:row>
    <x:row r="1181">
      <x:c r="A1181" t="str">
        <x:v>public_0104</x:v>
      </x:c>
      <x:c r="B1181" t="str">
        <x:v>boundary</x:v>
      </x:c>
      <x:c r="C1181" t="str">
        <x:v>medium</x:v>
      </x:c>
      <x:c r="D1181" s="17" t="str">
        <x:v>first ask (boundary unused)</x:v>
      </x:c>
      <x:c r="E1181" s="17" t="str">
        <x:v>(no ask_attribute)</x:v>
      </x:c>
      <x:c r="F1181" s="17" t="str">
        <x:v>agent did not ask</x:v>
      </x:c>
      <x:c r="G1181" s="17" t="str"/>
      <x:c r="H1181" s="17" t="str">
        <x:v>Those options are not quite right yet. Ask me about one specific attribute.</x:v>
      </x:c>
      <x:c r="I1181" s="17" t="str"/>
    </x:row>
    <x:row r="1182">
      <x:c r="A1182" t="str">
        <x:v>public_0104</x:v>
      </x:c>
      <x:c r="B1182" t="str">
        <x:v>boundary</x:v>
      </x:c>
      <x:c r="C1182" t="str">
        <x:v>medium</x:v>
      </x:c>
      <x:c r="D1182" s="17" t="str">
        <x:v>after no-preference used</x:v>
      </x:c>
      <x:c r="E1182" s="17" t="str">
        <x:v>category</x:v>
      </x:c>
      <x:c r="F1182" s="17" t="str">
        <x:v>no new constraint</x:v>
      </x:c>
      <x:c r="G1182" s="17" t="str"/>
      <x:c r="H1182" s="17" t="str">
        <x:v>I don't have an additional preference for category.</x:v>
      </x:c>
      <x:c r="I1182" s="17" t="str"/>
    </x:row>
    <x:row r="1183">
      <x:c r="A1183" t="str">
        <x:v>public_0104</x:v>
      </x:c>
      <x:c r="B1183" t="str">
        <x:v>boundary</x:v>
      </x:c>
      <x:c r="C1183" t="str">
        <x:v>medium</x:v>
      </x:c>
      <x:c r="D1183" s="17" t="str">
        <x:v>after no-preference used</x:v>
      </x:c>
      <x:c r="E1183" s="17" t="str">
        <x:v>material</x:v>
      </x:c>
      <x:c r="F1183" s="17" t="str">
        <x:v>constraint revealed</x:v>
      </x:c>
      <x:c r="G1183" s="17" t="str">
        <x:v>leather | Classy Leather-like Fabric</x:v>
      </x:c>
      <x:c r="H1183" s="17" t="str">
        <x:v>For that, what matters is: leather; Classy Leather-like Fabric.</x:v>
      </x:c>
      <x:c r="I1183" s="17" t="str"/>
    </x:row>
    <x:row r="1184">
      <x:c r="A1184" t="str">
        <x:v>public_0104</x:v>
      </x:c>
      <x:c r="B1184" t="str">
        <x:v>boundary</x:v>
      </x:c>
      <x:c r="C1184" t="str">
        <x:v>medium</x:v>
      </x:c>
      <x:c r="D1184" s="17" t="str">
        <x:v>after no-preference used</x:v>
      </x:c>
      <x:c r="E1184" s="17" t="str">
        <x:v>color</x:v>
      </x:c>
      <x:c r="F1184" s="17" t="str">
        <x:v>constraint revealed</x:v>
      </x:c>
      <x:c r="G1184" s="17" t="str">
        <x:v>color: black</x:v>
      </x:c>
      <x:c r="H1184" s="17" t="str">
        <x:v>For that, what matters is: color: black.</x:v>
      </x:c>
      <x:c r="I1184" s="17" t="str"/>
    </x:row>
    <x:row r="1185">
      <x:c r="A1185" t="str">
        <x:v>public_0104</x:v>
      </x:c>
      <x:c r="B1185" t="str">
        <x:v>boundary</x:v>
      </x:c>
      <x:c r="C1185" t="str">
        <x:v>medium</x:v>
      </x:c>
      <x:c r="D1185" s="17" t="str">
        <x:v>after no-preference used</x:v>
      </x:c>
      <x:c r="E1185" s="17" t="str">
        <x:v>size</x:v>
      </x:c>
      <x:c r="F1185" s="17" t="str">
        <x:v>no new constraint</x:v>
      </x:c>
      <x:c r="G1185" s="17" t="str"/>
      <x:c r="H1185" s="17" t="str">
        <x:v>I don't have an additional preference for size.</x:v>
      </x:c>
      <x:c r="I1185" s="17" t="str"/>
    </x:row>
    <x:row r="1186">
      <x:c r="A1186" t="str">
        <x:v>public_0104</x:v>
      </x:c>
      <x:c r="B1186" t="str">
        <x:v>boundary</x:v>
      </x:c>
      <x:c r="C1186" t="str">
        <x:v>medium</x:v>
      </x:c>
      <x:c r="D1186" s="17" t="str">
        <x:v>after no-preference used</x:v>
      </x:c>
      <x:c r="E1186" s="17" t="str">
        <x:v>style</x:v>
      </x:c>
      <x:c r="F1186" s="17" t="str">
        <x:v>no new constraint</x:v>
      </x:c>
      <x:c r="G1186" s="17" t="str"/>
      <x:c r="H1186" s="17" t="str">
        <x:v>I don't have an additional preference for style.</x:v>
      </x:c>
      <x:c r="I1186" s="17" t="str"/>
    </x:row>
    <x:row r="1187">
      <x:c r="A1187" t="str">
        <x:v>public_0104</x:v>
      </x:c>
      <x:c r="B1187" t="str">
        <x:v>boundary</x:v>
      </x:c>
      <x:c r="C1187" t="str">
        <x:v>medium</x:v>
      </x:c>
      <x:c r="D1187" s="17" t="str">
        <x:v>after no-preference used</x:v>
      </x:c>
      <x:c r="E1187" s="17" t="str">
        <x:v>brand</x:v>
      </x:c>
      <x:c r="F1187" s="17" t="str">
        <x:v>no new constraint</x:v>
      </x:c>
      <x:c r="G1187" s="17" t="str"/>
      <x:c r="H1187" s="17" t="str">
        <x:v>I don't have an additional preference for brand.</x:v>
      </x:c>
      <x:c r="I1187" s="17" t="str"/>
    </x:row>
    <x:row r="1188">
      <x:c r="A1188" t="str">
        <x:v>public_0104</x:v>
      </x:c>
      <x:c r="B1188" t="str">
        <x:v>boundary</x:v>
      </x:c>
      <x:c r="C1188" t="str">
        <x:v>medium</x:v>
      </x:c>
      <x:c r="D1188" s="17" t="str">
        <x:v>after no-preference used</x:v>
      </x:c>
      <x:c r="E1188" s="17" t="str">
        <x:v>budget</x:v>
      </x:c>
      <x:c r="F1188" s="17" t="str">
        <x:v>no new constraint</x:v>
      </x:c>
      <x:c r="G1188" s="17" t="str"/>
      <x:c r="H1188" s="17" t="str">
        <x:v>I don't have an additional preference for budget.</x:v>
      </x:c>
      <x:c r="I1188" s="17" t="str"/>
    </x:row>
    <x:row r="1189">
      <x:c r="A1189" t="str">
        <x:v>public_0104</x:v>
      </x:c>
      <x:c r="B1189" t="str">
        <x:v>boundary</x:v>
      </x:c>
      <x:c r="C1189" t="str">
        <x:v>medium</x:v>
      </x:c>
      <x:c r="D1189" s="17" t="str">
        <x:v>after no-preference used</x:v>
      </x:c>
      <x:c r="E1189" s="17" t="str">
        <x:v>feature</x:v>
      </x:c>
      <x:c r="F1189" s="17" t="str">
        <x:v>constraint revealed</x:v>
      </x:c>
      <x:c r="G1189" s="17" t="str">
        <x:v>Durable Headband</x:v>
      </x:c>
      <x:c r="H1189" s="17" t="str">
        <x:v>For that, what matters is: Durable Headband.</x:v>
      </x:c>
      <x:c r="I1189" s="17" t="str"/>
    </x:row>
    <x:row r="1190">
      <x:c r="A1190" t="str">
        <x:v>public_0104</x:v>
      </x:c>
      <x:c r="B1190" t="str">
        <x:v>boundary</x:v>
      </x:c>
      <x:c r="C1190" t="str">
        <x:v>medium</x:v>
      </x:c>
      <x:c r="D1190" s="17" t="str">
        <x:v>after no-preference used</x:v>
      </x:c>
      <x:c r="E1190" s="17" t="str">
        <x:v>use_case</x:v>
      </x:c>
      <x:c r="F1190" s="17" t="str">
        <x:v>no new constraint</x:v>
      </x:c>
      <x:c r="G1190" s="17" t="str"/>
      <x:c r="H1190" s="17" t="str">
        <x:v>I don't have an additional preference for use_case.</x:v>
      </x:c>
      <x:c r="I1190" s="17" t="str"/>
    </x:row>
    <x:row r="1191">
      <x:c r="A1191" t="str">
        <x:v>public_0104</x:v>
      </x:c>
      <x:c r="B1191" t="str">
        <x:v>boundary</x:v>
      </x:c>
      <x:c r="C1191" t="str">
        <x:v>medium</x:v>
      </x:c>
      <x:c r="D1191" s="17" t="str">
        <x:v>after no-preference used</x:v>
      </x:c>
      <x:c r="E1191" s="17" t="str">
        <x:v>other</x:v>
      </x:c>
      <x:c r="F1191" s="17" t="str">
        <x:v>constraint revealed</x:v>
      </x:c>
      <x:c r="G1191" s="17" t="str">
        <x:v>leather | color: black</x:v>
      </x:c>
      <x:c r="H1191" s="17" t="str">
        <x:v>For that, what matters is: leather; color: black.</x:v>
      </x:c>
      <x:c r="I1191" s="17" t="str"/>
    </x:row>
    <x:row r="1192">
      <x:c r="A1192" t="str">
        <x:v>public_0104</x:v>
      </x:c>
      <x:c r="B1192" t="str">
        <x:v>boundary</x:v>
      </x:c>
      <x:c r="C1192" t="str">
        <x:v>medium</x:v>
      </x:c>
      <x:c r="D1192" s="17" t="str">
        <x:v>after no-preference used</x:v>
      </x:c>
      <x:c r="E1192" s="17" t="str">
        <x:v>(no ask_attribute)</x:v>
      </x:c>
      <x:c r="F1192" s="17" t="str">
        <x:v>agent did not ask</x:v>
      </x:c>
      <x:c r="G1192" s="17" t="str"/>
      <x:c r="H1192" s="17" t="str">
        <x:v>Those options are not quite right yet. Ask me about one specific attribute.</x:v>
      </x:c>
      <x:c r="I1192" s="17" t="str"/>
    </x:row>
    <x:row r="1193">
      <x:c r="A1193" t="str">
        <x:v>public_0105</x:v>
      </x:c>
      <x:c r="B1193" t="str">
        <x:v>browsing</x:v>
      </x:c>
      <x:c r="C1193" t="str">
        <x:v>medium</x:v>
      </x:c>
      <x:c r="D1193" s="17" t="str">
        <x:v>next ask before hit/override</x:v>
      </x:c>
      <x:c r="E1193" s="17" t="str">
        <x:v>category</x:v>
      </x:c>
      <x:c r="F1193" s="17" t="str">
        <x:v>no new constraint</x:v>
      </x:c>
      <x:c r="G1193" s="17" t="str"/>
      <x:c r="H1193" s="17" t="str">
        <x:v>I don't have an additional preference for category.</x:v>
      </x:c>
      <x:c r="I1193" s="17" t="str"/>
    </x:row>
    <x:row r="1194">
      <x:c r="A1194" t="str">
        <x:v>public_0105</x:v>
      </x:c>
      <x:c r="B1194" t="str">
        <x:v>browsing</x:v>
      </x:c>
      <x:c r="C1194" t="str">
        <x:v>medium</x:v>
      </x:c>
      <x:c r="D1194" s="17" t="str">
        <x:v>next ask before hit/override</x:v>
      </x:c>
      <x:c r="E1194" s="17" t="str">
        <x:v>material</x:v>
      </x:c>
      <x:c r="F1194" s="17" t="str">
        <x:v>constraint revealed</x:v>
      </x:c>
      <x:c r="G1194" s="17" t="str">
        <x:v>polyester | 77% Polyester, 23% Spandex</x:v>
      </x:c>
      <x:c r="H1194" s="17" t="str">
        <x:v>For that, what matters is: polyester; 77% Polyester, 23% Spandex.</x:v>
      </x:c>
      <x:c r="I1194" s="17" t="str"/>
    </x:row>
    <x:row r="1195">
      <x:c r="A1195" t="str">
        <x:v>public_0105</x:v>
      </x:c>
      <x:c r="B1195" t="str">
        <x:v>browsing</x:v>
      </x:c>
      <x:c r="C1195" t="str">
        <x:v>medium</x:v>
      </x:c>
      <x:c r="D1195" s="17" t="str">
        <x:v>next ask before hit/override</x:v>
      </x:c>
      <x:c r="E1195" s="17" t="str">
        <x:v>color</x:v>
      </x:c>
      <x:c r="F1195" s="17" t="str">
        <x:v>no new constraint</x:v>
      </x:c>
      <x:c r="G1195" s="17" t="str"/>
      <x:c r="H1195" s="17" t="str">
        <x:v>I don't have an additional preference for color.</x:v>
      </x:c>
      <x:c r="I1195" s="17" t="str"/>
    </x:row>
    <x:row r="1196">
      <x:c r="A1196" t="str">
        <x:v>public_0105</x:v>
      </x:c>
      <x:c r="B1196" t="str">
        <x:v>browsing</x:v>
      </x:c>
      <x:c r="C1196" t="str">
        <x:v>medium</x:v>
      </x:c>
      <x:c r="D1196" s="17" t="str">
        <x:v>next ask before hit/override</x:v>
      </x:c>
      <x:c r="E1196" s="17" t="str">
        <x:v>size</x:v>
      </x:c>
      <x:c r="F1196" s="17" t="str">
        <x:v>no new constraint</x:v>
      </x:c>
      <x:c r="G1196" s="17" t="str"/>
      <x:c r="H1196" s="17" t="str">
        <x:v>I don't have an additional preference for size.</x:v>
      </x:c>
      <x:c r="I1196" s="17" t="str"/>
    </x:row>
    <x:row r="1197">
      <x:c r="A1197" t="str">
        <x:v>public_0105</x:v>
      </x:c>
      <x:c r="B1197" t="str">
        <x:v>browsing</x:v>
      </x:c>
      <x:c r="C1197" t="str">
        <x:v>medium</x:v>
      </x:c>
      <x:c r="D1197" s="17" t="str">
        <x:v>next ask before hit/override</x:v>
      </x:c>
      <x:c r="E1197" s="17" t="str">
        <x:v>style</x:v>
      </x:c>
      <x:c r="F1197" s="17" t="str">
        <x:v>constraint revealed</x:v>
      </x:c>
      <x:c r="G1197" s="17" t="str">
        <x:v>IUGA is a lifestyle brand that combines Style, Comfort and Performance. The High Quality Activewear is perfect for Fitness Enthusiasts and Everyday Athleisure as it is Affordable a</x:v>
      </x:c>
      <x:c r="H1197" s="17" t="str">
        <x:v>For that, what matters is: IUGA is a lifestyle brand that combines Style, Comfort and Performance. The High Quality Activewear is perfect for Fitness Enthusiasts and Everyday Athleisure as it is Affordable a.</x:v>
      </x:c>
      <x:c r="I1197" s="17" t="str"/>
    </x:row>
    <x:row r="1198">
      <x:c r="A1198" t="str">
        <x:v>public_0105</x:v>
      </x:c>
      <x:c r="B1198" t="str">
        <x:v>browsing</x:v>
      </x:c>
      <x:c r="C1198" t="str">
        <x:v>medium</x:v>
      </x:c>
      <x:c r="D1198" s="17" t="str">
        <x:v>next ask before hit/override</x:v>
      </x:c>
      <x:c r="E1198" s="17" t="str">
        <x:v>brand</x:v>
      </x:c>
      <x:c r="F1198" s="17" t="str">
        <x:v>no new constraint</x:v>
      </x:c>
      <x:c r="G1198" s="17" t="str"/>
      <x:c r="H1198" s="17" t="str">
        <x:v>I don't have an additional preference for brand.</x:v>
      </x:c>
      <x:c r="I1198" s="17" t="str"/>
    </x:row>
    <x:row r="1199">
      <x:c r="A1199" t="str">
        <x:v>public_0105</x:v>
      </x:c>
      <x:c r="B1199" t="str">
        <x:v>browsing</x:v>
      </x:c>
      <x:c r="C1199" t="str">
        <x:v>medium</x:v>
      </x:c>
      <x:c r="D1199" s="17" t="str">
        <x:v>next ask before hit/override</x:v>
      </x:c>
      <x:c r="E1199" s="17" t="str">
        <x:v>budget</x:v>
      </x:c>
      <x:c r="F1199" s="17" t="str">
        <x:v>no new constraint</x:v>
      </x:c>
      <x:c r="G1199" s="17" t="str"/>
      <x:c r="H1199" s="17" t="str">
        <x:v>I don't have an additional preference for budget.</x:v>
      </x:c>
      <x:c r="I1199" s="17" t="str"/>
    </x:row>
    <x:row r="1200">
      <x:c r="A1200" t="str">
        <x:v>public_0105</x:v>
      </x:c>
      <x:c r="B1200" t="str">
        <x:v>browsing</x:v>
      </x:c>
      <x:c r="C1200" t="str">
        <x:v>medium</x:v>
      </x:c>
      <x:c r="D1200" s="17" t="str">
        <x:v>next ask before hit/override</x:v>
      </x:c>
      <x:c r="E1200" s="17" t="str">
        <x:v>feature</x:v>
      </x:c>
      <x:c r="F1200" s="17" t="str">
        <x:v>constraint revealed</x:v>
      </x:c>
      <x:c r="G1200" s="17" t="str">
        <x:v>Imported</x:v>
      </x:c>
      <x:c r="H1200" s="17" t="str">
        <x:v>For that, what matters is: Imported.</x:v>
      </x:c>
      <x:c r="I1200" s="17" t="str"/>
    </x:row>
    <x:row r="1201">
      <x:c r="A1201" t="str">
        <x:v>public_0105</x:v>
      </x:c>
      <x:c r="B1201" t="str">
        <x:v>browsing</x:v>
      </x:c>
      <x:c r="C1201" t="str">
        <x:v>medium</x:v>
      </x:c>
      <x:c r="D1201" s="17" t="str">
        <x:v>next ask before hit/override</x:v>
      </x:c>
      <x:c r="E1201" s="17" t="str">
        <x:v>use_case</x:v>
      </x:c>
      <x:c r="F1201" s="17" t="str">
        <x:v>no new constraint</x:v>
      </x:c>
      <x:c r="G1201" s="17" t="str"/>
      <x:c r="H1201" s="17" t="str">
        <x:v>I don't have an additional preference for use_case.</x:v>
      </x:c>
      <x:c r="I1201" s="17" t="str"/>
    </x:row>
    <x:row r="1202">
      <x:c r="A1202" t="str">
        <x:v>public_0105</x:v>
      </x:c>
      <x:c r="B1202" t="str">
        <x:v>browsing</x:v>
      </x:c>
      <x:c r="C1202" t="str">
        <x:v>medium</x:v>
      </x:c>
      <x:c r="D1202" s="17" t="str">
        <x:v>next ask before hit/override</x:v>
      </x:c>
      <x:c r="E1202" s="17" t="str">
        <x:v>other</x:v>
      </x:c>
      <x:c r="F1202" s="17" t="str">
        <x:v>constraint revealed</x:v>
      </x:c>
      <x:c r="G1202" s="17" t="str">
        <x:v>polyester | 77% Polyester, 23% Spandex</x:v>
      </x:c>
      <x:c r="H1202" s="17" t="str">
        <x:v>For that, what matters is: polyester; 77% Polyester, 23% Spandex.</x:v>
      </x:c>
      <x:c r="I1202" s="17" t="str"/>
    </x:row>
    <x:row r="1203">
      <x:c r="A1203" t="str">
        <x:v>public_0105</x:v>
      </x:c>
      <x:c r="B1203" t="str">
        <x:v>browsing</x:v>
      </x:c>
      <x:c r="C1203" t="str">
        <x:v>medium</x:v>
      </x:c>
      <x:c r="D1203" s="17" t="str">
        <x:v>next ask before hit/override</x:v>
      </x:c>
      <x:c r="E1203" s="17" t="str">
        <x:v>(no ask_attribute)</x:v>
      </x:c>
      <x:c r="F1203" s="17" t="str">
        <x:v>agent did not ask</x:v>
      </x:c>
      <x:c r="G1203" s="17" t="str"/>
      <x:c r="H1203" s="17" t="str">
        <x:v>Those options are not quite right yet. Ask me about one specific attribute.</x:v>
      </x:c>
      <x:c r="I1203" s="17" t="str"/>
    </x:row>
    <x:row r="1204">
      <x:c r="A1204" t="str">
        <x:v>public_0106</x:v>
      </x:c>
      <x:c r="B1204" t="str">
        <x:v>buying</x:v>
      </x:c>
      <x:c r="C1204" t="str">
        <x:v>easy</x:v>
      </x:c>
      <x:c r="D1204" s="17" t="str">
        <x:v>next ask before hit/override</x:v>
      </x:c>
      <x:c r="E1204" s="17" t="str">
        <x:v>category</x:v>
      </x:c>
      <x:c r="F1204" s="17" t="str">
        <x:v>no new constraint</x:v>
      </x:c>
      <x:c r="G1204" s="17" t="str"/>
      <x:c r="H1204" s="17" t="str">
        <x:v>I don't have an additional preference for category.</x:v>
      </x:c>
      <x:c r="I1204" s="17" t="str"/>
    </x:row>
    <x:row r="1205">
      <x:c r="A1205" t="str">
        <x:v>public_0106</x:v>
      </x:c>
      <x:c r="B1205" t="str">
        <x:v>buying</x:v>
      </x:c>
      <x:c r="C1205" t="str">
        <x:v>easy</x:v>
      </x:c>
      <x:c r="D1205" s="17" t="str">
        <x:v>next ask before hit/override</x:v>
      </x:c>
      <x:c r="E1205" s="17" t="str">
        <x:v>material</x:v>
      </x:c>
      <x:c r="F1205" s="17" t="str">
        <x:v>constraint revealed</x:v>
      </x:c>
      <x:c r="G1205" s="17" t="str">
        <x:v>Polyester,Cotton,Spandex | ❤ 【Material】：Our mens dress socks are are expertly fabricated with the perfect formulation, made with 76% cotton,2% spandex and 22% polyester to keep your feet a elasticity and sof</x:v>
      </x:c>
      <x:c r="H1205" s="17" t="str">
        <x:v>For that, what matters is: Polyester,Cotton,Spandex; ❤ 【Material】：Our mens dress socks are are expertly fabricated with the perfect formulation, made with 76% cotton,2% spandex and 22% polyester to keep your feet a elasticity and sof.</x:v>
      </x:c>
      <x:c r="I1205" s="17" t="str"/>
    </x:row>
    <x:row r="1206">
      <x:c r="A1206" t="str">
        <x:v>public_0106</x:v>
      </x:c>
      <x:c r="B1206" t="str">
        <x:v>buying</x:v>
      </x:c>
      <x:c r="C1206" t="str">
        <x:v>easy</x:v>
      </x:c>
      <x:c r="D1206" s="17" t="str">
        <x:v>next ask before hit/override</x:v>
      </x:c>
      <x:c r="E1206" s="17" t="str">
        <x:v>color</x:v>
      </x:c>
      <x:c r="F1206" s="17" t="str">
        <x:v>no new constraint</x:v>
      </x:c>
      <x:c r="G1206" s="17" t="str"/>
      <x:c r="H1206" s="17" t="str">
        <x:v>I don't have an additional preference for color.</x:v>
      </x:c>
      <x:c r="I1206" s="17" t="str"/>
    </x:row>
    <x:row r="1207">
      <x:c r="A1207" t="str">
        <x:v>public_0106</x:v>
      </x:c>
      <x:c r="B1207" t="str">
        <x:v>buying</x:v>
      </x:c>
      <x:c r="C1207" t="str">
        <x:v>easy</x:v>
      </x:c>
      <x:c r="D1207" s="17" t="str">
        <x:v>next ask before hit/override</x:v>
      </x:c>
      <x:c r="E1207" s="17" t="str">
        <x:v>size</x:v>
      </x:c>
      <x:c r="F1207" s="17" t="str">
        <x:v>no new constraint</x:v>
      </x:c>
      <x:c r="G1207" s="17" t="str"/>
      <x:c r="H1207" s="17" t="str">
        <x:v>I don't have an additional preference for size.</x:v>
      </x:c>
      <x:c r="I1207" s="17" t="str"/>
    </x:row>
    <x:row r="1208">
      <x:c r="A1208" t="str">
        <x:v>public_0106</x:v>
      </x:c>
      <x:c r="B1208" t="str">
        <x:v>buying</x:v>
      </x:c>
      <x:c r="C1208" t="str">
        <x:v>easy</x:v>
      </x:c>
      <x:c r="D1208" s="17" t="str">
        <x:v>next ask before hit/override</x:v>
      </x:c>
      <x:c r="E1208" s="17" t="str">
        <x:v>style</x:v>
      </x:c>
      <x:c r="F1208" s="17" t="str">
        <x:v>no new constraint</x:v>
      </x:c>
      <x:c r="G1208" s="17" t="str"/>
      <x:c r="H1208" s="17" t="str">
        <x:v>I don't have an additional preference for style.</x:v>
      </x:c>
      <x:c r="I1208" s="17" t="str"/>
    </x:row>
    <x:row r="1209">
      <x:c r="A1209" t="str">
        <x:v>public_0106</x:v>
      </x:c>
      <x:c r="B1209" t="str">
        <x:v>buying</x:v>
      </x:c>
      <x:c r="C1209" t="str">
        <x:v>easy</x:v>
      </x:c>
      <x:c r="D1209" s="17" t="str">
        <x:v>next ask before hit/override</x:v>
      </x:c>
      <x:c r="E1209" s="17" t="str">
        <x:v>brand</x:v>
      </x:c>
      <x:c r="F1209" s="17" t="str">
        <x:v>no new constraint</x:v>
      </x:c>
      <x:c r="G1209" s="17" t="str"/>
      <x:c r="H1209" s="17" t="str">
        <x:v>I don't have an additional preference for brand.</x:v>
      </x:c>
      <x:c r="I1209" s="17" t="str"/>
    </x:row>
    <x:row r="1210">
      <x:c r="A1210" t="str">
        <x:v>public_0106</x:v>
      </x:c>
      <x:c r="B1210" t="str">
        <x:v>buying</x:v>
      </x:c>
      <x:c r="C1210" t="str">
        <x:v>easy</x:v>
      </x:c>
      <x:c r="D1210" s="17" t="str">
        <x:v>next ask before hit/override</x:v>
      </x:c>
      <x:c r="E1210" s="17" t="str">
        <x:v>budget</x:v>
      </x:c>
      <x:c r="F1210" s="17" t="str">
        <x:v>no new constraint</x:v>
      </x:c>
      <x:c r="G1210" s="17" t="str"/>
      <x:c r="H1210" s="17" t="str">
        <x:v>I don't have an additional preference for budget.</x:v>
      </x:c>
      <x:c r="I1210" s="17" t="str"/>
    </x:row>
    <x:row r="1211">
      <x:c r="A1211" t="str">
        <x:v>public_0106</x:v>
      </x:c>
      <x:c r="B1211" t="str">
        <x:v>buying</x:v>
      </x:c>
      <x:c r="C1211" t="str">
        <x:v>easy</x:v>
      </x:c>
      <x:c r="D1211" s="17" t="str">
        <x:v>next ask before hit/override</x:v>
      </x:c>
      <x:c r="E1211" s="17" t="str">
        <x:v>feature</x:v>
      </x:c>
      <x:c r="F1211" s="17" t="str">
        <x:v>constraint revealed</x:v>
      </x:c>
      <x:c r="G1211" s="17" t="str">
        <x:v>Machine Wash</x:v>
      </x:c>
      <x:c r="H1211" s="17" t="str">
        <x:v>For that, what matters is: Machine Wash.</x:v>
      </x:c>
      <x:c r="I1211" s="17" t="str"/>
    </x:row>
    <x:row r="1212">
      <x:c r="A1212" t="str">
        <x:v>public_0106</x:v>
      </x:c>
      <x:c r="B1212" t="str">
        <x:v>buying</x:v>
      </x:c>
      <x:c r="C1212" t="str">
        <x:v>easy</x:v>
      </x:c>
      <x:c r="D1212" s="17" t="str">
        <x:v>next ask before hit/override</x:v>
      </x:c>
      <x:c r="E1212" s="17" t="str">
        <x:v>use_case</x:v>
      </x:c>
      <x:c r="F1212" s="17" t="str">
        <x:v>no new constraint</x:v>
      </x:c>
      <x:c r="G1212" s="17" t="str"/>
      <x:c r="H1212" s="17" t="str">
        <x:v>I don't have an additional preference for use_case.</x:v>
      </x:c>
      <x:c r="I1212" s="17" t="str"/>
    </x:row>
    <x:row r="1213">
      <x:c r="A1213" t="str">
        <x:v>public_0106</x:v>
      </x:c>
      <x:c r="B1213" t="str">
        <x:v>buying</x:v>
      </x:c>
      <x:c r="C1213" t="str">
        <x:v>easy</x:v>
      </x:c>
      <x:c r="D1213" s="17" t="str">
        <x:v>next ask before hit/override</x:v>
      </x:c>
      <x:c r="E1213" s="17" t="str">
        <x:v>other</x:v>
      </x:c>
      <x:c r="F1213" s="17" t="str">
        <x:v>constraint revealed</x:v>
      </x:c>
      <x:c r="G1213" s="17" t="str">
        <x:v>Polyester,Cotton,Spandex | Machine Wash</x:v>
      </x:c>
      <x:c r="H1213" s="17" t="str">
        <x:v>For that, what matters is: Polyester,Cotton,Spandex; Machine Wash.</x:v>
      </x:c>
      <x:c r="I1213" s="17" t="str"/>
    </x:row>
    <x:row r="1214">
      <x:c r="A1214" t="str">
        <x:v>public_0106</x:v>
      </x:c>
      <x:c r="B1214" t="str">
        <x:v>buying</x:v>
      </x:c>
      <x:c r="C1214" t="str">
        <x:v>easy</x:v>
      </x:c>
      <x:c r="D1214" s="17" t="str">
        <x:v>next ask before hit/override</x:v>
      </x:c>
      <x:c r="E1214" s="17" t="str">
        <x:v>(no ask_attribute)</x:v>
      </x:c>
      <x:c r="F1214" s="17" t="str">
        <x:v>agent did not ask</x:v>
      </x:c>
      <x:c r="G1214" s="17" t="str"/>
      <x:c r="H1214" s="17" t="str">
        <x:v>Those options are not quite right yet. Ask me about one specific attribute.</x:v>
      </x:c>
      <x:c r="I1214" s="17" t="str"/>
    </x:row>
    <x:row r="1215">
      <x:c r="A1215" t="str">
        <x:v>public_0107</x:v>
      </x:c>
      <x:c r="B1215" t="str">
        <x:v>buying</x:v>
      </x:c>
      <x:c r="C1215" t="str">
        <x:v>easy</x:v>
      </x:c>
      <x:c r="D1215" s="17" t="str">
        <x:v>next ask before hit/override</x:v>
      </x:c>
      <x:c r="E1215" s="17" t="str">
        <x:v>category</x:v>
      </x:c>
      <x:c r="F1215" s="17" t="str">
        <x:v>no new constraint</x:v>
      </x:c>
      <x:c r="G1215" s="17" t="str"/>
      <x:c r="H1215" s="17" t="str">
        <x:v>I don't have an additional preference for category.</x:v>
      </x:c>
      <x:c r="I1215" s="17" t="str"/>
    </x:row>
    <x:row r="1216">
      <x:c r="A1216" t="str">
        <x:v>public_0107</x:v>
      </x:c>
      <x:c r="B1216" t="str">
        <x:v>buying</x:v>
      </x:c>
      <x:c r="C1216" t="str">
        <x:v>easy</x:v>
      </x:c>
      <x:c r="D1216" s="17" t="str">
        <x:v>next ask before hit/override</x:v>
      </x:c>
      <x:c r="E1216" s="17" t="str">
        <x:v>material</x:v>
      </x:c>
      <x:c r="F1216" s="17" t="str">
        <x:v>constraint revealed</x:v>
      </x:c>
      <x:c r="G1216" s="17" t="str">
        <x:v>Shell 100% Cotton Lining 100% Polyester</x:v>
      </x:c>
      <x:c r="H1216" s="17" t="str">
        <x:v>For that, what matters is: Shell 100% Cotton Lining 100% Polyester.</x:v>
      </x:c>
      <x:c r="I1216" s="17" t="str"/>
    </x:row>
    <x:row r="1217">
      <x:c r="A1217" t="str">
        <x:v>public_0107</x:v>
      </x:c>
      <x:c r="B1217" t="str">
        <x:v>buying</x:v>
      </x:c>
      <x:c r="C1217" t="str">
        <x:v>easy</x:v>
      </x:c>
      <x:c r="D1217" s="17" t="str">
        <x:v>next ask before hit/override</x:v>
      </x:c>
      <x:c r="E1217" s="17" t="str">
        <x:v>color</x:v>
      </x:c>
      <x:c r="F1217" s="17" t="str">
        <x:v>no new constraint</x:v>
      </x:c>
      <x:c r="G1217" s="17" t="str"/>
      <x:c r="H1217" s="17" t="str">
        <x:v>I don't have an additional preference for color.</x:v>
      </x:c>
      <x:c r="I1217" s="17" t="str"/>
    </x:row>
    <x:row r="1218">
      <x:c r="A1218" t="str">
        <x:v>public_0107</x:v>
      </x:c>
      <x:c r="B1218" t="str">
        <x:v>buying</x:v>
      </x:c>
      <x:c r="C1218" t="str">
        <x:v>easy</x:v>
      </x:c>
      <x:c r="D1218" s="17" t="str">
        <x:v>next ask before hit/override</x:v>
      </x:c>
      <x:c r="E1218" s="17" t="str">
        <x:v>size</x:v>
      </x:c>
      <x:c r="F1218" s="17" t="str">
        <x:v>no new constraint</x:v>
      </x:c>
      <x:c r="G1218" s="17" t="str"/>
      <x:c r="H1218" s="17" t="str">
        <x:v>I don't have an additional preference for size.</x:v>
      </x:c>
      <x:c r="I1218" s="17" t="str"/>
    </x:row>
    <x:row r="1219">
      <x:c r="A1219" t="str">
        <x:v>public_0107</x:v>
      </x:c>
      <x:c r="B1219" t="str">
        <x:v>buying</x:v>
      </x:c>
      <x:c r="C1219" t="str">
        <x:v>easy</x:v>
      </x:c>
      <x:c r="D1219" s="17" t="str">
        <x:v>next ask before hit/override</x:v>
      </x:c>
      <x:c r="E1219" s="17" t="str">
        <x:v>style</x:v>
      </x:c>
      <x:c r="F1219" s="17" t="str">
        <x:v>no new constraint</x:v>
      </x:c>
      <x:c r="G1219" s="17" t="str"/>
      <x:c r="H1219" s="17" t="str">
        <x:v>I don't have an additional preference for style.</x:v>
      </x:c>
      <x:c r="I1219" s="17" t="str"/>
    </x:row>
    <x:row r="1220">
      <x:c r="A1220" t="str">
        <x:v>public_0107</x:v>
      </x:c>
      <x:c r="B1220" t="str">
        <x:v>buying</x:v>
      </x:c>
      <x:c r="C1220" t="str">
        <x:v>easy</x:v>
      </x:c>
      <x:c r="D1220" s="17" t="str">
        <x:v>next ask before hit/override</x:v>
      </x:c>
      <x:c r="E1220" s="17" t="str">
        <x:v>brand</x:v>
      </x:c>
      <x:c r="F1220" s="17" t="str">
        <x:v>no new constraint</x:v>
      </x:c>
      <x:c r="G1220" s="17" t="str"/>
      <x:c r="H1220" s="17" t="str">
        <x:v>I don't have an additional preference for brand.</x:v>
      </x:c>
      <x:c r="I1220" s="17" t="str"/>
    </x:row>
    <x:row r="1221">
      <x:c r="A1221" t="str">
        <x:v>public_0107</x:v>
      </x:c>
      <x:c r="B1221" t="str">
        <x:v>buying</x:v>
      </x:c>
      <x:c r="C1221" t="str">
        <x:v>easy</x:v>
      </x:c>
      <x:c r="D1221" s="17" t="str">
        <x:v>next ask before hit/override</x:v>
      </x:c>
      <x:c r="E1221" s="17" t="str">
        <x:v>budget</x:v>
      </x:c>
      <x:c r="F1221" s="17" t="str">
        <x:v>no new constraint</x:v>
      </x:c>
      <x:c r="G1221" s="17" t="str"/>
      <x:c r="H1221" s="17" t="str">
        <x:v>I don't have an additional preference for budget.</x:v>
      </x:c>
      <x:c r="I1221" s="17" t="str"/>
    </x:row>
    <x:row r="1222">
      <x:c r="A1222" t="str">
        <x:v>public_0107</x:v>
      </x:c>
      <x:c r="B1222" t="str">
        <x:v>buying</x:v>
      </x:c>
      <x:c r="C1222" t="str">
        <x:v>easy</x:v>
      </x:c>
      <x:c r="D1222" s="17" t="str">
        <x:v>next ask before hit/override</x:v>
      </x:c>
      <x:c r="E1222" s="17" t="str">
        <x:v>feature</x:v>
      </x:c>
      <x:c r="F1222" s="17" t="str">
        <x:v>constraint revealed</x:v>
      </x:c>
      <x:c r="G1222" s="17" t="str">
        <x:v>Zipper closure | Machine Wash</x:v>
      </x:c>
      <x:c r="H1222" s="17" t="str">
        <x:v>For that, what matters is: Zipper closure; Machine Wash.</x:v>
      </x:c>
      <x:c r="I1222" s="17" t="str"/>
    </x:row>
    <x:row r="1223">
      <x:c r="A1223" t="str">
        <x:v>public_0107</x:v>
      </x:c>
      <x:c r="B1223" t="str">
        <x:v>buying</x:v>
      </x:c>
      <x:c r="C1223" t="str">
        <x:v>easy</x:v>
      </x:c>
      <x:c r="D1223" s="17" t="str">
        <x:v>next ask before hit/override</x:v>
      </x:c>
      <x:c r="E1223" s="17" t="str">
        <x:v>use_case</x:v>
      </x:c>
      <x:c r="F1223" s="17" t="str">
        <x:v>no new constraint</x:v>
      </x:c>
      <x:c r="G1223" s="17" t="str"/>
      <x:c r="H1223" s="17" t="str">
        <x:v>I don't have an additional preference for use_case.</x:v>
      </x:c>
      <x:c r="I1223" s="17" t="str"/>
    </x:row>
    <x:row r="1224">
      <x:c r="A1224" t="str">
        <x:v>public_0107</x:v>
      </x:c>
      <x:c r="B1224" t="str">
        <x:v>buying</x:v>
      </x:c>
      <x:c r="C1224" t="str">
        <x:v>easy</x:v>
      </x:c>
      <x:c r="D1224" s="17" t="str">
        <x:v>next ask before hit/override</x:v>
      </x:c>
      <x:c r="E1224" s="17" t="str">
        <x:v>other</x:v>
      </x:c>
      <x:c r="F1224" s="17" t="str">
        <x:v>constraint revealed</x:v>
      </x:c>
      <x:c r="G1224" s="17" t="str">
        <x:v>Shell 100% Cotton Lining 100% Polyester | Zipper closure</x:v>
      </x:c>
      <x:c r="H1224" s="17" t="str">
        <x:v>For that, what matters is: Shell 100% Cotton Lining 100% Polyester; Zipper closure.</x:v>
      </x:c>
      <x:c r="I1224" s="17" t="str"/>
    </x:row>
    <x:row r="1225">
      <x:c r="A1225" t="str">
        <x:v>public_0107</x:v>
      </x:c>
      <x:c r="B1225" t="str">
        <x:v>buying</x:v>
      </x:c>
      <x:c r="C1225" t="str">
        <x:v>easy</x:v>
      </x:c>
      <x:c r="D1225" s="17" t="str">
        <x:v>next ask before hit/override</x:v>
      </x:c>
      <x:c r="E1225" s="17" t="str">
        <x:v>(no ask_attribute)</x:v>
      </x:c>
      <x:c r="F1225" s="17" t="str">
        <x:v>agent did not ask</x:v>
      </x:c>
      <x:c r="G1225" s="17" t="str"/>
      <x:c r="H1225" s="17" t="str">
        <x:v>Those options are not quite right yet. Ask me about one specific attribute.</x:v>
      </x:c>
      <x:c r="I1225" s="17" t="str"/>
    </x:row>
    <x:row r="1226">
      <x:c r="A1226" t="str">
        <x:v>public_0108</x:v>
      </x:c>
      <x:c r="B1226" t="str">
        <x:v>buying</x:v>
      </x:c>
      <x:c r="C1226" t="str">
        <x:v>easy</x:v>
      </x:c>
      <x:c r="D1226" s="17" t="str">
        <x:v>next ask before hit/override</x:v>
      </x:c>
      <x:c r="E1226" s="17" t="str">
        <x:v>category</x:v>
      </x:c>
      <x:c r="F1226" s="17" t="str">
        <x:v>no new constraint</x:v>
      </x:c>
      <x:c r="G1226" s="17" t="str"/>
      <x:c r="H1226" s="17" t="str">
        <x:v>I don't have an additional preference for category.</x:v>
      </x:c>
      <x:c r="I1226" s="17" t="str"/>
    </x:row>
    <x:row r="1227">
      <x:c r="A1227" t="str">
        <x:v>public_0108</x:v>
      </x:c>
      <x:c r="B1227" t="str">
        <x:v>buying</x:v>
      </x:c>
      <x:c r="C1227" t="str">
        <x:v>easy</x:v>
      </x:c>
      <x:c r="D1227" s="17" t="str">
        <x:v>next ask before hit/override</x:v>
      </x:c>
      <x:c r="E1227" s="17" t="str">
        <x:v>material</x:v>
      </x:c>
      <x:c r="F1227" s="17" t="str">
        <x:v>constraint revealed</x:v>
      </x:c>
      <x:c r="G1227" s="17" t="str">
        <x:v>54% Cotton, 36% Polyester, 10% Spandex</x:v>
      </x:c>
      <x:c r="H1227" s="17" t="str">
        <x:v>For that, what matters is: 54% Cotton, 36% Polyester, 10% Spandex.</x:v>
      </x:c>
      <x:c r="I1227" s="17" t="str"/>
    </x:row>
    <x:row r="1228">
      <x:c r="A1228" t="str">
        <x:v>public_0108</x:v>
      </x:c>
      <x:c r="B1228" t="str">
        <x:v>buying</x:v>
      </x:c>
      <x:c r="C1228" t="str">
        <x:v>easy</x:v>
      </x:c>
      <x:c r="D1228" s="17" t="str">
        <x:v>next ask before hit/override</x:v>
      </x:c>
      <x:c r="E1228" s="17" t="str">
        <x:v>color</x:v>
      </x:c>
      <x:c r="F1228" s="17" t="str">
        <x:v>no new constraint</x:v>
      </x:c>
      <x:c r="G1228" s="17" t="str"/>
      <x:c r="H1228" s="17" t="str">
        <x:v>I don't have an additional preference for color.</x:v>
      </x:c>
      <x:c r="I1228" s="17" t="str"/>
    </x:row>
    <x:row r="1229">
      <x:c r="A1229" t="str">
        <x:v>public_0108</x:v>
      </x:c>
      <x:c r="B1229" t="str">
        <x:v>buying</x:v>
      </x:c>
      <x:c r="C1229" t="str">
        <x:v>easy</x:v>
      </x:c>
      <x:c r="D1229" s="17" t="str">
        <x:v>next ask before hit/override</x:v>
      </x:c>
      <x:c r="E1229" s="17" t="str">
        <x:v>size</x:v>
      </x:c>
      <x:c r="F1229" s="17" t="str">
        <x:v>no new constraint</x:v>
      </x:c>
      <x:c r="G1229" s="17" t="str"/>
      <x:c r="H1229" s="17" t="str">
        <x:v>I don't have an additional preference for size.</x:v>
      </x:c>
      <x:c r="I1229" s="17" t="str"/>
    </x:row>
    <x:row r="1230">
      <x:c r="A1230" t="str">
        <x:v>public_0108</x:v>
      </x:c>
      <x:c r="B1230" t="str">
        <x:v>buying</x:v>
      </x:c>
      <x:c r="C1230" t="str">
        <x:v>easy</x:v>
      </x:c>
      <x:c r="D1230" s="17" t="str">
        <x:v>next ask before hit/override</x:v>
      </x:c>
      <x:c r="E1230" s="17" t="str">
        <x:v>style</x:v>
      </x:c>
      <x:c r="F1230" s="17" t="str">
        <x:v>no new constraint</x:v>
      </x:c>
      <x:c r="G1230" s="17" t="str"/>
      <x:c r="H1230" s="17" t="str">
        <x:v>I don't have an additional preference for style.</x:v>
      </x:c>
      <x:c r="I1230" s="17" t="str"/>
    </x:row>
    <x:row r="1231">
      <x:c r="A1231" t="str">
        <x:v>public_0108</x:v>
      </x:c>
      <x:c r="B1231" t="str">
        <x:v>buying</x:v>
      </x:c>
      <x:c r="C1231" t="str">
        <x:v>easy</x:v>
      </x:c>
      <x:c r="D1231" s="17" t="str">
        <x:v>next ask before hit/override</x:v>
      </x:c>
      <x:c r="E1231" s="17" t="str">
        <x:v>brand</x:v>
      </x:c>
      <x:c r="F1231" s="17" t="str">
        <x:v>no new constraint</x:v>
      </x:c>
      <x:c r="G1231" s="17" t="str"/>
      <x:c r="H1231" s="17" t="str">
        <x:v>I don't have an additional preference for brand.</x:v>
      </x:c>
      <x:c r="I1231" s="17" t="str"/>
    </x:row>
    <x:row r="1232">
      <x:c r="A1232" t="str">
        <x:v>public_0108</x:v>
      </x:c>
      <x:c r="B1232" t="str">
        <x:v>buying</x:v>
      </x:c>
      <x:c r="C1232" t="str">
        <x:v>easy</x:v>
      </x:c>
      <x:c r="D1232" s="17" t="str">
        <x:v>next ask before hit/override</x:v>
      </x:c>
      <x:c r="E1232" s="17" t="str">
        <x:v>budget</x:v>
      </x:c>
      <x:c r="F1232" s="17" t="str">
        <x:v>no new constraint</x:v>
      </x:c>
      <x:c r="G1232" s="17" t="str"/>
      <x:c r="H1232" s="17" t="str">
        <x:v>I don't have an additional preference for budget.</x:v>
      </x:c>
      <x:c r="I1232" s="17" t="str"/>
    </x:row>
    <x:row r="1233">
      <x:c r="A1233" t="str">
        <x:v>public_0108</x:v>
      </x:c>
      <x:c r="B1233" t="str">
        <x:v>buying</x:v>
      </x:c>
      <x:c r="C1233" t="str">
        <x:v>easy</x:v>
      </x:c>
      <x:c r="D1233" s="17" t="str">
        <x:v>next ask before hit/override</x:v>
      </x:c>
      <x:c r="E1233" s="17" t="str">
        <x:v>feature</x:v>
      </x:c>
      <x:c r="F1233" s="17" t="str">
        <x:v>constraint revealed</x:v>
      </x:c>
      <x:c r="G1233" s="17" t="str">
        <x:v>Imported | Elastic closure</x:v>
      </x:c>
      <x:c r="H1233" s="17" t="str">
        <x:v>For that, what matters is: Imported; Elastic closure.</x:v>
      </x:c>
      <x:c r="I1233" s="17" t="str"/>
    </x:row>
    <x:row r="1234">
      <x:c r="A1234" t="str">
        <x:v>public_0108</x:v>
      </x:c>
      <x:c r="B1234" t="str">
        <x:v>buying</x:v>
      </x:c>
      <x:c r="C1234" t="str">
        <x:v>easy</x:v>
      </x:c>
      <x:c r="D1234" s="17" t="str">
        <x:v>next ask before hit/override</x:v>
      </x:c>
      <x:c r="E1234" s="17" t="str">
        <x:v>use_case</x:v>
      </x:c>
      <x:c r="F1234" s="17" t="str">
        <x:v>no new constraint</x:v>
      </x:c>
      <x:c r="G1234" s="17" t="str"/>
      <x:c r="H1234" s="17" t="str">
        <x:v>I don't have an additional preference for use_case.</x:v>
      </x:c>
      <x:c r="I1234" s="17" t="str"/>
    </x:row>
    <x:row r="1235">
      <x:c r="A1235" t="str">
        <x:v>public_0108</x:v>
      </x:c>
      <x:c r="B1235" t="str">
        <x:v>buying</x:v>
      </x:c>
      <x:c r="C1235" t="str">
        <x:v>easy</x:v>
      </x:c>
      <x:c r="D1235" s="17" t="str">
        <x:v>next ask before hit/override</x:v>
      </x:c>
      <x:c r="E1235" s="17" t="str">
        <x:v>other</x:v>
      </x:c>
      <x:c r="F1235" s="17" t="str">
        <x:v>constraint revealed</x:v>
      </x:c>
      <x:c r="G1235" s="17" t="str">
        <x:v>54% Cotton, 36% Polyester, 10% Spandex | Imported</x:v>
      </x:c>
      <x:c r="H1235" s="17" t="str">
        <x:v>For that, what matters is: 54% Cotton, 36% Polyester, 10% Spandex; Imported.</x:v>
      </x:c>
      <x:c r="I1235" s="17" t="str"/>
    </x:row>
    <x:row r="1236">
      <x:c r="A1236" t="str">
        <x:v>public_0108</x:v>
      </x:c>
      <x:c r="B1236" t="str">
        <x:v>buying</x:v>
      </x:c>
      <x:c r="C1236" t="str">
        <x:v>easy</x:v>
      </x:c>
      <x:c r="D1236" s="17" t="str">
        <x:v>next ask before hit/override</x:v>
      </x:c>
      <x:c r="E1236" s="17" t="str">
        <x:v>(no ask_attribute)</x:v>
      </x:c>
      <x:c r="F1236" s="17" t="str">
        <x:v>agent did not ask</x:v>
      </x:c>
      <x:c r="G1236" s="17" t="str"/>
      <x:c r="H1236" s="17" t="str">
        <x:v>Those options are not quite right yet. Ask me about one specific attribute.</x:v>
      </x:c>
      <x:c r="I1236" s="17" t="str"/>
    </x:row>
    <x:row r="1237">
      <x:c r="A1237" t="str">
        <x:v>public_0109</x:v>
      </x:c>
      <x:c r="B1237" t="str">
        <x:v>buying</x:v>
      </x:c>
      <x:c r="C1237" t="str">
        <x:v>easy</x:v>
      </x:c>
      <x:c r="D1237" s="17" t="str">
        <x:v>next ask before hit/override</x:v>
      </x:c>
      <x:c r="E1237" s="17" t="str">
        <x:v>category</x:v>
      </x:c>
      <x:c r="F1237" s="17" t="str">
        <x:v>no new constraint</x:v>
      </x:c>
      <x:c r="G1237" s="17" t="str"/>
      <x:c r="H1237" s="17" t="str">
        <x:v>I don't have an additional preference for category.</x:v>
      </x:c>
      <x:c r="I1237" s="17" t="str"/>
    </x:row>
    <x:row r="1238">
      <x:c r="A1238" t="str">
        <x:v>public_0109</x:v>
      </x:c>
      <x:c r="B1238" t="str">
        <x:v>buying</x:v>
      </x:c>
      <x:c r="C1238" t="str">
        <x:v>easy</x:v>
      </x:c>
      <x:c r="D1238" s="17" t="str">
        <x:v>next ask before hit/override</x:v>
      </x:c>
      <x:c r="E1238" s="17" t="str">
        <x:v>material</x:v>
      </x:c>
      <x:c r="F1238" s="17" t="str">
        <x:v>no new constraint</x:v>
      </x:c>
      <x:c r="G1238" s="17" t="str"/>
      <x:c r="H1238" s="17" t="str">
        <x:v>I don't have an additional preference for material.</x:v>
      </x:c>
      <x:c r="I1238" s="17" t="str"/>
    </x:row>
    <x:row r="1239">
      <x:c r="A1239" t="str">
        <x:v>public_0109</x:v>
      </x:c>
      <x:c r="B1239" t="str">
        <x:v>buying</x:v>
      </x:c>
      <x:c r="C1239" t="str">
        <x:v>easy</x:v>
      </x:c>
      <x:c r="D1239" s="17" t="str">
        <x:v>next ask before hit/override</x:v>
      </x:c>
      <x:c r="E1239" s="17" t="str">
        <x:v>color</x:v>
      </x:c>
      <x:c r="F1239" s="17" t="str">
        <x:v>no new constraint</x:v>
      </x:c>
      <x:c r="G1239" s="17" t="str"/>
      <x:c r="H1239" s="17" t="str">
        <x:v>I don't have an additional preference for color.</x:v>
      </x:c>
      <x:c r="I1239" s="17" t="str"/>
    </x:row>
    <x:row r="1240">
      <x:c r="A1240" t="str">
        <x:v>public_0109</x:v>
      </x:c>
      <x:c r="B1240" t="str">
        <x:v>buying</x:v>
      </x:c>
      <x:c r="C1240" t="str">
        <x:v>easy</x:v>
      </x:c>
      <x:c r="D1240" s="17" t="str">
        <x:v>next ask before hit/override</x:v>
      </x:c>
      <x:c r="E1240" s="17" t="str">
        <x:v>size</x:v>
      </x:c>
      <x:c r="F1240" s="17" t="str">
        <x:v>no new constraint</x:v>
      </x:c>
      <x:c r="G1240" s="17" t="str"/>
      <x:c r="H1240" s="17" t="str">
        <x:v>I don't have an additional preference for size.</x:v>
      </x:c>
      <x:c r="I1240" s="17" t="str"/>
    </x:row>
    <x:row r="1241">
      <x:c r="A1241" t="str">
        <x:v>public_0109</x:v>
      </x:c>
      <x:c r="B1241" t="str">
        <x:v>buying</x:v>
      </x:c>
      <x:c r="C1241" t="str">
        <x:v>easy</x:v>
      </x:c>
      <x:c r="D1241" s="17" t="str">
        <x:v>next ask before hit/override</x:v>
      </x:c>
      <x:c r="E1241" s="17" t="str">
        <x:v>style</x:v>
      </x:c>
      <x:c r="F1241" s="17" t="str">
        <x:v>no new constraint</x:v>
      </x:c>
      <x:c r="G1241" s="17" t="str"/>
      <x:c r="H1241" s="17" t="str">
        <x:v>I don't have an additional preference for style.</x:v>
      </x:c>
      <x:c r="I1241" s="17" t="str"/>
    </x:row>
    <x:row r="1242">
      <x:c r="A1242" t="str">
        <x:v>public_0109</x:v>
      </x:c>
      <x:c r="B1242" t="str">
        <x:v>buying</x:v>
      </x:c>
      <x:c r="C1242" t="str">
        <x:v>easy</x:v>
      </x:c>
      <x:c r="D1242" s="17" t="str">
        <x:v>next ask before hit/override</x:v>
      </x:c>
      <x:c r="E1242" s="17" t="str">
        <x:v>brand</x:v>
      </x:c>
      <x:c r="F1242" s="17" t="str">
        <x:v>no new constraint</x:v>
      </x:c>
      <x:c r="G1242" s="17" t="str"/>
      <x:c r="H1242" s="17" t="str">
        <x:v>I don't have an additional preference for brand.</x:v>
      </x:c>
      <x:c r="I1242" s="17" t="str"/>
    </x:row>
    <x:row r="1243">
      <x:c r="A1243" t="str">
        <x:v>public_0109</x:v>
      </x:c>
      <x:c r="B1243" t="str">
        <x:v>buying</x:v>
      </x:c>
      <x:c r="C1243" t="str">
        <x:v>easy</x:v>
      </x:c>
      <x:c r="D1243" s="17" t="str">
        <x:v>next ask before hit/override</x:v>
      </x:c>
      <x:c r="E1243" s="17" t="str">
        <x:v>budget</x:v>
      </x:c>
      <x:c r="F1243" s="17" t="str">
        <x:v>no new constraint</x:v>
      </x:c>
      <x:c r="G1243" s="17" t="str"/>
      <x:c r="H1243" s="17" t="str">
        <x:v>I don't have an additional preference for budget.</x:v>
      </x:c>
      <x:c r="I1243" s="17" t="str"/>
    </x:row>
    <x:row r="1244">
      <x:c r="A1244" t="str">
        <x:v>public_0109</x:v>
      </x:c>
      <x:c r="B1244" t="str">
        <x:v>buying</x:v>
      </x:c>
      <x:c r="C1244" t="str">
        <x:v>easy</x:v>
      </x:c>
      <x:c r="D1244" s="17" t="str">
        <x:v>next ask before hit/override</x:v>
      </x:c>
      <x:c r="E1244" s="17" t="str">
        <x:v>feature</x:v>
      </x:c>
      <x:c r="F1244" s="17" t="str">
        <x:v>constraint revealed</x:v>
      </x:c>
      <x:c r="G1244" s="17" t="str">
        <x:v>100% Other Fibers | Imported</x:v>
      </x:c>
      <x:c r="H1244" s="17" t="str">
        <x:v>For that, what matters is: 100% Other Fibers; Imported.</x:v>
      </x:c>
      <x:c r="I1244" s="17" t="str"/>
    </x:row>
    <x:row r="1245">
      <x:c r="A1245" t="str">
        <x:v>public_0109</x:v>
      </x:c>
      <x:c r="B1245" t="str">
        <x:v>buying</x:v>
      </x:c>
      <x:c r="C1245" t="str">
        <x:v>easy</x:v>
      </x:c>
      <x:c r="D1245" s="17" t="str">
        <x:v>next ask before hit/override</x:v>
      </x:c>
      <x:c r="E1245" s="17" t="str">
        <x:v>use_case</x:v>
      </x:c>
      <x:c r="F1245" s="17" t="str">
        <x:v>no new constraint</x:v>
      </x:c>
      <x:c r="G1245" s="17" t="str"/>
      <x:c r="H1245" s="17" t="str">
        <x:v>I don't have an additional preference for use_case.</x:v>
      </x:c>
      <x:c r="I1245" s="17" t="str"/>
    </x:row>
    <x:row r="1246">
      <x:c r="A1246" t="str">
        <x:v>public_0109</x:v>
      </x:c>
      <x:c r="B1246" t="str">
        <x:v>buying</x:v>
      </x:c>
      <x:c r="C1246" t="str">
        <x:v>easy</x:v>
      </x:c>
      <x:c r="D1246" s="17" t="str">
        <x:v>next ask before hit/override</x:v>
      </x:c>
      <x:c r="E1246" s="17" t="str">
        <x:v>other</x:v>
      </x:c>
      <x:c r="F1246" s="17" t="str">
        <x:v>constraint revealed</x:v>
      </x:c>
      <x:c r="G1246" s="17" t="str">
        <x:v>100% Other Fibers | Imported</x:v>
      </x:c>
      <x:c r="H1246" s="17" t="str">
        <x:v>For that, what matters is: 100% Other Fibers; Imported.</x:v>
      </x:c>
      <x:c r="I1246" s="17" t="str"/>
    </x:row>
    <x:row r="1247">
      <x:c r="A1247" t="str">
        <x:v>public_0109</x:v>
      </x:c>
      <x:c r="B1247" t="str">
        <x:v>buying</x:v>
      </x:c>
      <x:c r="C1247" t="str">
        <x:v>easy</x:v>
      </x:c>
      <x:c r="D1247" s="17" t="str">
        <x:v>next ask before hit/override</x:v>
      </x:c>
      <x:c r="E1247" s="17" t="str">
        <x:v>(no ask_attribute)</x:v>
      </x:c>
      <x:c r="F1247" s="17" t="str">
        <x:v>agent did not ask</x:v>
      </x:c>
      <x:c r="G1247" s="17" t="str"/>
      <x:c r="H1247" s="17" t="str">
        <x:v>Those options are not quite right yet. Ask me about one specific attribute.</x:v>
      </x:c>
      <x:c r="I1247" s="17" t="str"/>
    </x:row>
    <x:row r="1248">
      <x:c r="A1248" t="str">
        <x:v>public_0110</x:v>
      </x:c>
      <x:c r="B1248" t="str">
        <x:v>browsing</x:v>
      </x:c>
      <x:c r="C1248" t="str">
        <x:v>medium</x:v>
      </x:c>
      <x:c r="D1248" s="17" t="str">
        <x:v>next ask before hit/override</x:v>
      </x:c>
      <x:c r="E1248" s="17" t="str">
        <x:v>category</x:v>
      </x:c>
      <x:c r="F1248" s="17" t="str">
        <x:v>no new constraint</x:v>
      </x:c>
      <x:c r="G1248" s="17" t="str"/>
      <x:c r="H1248" s="17" t="str">
        <x:v>I don't have an additional preference for category.</x:v>
      </x:c>
      <x:c r="I1248" s="17" t="str"/>
    </x:row>
    <x:row r="1249">
      <x:c r="A1249" t="str">
        <x:v>public_0110</x:v>
      </x:c>
      <x:c r="B1249" t="str">
        <x:v>browsing</x:v>
      </x:c>
      <x:c r="C1249" t="str">
        <x:v>medium</x:v>
      </x:c>
      <x:c r="D1249" s="17" t="str">
        <x:v>next ask before hit/override</x:v>
      </x:c>
      <x:c r="E1249" s="17" t="str">
        <x:v>material</x:v>
      </x:c>
      <x:c r="F1249" s="17" t="str">
        <x:v>constraint revealed</x:v>
      </x:c>
      <x:c r="G1249" s="17" t="str">
        <x:v>wool | 35% wool, 29% cotton, 36% polyester</x:v>
      </x:c>
      <x:c r="H1249" s="17" t="str">
        <x:v>For that, what matters is: wool; 35% wool, 29% cotton, 36% polyester.</x:v>
      </x:c>
      <x:c r="I1249" s="17" t="str"/>
    </x:row>
    <x:row r="1250">
      <x:c r="A1250" t="str">
        <x:v>public_0110</x:v>
      </x:c>
      <x:c r="B1250" t="str">
        <x:v>browsing</x:v>
      </x:c>
      <x:c r="C1250" t="str">
        <x:v>medium</x:v>
      </x:c>
      <x:c r="D1250" s="17" t="str">
        <x:v>next ask before hit/override</x:v>
      </x:c>
      <x:c r="E1250" s="17" t="str">
        <x:v>color</x:v>
      </x:c>
      <x:c r="F1250" s="17" t="str">
        <x:v>no new constraint</x:v>
      </x:c>
      <x:c r="G1250" s="17" t="str"/>
      <x:c r="H1250" s="17" t="str">
        <x:v>I don't have an additional preference for color.</x:v>
      </x:c>
      <x:c r="I1250" s="17" t="str"/>
    </x:row>
    <x:row r="1251">
      <x:c r="A1251" t="str">
        <x:v>public_0110</x:v>
      </x:c>
      <x:c r="B1251" t="str">
        <x:v>browsing</x:v>
      </x:c>
      <x:c r="C1251" t="str">
        <x:v>medium</x:v>
      </x:c>
      <x:c r="D1251" s="17" t="str">
        <x:v>next ask before hit/override</x:v>
      </x:c>
      <x:c r="E1251" s="17" t="str">
        <x:v>size</x:v>
      </x:c>
      <x:c r="F1251" s="17" t="str">
        <x:v>no new constraint</x:v>
      </x:c>
      <x:c r="G1251" s="17" t="str"/>
      <x:c r="H1251" s="17" t="str">
        <x:v>I don't have an additional preference for size.</x:v>
      </x:c>
      <x:c r="I1251" s="17" t="str"/>
    </x:row>
    <x:row r="1252">
      <x:c r="A1252" t="str">
        <x:v>public_0110</x:v>
      </x:c>
      <x:c r="B1252" t="str">
        <x:v>browsing</x:v>
      </x:c>
      <x:c r="C1252" t="str">
        <x:v>medium</x:v>
      </x:c>
      <x:c r="D1252" s="17" t="str">
        <x:v>next ask before hit/override</x:v>
      </x:c>
      <x:c r="E1252" s="17" t="str">
        <x:v>style</x:v>
      </x:c>
      <x:c r="F1252" s="17" t="str">
        <x:v>no new constraint</x:v>
      </x:c>
      <x:c r="G1252" s="17" t="str"/>
      <x:c r="H1252" s="17" t="str">
        <x:v>I don't have an additional preference for style.</x:v>
      </x:c>
      <x:c r="I1252" s="17" t="str"/>
    </x:row>
    <x:row r="1253">
      <x:c r="A1253" t="str">
        <x:v>public_0110</x:v>
      </x:c>
      <x:c r="B1253" t="str">
        <x:v>browsing</x:v>
      </x:c>
      <x:c r="C1253" t="str">
        <x:v>medium</x:v>
      </x:c>
      <x:c r="D1253" s="17" t="str">
        <x:v>next ask before hit/override</x:v>
      </x:c>
      <x:c r="E1253" s="17" t="str">
        <x:v>brand</x:v>
      </x:c>
      <x:c r="F1253" s="17" t="str">
        <x:v>no new constraint</x:v>
      </x:c>
      <x:c r="G1253" s="17" t="str"/>
      <x:c r="H1253" s="17" t="str">
        <x:v>I don't have an additional preference for brand.</x:v>
      </x:c>
      <x:c r="I1253" s="17" t="str"/>
    </x:row>
    <x:row r="1254">
      <x:c r="A1254" t="str">
        <x:v>public_0110</x:v>
      </x:c>
      <x:c r="B1254" t="str">
        <x:v>browsing</x:v>
      </x:c>
      <x:c r="C1254" t="str">
        <x:v>medium</x:v>
      </x:c>
      <x:c r="D1254" s="17" t="str">
        <x:v>next ask before hit/override</x:v>
      </x:c>
      <x:c r="E1254" s="17" t="str">
        <x:v>budget</x:v>
      </x:c>
      <x:c r="F1254" s="17" t="str">
        <x:v>no new constraint</x:v>
      </x:c>
      <x:c r="G1254" s="17" t="str"/>
      <x:c r="H1254" s="17" t="str">
        <x:v>I don't have an additional preference for budget.</x:v>
      </x:c>
      <x:c r="I1254" s="17" t="str"/>
    </x:row>
    <x:row r="1255">
      <x:c r="A1255" t="str">
        <x:v>public_0110</x:v>
      </x:c>
      <x:c r="B1255" t="str">
        <x:v>browsing</x:v>
      </x:c>
      <x:c r="C1255" t="str">
        <x:v>medium</x:v>
      </x:c>
      <x:c r="D1255" s="17" t="str">
        <x:v>next ask before hit/override</x:v>
      </x:c>
      <x:c r="E1255" s="17" t="str">
        <x:v>feature</x:v>
      </x:c>
      <x:c r="F1255" s="17" t="str">
        <x:v>constraint revealed</x:v>
      </x:c>
      <x:c r="G1255" s="17" t="str">
        <x:v>Machine Wash,Hand Wash</x:v>
      </x:c>
      <x:c r="H1255" s="17" t="str">
        <x:v>For that, what matters is: Machine Wash,Hand Wash.</x:v>
      </x:c>
      <x:c r="I1255" s="17" t="str"/>
    </x:row>
    <x:row r="1256">
      <x:c r="A1256" t="str">
        <x:v>public_0110</x:v>
      </x:c>
      <x:c r="B1256" t="str">
        <x:v>browsing</x:v>
      </x:c>
      <x:c r="C1256" t="str">
        <x:v>medium</x:v>
      </x:c>
      <x:c r="D1256" s="17" t="str">
        <x:v>next ask before hit/override</x:v>
      </x:c>
      <x:c r="E1256" s="17" t="str">
        <x:v>use_case</x:v>
      </x:c>
      <x:c r="F1256" s="17" t="str">
        <x:v>no new constraint</x:v>
      </x:c>
      <x:c r="G1256" s="17" t="str"/>
      <x:c r="H1256" s="17" t="str">
        <x:v>I don't have an additional preference for use_case.</x:v>
      </x:c>
      <x:c r="I1256" s="17" t="str"/>
    </x:row>
    <x:row r="1257">
      <x:c r="A1257" t="str">
        <x:v>public_0110</x:v>
      </x:c>
      <x:c r="B1257" t="str">
        <x:v>browsing</x:v>
      </x:c>
      <x:c r="C1257" t="str">
        <x:v>medium</x:v>
      </x:c>
      <x:c r="D1257" s="17" t="str">
        <x:v>next ask before hit/override</x:v>
      </x:c>
      <x:c r="E1257" s="17" t="str">
        <x:v>other</x:v>
      </x:c>
      <x:c r="F1257" s="17" t="str">
        <x:v>constraint revealed</x:v>
      </x:c>
      <x:c r="G1257" s="17" t="str">
        <x:v>wool | 35% wool, 29% cotton, 36% polyester</x:v>
      </x:c>
      <x:c r="H1257" s="17" t="str">
        <x:v>For that, what matters is: wool; 35% wool, 29% cotton, 36% polyester.</x:v>
      </x:c>
      <x:c r="I1257" s="17" t="str"/>
    </x:row>
    <x:row r="1258">
      <x:c r="A1258" t="str">
        <x:v>public_0110</x:v>
      </x:c>
      <x:c r="B1258" t="str">
        <x:v>browsing</x:v>
      </x:c>
      <x:c r="C1258" t="str">
        <x:v>medium</x:v>
      </x:c>
      <x:c r="D1258" s="17" t="str">
        <x:v>next ask before hit/override</x:v>
      </x:c>
      <x:c r="E1258" s="17" t="str">
        <x:v>(no ask_attribute)</x:v>
      </x:c>
      <x:c r="F1258" s="17" t="str">
        <x:v>agent did not ask</x:v>
      </x:c>
      <x:c r="G1258" s="17" t="str"/>
      <x:c r="H1258" s="17" t="str">
        <x:v>Those options are not quite right yet. Ask me about one specific attribute.</x:v>
      </x:c>
      <x:c r="I1258" s="17" t="str"/>
    </x:row>
    <x:row r="1259">
      <x:c r="A1259" t="str">
        <x:v>public_0111</x:v>
      </x:c>
      <x:c r="B1259" t="str">
        <x:v>buying</x:v>
      </x:c>
      <x:c r="C1259" t="str">
        <x:v>easy</x:v>
      </x:c>
      <x:c r="D1259" s="17" t="str">
        <x:v>next ask before hit/override</x:v>
      </x:c>
      <x:c r="E1259" s="17" t="str">
        <x:v>category</x:v>
      </x:c>
      <x:c r="F1259" s="17" t="str">
        <x:v>no new constraint</x:v>
      </x:c>
      <x:c r="G1259" s="17" t="str"/>
      <x:c r="H1259" s="17" t="str">
        <x:v>I don't have an additional preference for category.</x:v>
      </x:c>
      <x:c r="I1259" s="17" t="str"/>
    </x:row>
    <x:row r="1260">
      <x:c r="A1260" t="str">
        <x:v>public_0111</x:v>
      </x:c>
      <x:c r="B1260" t="str">
        <x:v>buying</x:v>
      </x:c>
      <x:c r="C1260" t="str">
        <x:v>easy</x:v>
      </x:c>
      <x:c r="D1260" s="17" t="str">
        <x:v>next ask before hit/override</x:v>
      </x:c>
      <x:c r="E1260" s="17" t="str">
        <x:v>material</x:v>
      </x:c>
      <x:c r="F1260" s="17" t="str">
        <x:v>constraint revealed</x:v>
      </x:c>
      <x:c r="G1260" s="17" t="str">
        <x:v>60% Polyester, 35% Cotton, 5% Spandex</x:v>
      </x:c>
      <x:c r="H1260" s="17" t="str">
        <x:v>For that, what matters is: 60% Polyester, 35% Cotton, 5% Spandex.</x:v>
      </x:c>
      <x:c r="I1260" s="17" t="str"/>
    </x:row>
    <x:row r="1261">
      <x:c r="A1261" t="str">
        <x:v>public_0111</x:v>
      </x:c>
      <x:c r="B1261" t="str">
        <x:v>buying</x:v>
      </x:c>
      <x:c r="C1261" t="str">
        <x:v>easy</x:v>
      </x:c>
      <x:c r="D1261" s="17" t="str">
        <x:v>next ask before hit/override</x:v>
      </x:c>
      <x:c r="E1261" s="17" t="str">
        <x:v>color</x:v>
      </x:c>
      <x:c r="F1261" s="17" t="str">
        <x:v>no new constraint</x:v>
      </x:c>
      <x:c r="G1261" s="17" t="str"/>
      <x:c r="H1261" s="17" t="str">
        <x:v>I don't have an additional preference for color.</x:v>
      </x:c>
      <x:c r="I1261" s="17" t="str"/>
    </x:row>
    <x:row r="1262">
      <x:c r="A1262" t="str">
        <x:v>public_0111</x:v>
      </x:c>
      <x:c r="B1262" t="str">
        <x:v>buying</x:v>
      </x:c>
      <x:c r="C1262" t="str">
        <x:v>easy</x:v>
      </x:c>
      <x:c r="D1262" s="17" t="str">
        <x:v>next ask before hit/override</x:v>
      </x:c>
      <x:c r="E1262" s="17" t="str">
        <x:v>size</x:v>
      </x:c>
      <x:c r="F1262" s="17" t="str">
        <x:v>no new constraint</x:v>
      </x:c>
      <x:c r="G1262" s="17" t="str"/>
      <x:c r="H1262" s="17" t="str">
        <x:v>I don't have an additional preference for size.</x:v>
      </x:c>
      <x:c r="I1262" s="17" t="str"/>
    </x:row>
    <x:row r="1263">
      <x:c r="A1263" t="str">
        <x:v>public_0111</x:v>
      </x:c>
      <x:c r="B1263" t="str">
        <x:v>buying</x:v>
      </x:c>
      <x:c r="C1263" t="str">
        <x:v>easy</x:v>
      </x:c>
      <x:c r="D1263" s="17" t="str">
        <x:v>next ask before hit/override</x:v>
      </x:c>
      <x:c r="E1263" s="17" t="str">
        <x:v>style</x:v>
      </x:c>
      <x:c r="F1263" s="17" t="str">
        <x:v>no new constraint</x:v>
      </x:c>
      <x:c r="G1263" s="17" t="str"/>
      <x:c r="H1263" s="17" t="str">
        <x:v>I don't have an additional preference for style.</x:v>
      </x:c>
      <x:c r="I1263" s="17" t="str"/>
    </x:row>
    <x:row r="1264">
      <x:c r="A1264" t="str">
        <x:v>public_0111</x:v>
      </x:c>
      <x:c r="B1264" t="str">
        <x:v>buying</x:v>
      </x:c>
      <x:c r="C1264" t="str">
        <x:v>easy</x:v>
      </x:c>
      <x:c r="D1264" s="17" t="str">
        <x:v>next ask before hit/override</x:v>
      </x:c>
      <x:c r="E1264" s="17" t="str">
        <x:v>brand</x:v>
      </x:c>
      <x:c r="F1264" s="17" t="str">
        <x:v>no new constraint</x:v>
      </x:c>
      <x:c r="G1264" s="17" t="str"/>
      <x:c r="H1264" s="17" t="str">
        <x:v>I don't have an additional preference for brand.</x:v>
      </x:c>
      <x:c r="I1264" s="17" t="str"/>
    </x:row>
    <x:row r="1265">
      <x:c r="A1265" t="str">
        <x:v>public_0111</x:v>
      </x:c>
      <x:c r="B1265" t="str">
        <x:v>buying</x:v>
      </x:c>
      <x:c r="C1265" t="str">
        <x:v>easy</x:v>
      </x:c>
      <x:c r="D1265" s="17" t="str">
        <x:v>next ask before hit/override</x:v>
      </x:c>
      <x:c r="E1265" s="17" t="str">
        <x:v>budget</x:v>
      </x:c>
      <x:c r="F1265" s="17" t="str">
        <x:v>no new constraint</x:v>
      </x:c>
      <x:c r="G1265" s="17" t="str"/>
      <x:c r="H1265" s="17" t="str">
        <x:v>I don't have an additional preference for budget.</x:v>
      </x:c>
      <x:c r="I1265" s="17" t="str"/>
    </x:row>
    <x:row r="1266">
      <x:c r="A1266" t="str">
        <x:v>public_0111</x:v>
      </x:c>
      <x:c r="B1266" t="str">
        <x:v>buying</x:v>
      </x:c>
      <x:c r="C1266" t="str">
        <x:v>easy</x:v>
      </x:c>
      <x:c r="D1266" s="17" t="str">
        <x:v>next ask before hit/override</x:v>
      </x:c>
      <x:c r="E1266" s="17" t="str">
        <x:v>feature</x:v>
      </x:c>
      <x:c r="F1266" s="17" t="str">
        <x:v>constraint revealed</x:v>
      </x:c>
      <x:c r="G1266" s="17" t="str">
        <x:v>Imported | Pull On closure</x:v>
      </x:c>
      <x:c r="H1266" s="17" t="str">
        <x:v>For that, what matters is: Imported; Pull On closure.</x:v>
      </x:c>
      <x:c r="I1266" s="17" t="str"/>
    </x:row>
    <x:row r="1267">
      <x:c r="A1267" t="str">
        <x:v>public_0111</x:v>
      </x:c>
      <x:c r="B1267" t="str">
        <x:v>buying</x:v>
      </x:c>
      <x:c r="C1267" t="str">
        <x:v>easy</x:v>
      </x:c>
      <x:c r="D1267" s="17" t="str">
        <x:v>next ask before hit/override</x:v>
      </x:c>
      <x:c r="E1267" s="17" t="str">
        <x:v>use_case</x:v>
      </x:c>
      <x:c r="F1267" s="17" t="str">
        <x:v>no new constraint</x:v>
      </x:c>
      <x:c r="G1267" s="17" t="str"/>
      <x:c r="H1267" s="17" t="str">
        <x:v>I don't have an additional preference for use_case.</x:v>
      </x:c>
      <x:c r="I1267" s="17" t="str"/>
    </x:row>
    <x:row r="1268">
      <x:c r="A1268" t="str">
        <x:v>public_0111</x:v>
      </x:c>
      <x:c r="B1268" t="str">
        <x:v>buying</x:v>
      </x:c>
      <x:c r="C1268" t="str">
        <x:v>easy</x:v>
      </x:c>
      <x:c r="D1268" s="17" t="str">
        <x:v>next ask before hit/override</x:v>
      </x:c>
      <x:c r="E1268" s="17" t="str">
        <x:v>other</x:v>
      </x:c>
      <x:c r="F1268" s="17" t="str">
        <x:v>constraint revealed</x:v>
      </x:c>
      <x:c r="G1268" s="17" t="str">
        <x:v>60% Polyester, 35% Cotton, 5% Spandex | Imported</x:v>
      </x:c>
      <x:c r="H1268" s="17" t="str">
        <x:v>For that, what matters is: 60% Polyester, 35% Cotton, 5% Spandex; Imported.</x:v>
      </x:c>
      <x:c r="I1268" s="17" t="str"/>
    </x:row>
    <x:row r="1269">
      <x:c r="A1269" t="str">
        <x:v>public_0111</x:v>
      </x:c>
      <x:c r="B1269" t="str">
        <x:v>buying</x:v>
      </x:c>
      <x:c r="C1269" t="str">
        <x:v>easy</x:v>
      </x:c>
      <x:c r="D1269" s="17" t="str">
        <x:v>next ask before hit/override</x:v>
      </x:c>
      <x:c r="E1269" s="17" t="str">
        <x:v>(no ask_attribute)</x:v>
      </x:c>
      <x:c r="F1269" s="17" t="str">
        <x:v>agent did not ask</x:v>
      </x:c>
      <x:c r="G1269" s="17" t="str"/>
      <x:c r="H1269" s="17" t="str">
        <x:v>Those options are not quite right yet. Ask me about one specific attribute.</x:v>
      </x:c>
      <x:c r="I1269" s="17" t="str"/>
    </x:row>
    <x:row r="1270">
      <x:c r="A1270" t="str">
        <x:v>public_0112</x:v>
      </x:c>
      <x:c r="B1270" t="str">
        <x:v>boundary</x:v>
      </x:c>
      <x:c r="C1270" t="str">
        <x:v>medium</x:v>
      </x:c>
      <x:c r="D1270" s="17" t="str">
        <x:v>first ask (boundary unused)</x:v>
      </x:c>
      <x:c r="E1270" s="17" t="str">
        <x:v>category</x:v>
      </x:c>
      <x:c r="F1270" s="17" t="str">
        <x:v>boundary no-preference</x:v>
      </x:c>
      <x:c r="G1270" s="17" t="str"/>
      <x:c r="H1270" s="17" t="str">
        <x:v>I don't have a preference for category; please use your judgment.</x:v>
      </x:c>
      <x:c r="I1270" s="17" t="str"/>
    </x:row>
    <x:row r="1271">
      <x:c r="A1271" t="str">
        <x:v>public_0112</x:v>
      </x:c>
      <x:c r="B1271" t="str">
        <x:v>boundary</x:v>
      </x:c>
      <x:c r="C1271" t="str">
        <x:v>medium</x:v>
      </x:c>
      <x:c r="D1271" s="17" t="str">
        <x:v>first ask (boundary unused)</x:v>
      </x:c>
      <x:c r="E1271" s="17" t="str">
        <x:v>material</x:v>
      </x:c>
      <x:c r="F1271" s="17" t="str">
        <x:v>boundary no-preference</x:v>
      </x:c>
      <x:c r="G1271" s="17" t="str"/>
      <x:c r="H1271" s="17" t="str">
        <x:v>I don't have a preference for material; please use your judgment.</x:v>
      </x:c>
      <x:c r="I1271" s="17" t="str"/>
    </x:row>
    <x:row r="1272">
      <x:c r="A1272" t="str">
        <x:v>public_0112</x:v>
      </x:c>
      <x:c r="B1272" t="str">
        <x:v>boundary</x:v>
      </x:c>
      <x:c r="C1272" t="str">
        <x:v>medium</x:v>
      </x:c>
      <x:c r="D1272" s="17" t="str">
        <x:v>first ask (boundary unused)</x:v>
      </x:c>
      <x:c r="E1272" s="17" t="str">
        <x:v>color</x:v>
      </x:c>
      <x:c r="F1272" s="17" t="str">
        <x:v>boundary no-preference</x:v>
      </x:c>
      <x:c r="G1272" s="17" t="str"/>
      <x:c r="H1272" s="17" t="str">
        <x:v>I don't have a preference for color; please use your judgment.</x:v>
      </x:c>
      <x:c r="I1272" s="17" t="str"/>
    </x:row>
    <x:row r="1273">
      <x:c r="A1273" t="str">
        <x:v>public_0112</x:v>
      </x:c>
      <x:c r="B1273" t="str">
        <x:v>boundary</x:v>
      </x:c>
      <x:c r="C1273" t="str">
        <x:v>medium</x:v>
      </x:c>
      <x:c r="D1273" s="17" t="str">
        <x:v>first ask (boundary unused)</x:v>
      </x:c>
      <x:c r="E1273" s="17" t="str">
        <x:v>size</x:v>
      </x:c>
      <x:c r="F1273" s="17" t="str">
        <x:v>boundary no-preference</x:v>
      </x:c>
      <x:c r="G1273" s="17" t="str"/>
      <x:c r="H1273" s="17" t="str">
        <x:v>I don't have a preference for size; please use your judgment.</x:v>
      </x:c>
      <x:c r="I1273" s="17" t="str"/>
    </x:row>
    <x:row r="1274">
      <x:c r="A1274" t="str">
        <x:v>public_0112</x:v>
      </x:c>
      <x:c r="B1274" t="str">
        <x:v>boundary</x:v>
      </x:c>
      <x:c r="C1274" t="str">
        <x:v>medium</x:v>
      </x:c>
      <x:c r="D1274" s="17" t="str">
        <x:v>first ask (boundary unused)</x:v>
      </x:c>
      <x:c r="E1274" s="17" t="str">
        <x:v>style</x:v>
      </x:c>
      <x:c r="F1274" s="17" t="str">
        <x:v>boundary no-preference</x:v>
      </x:c>
      <x:c r="G1274" s="17" t="str"/>
      <x:c r="H1274" s="17" t="str">
        <x:v>I don't have a preference for style; please use your judgment.</x:v>
      </x:c>
      <x:c r="I1274" s="17" t="str"/>
    </x:row>
    <x:row r="1275">
      <x:c r="A1275" t="str">
        <x:v>public_0112</x:v>
      </x:c>
      <x:c r="B1275" t="str">
        <x:v>boundary</x:v>
      </x:c>
      <x:c r="C1275" t="str">
        <x:v>medium</x:v>
      </x:c>
      <x:c r="D1275" s="17" t="str">
        <x:v>first ask (boundary unused)</x:v>
      </x:c>
      <x:c r="E1275" s="17" t="str">
        <x:v>brand</x:v>
      </x:c>
      <x:c r="F1275" s="17" t="str">
        <x:v>boundary no-preference</x:v>
      </x:c>
      <x:c r="G1275" s="17" t="str"/>
      <x:c r="H1275" s="17" t="str">
        <x:v>I don't have a preference for brand; please use your judgment.</x:v>
      </x:c>
      <x:c r="I1275" s="17" t="str"/>
    </x:row>
    <x:row r="1276">
      <x:c r="A1276" t="str">
        <x:v>public_0112</x:v>
      </x:c>
      <x:c r="B1276" t="str">
        <x:v>boundary</x:v>
      </x:c>
      <x:c r="C1276" t="str">
        <x:v>medium</x:v>
      </x:c>
      <x:c r="D1276" s="17" t="str">
        <x:v>first ask (boundary unused)</x:v>
      </x:c>
      <x:c r="E1276" s="17" t="str">
        <x:v>budget</x:v>
      </x:c>
      <x:c r="F1276" s="17" t="str">
        <x:v>boundary no-preference</x:v>
      </x:c>
      <x:c r="G1276" s="17" t="str"/>
      <x:c r="H1276" s="17" t="str">
        <x:v>I don't have a preference for budget; please use your judgment.</x:v>
      </x:c>
      <x:c r="I1276" s="17" t="str"/>
    </x:row>
    <x:row r="1277">
      <x:c r="A1277" t="str">
        <x:v>public_0112</x:v>
      </x:c>
      <x:c r="B1277" t="str">
        <x:v>boundary</x:v>
      </x:c>
      <x:c r="C1277" t="str">
        <x:v>medium</x:v>
      </x:c>
      <x:c r="D1277" s="17" t="str">
        <x:v>first ask (boundary unused)</x:v>
      </x:c>
      <x:c r="E1277" s="17" t="str">
        <x:v>feature</x:v>
      </x:c>
      <x:c r="F1277" s="17" t="str">
        <x:v>boundary no-preference</x:v>
      </x:c>
      <x:c r="G1277" s="17" t="str"/>
      <x:c r="H1277" s="17" t="str">
        <x:v>I don't have a preference for feature; please use your judgment.</x:v>
      </x:c>
      <x:c r="I1277" s="17" t="str"/>
    </x:row>
    <x:row r="1278">
      <x:c r="A1278" t="str">
        <x:v>public_0112</x:v>
      </x:c>
      <x:c r="B1278" t="str">
        <x:v>boundary</x:v>
      </x:c>
      <x:c r="C1278" t="str">
        <x:v>medium</x:v>
      </x:c>
      <x:c r="D1278" s="17" t="str">
        <x:v>first ask (boundary unused)</x:v>
      </x:c>
      <x:c r="E1278" s="17" t="str">
        <x:v>use_case</x:v>
      </x:c>
      <x:c r="F1278" s="17" t="str">
        <x:v>boundary no-preference</x:v>
      </x:c>
      <x:c r="G1278" s="17" t="str"/>
      <x:c r="H1278" s="17" t="str">
        <x:v>I don't have a preference for use_case; please use your judgment.</x:v>
      </x:c>
      <x:c r="I1278" s="17" t="str"/>
    </x:row>
    <x:row r="1279">
      <x:c r="A1279" t="str">
        <x:v>public_0112</x:v>
      </x:c>
      <x:c r="B1279" t="str">
        <x:v>boundary</x:v>
      </x:c>
      <x:c r="C1279" t="str">
        <x:v>medium</x:v>
      </x:c>
      <x:c r="D1279" s="17" t="str">
        <x:v>first ask (boundary unused)</x:v>
      </x:c>
      <x:c r="E1279" s="17" t="str">
        <x:v>other</x:v>
      </x:c>
      <x:c r="F1279" s="17" t="str">
        <x:v>boundary no-preference</x:v>
      </x:c>
      <x:c r="G1279" s="17" t="str"/>
      <x:c r="H1279" s="17" t="str">
        <x:v>I don't have a preference for other; please use your judgment.</x:v>
      </x:c>
      <x:c r="I1279" s="17" t="str"/>
    </x:row>
    <x:row r="1280">
      <x:c r="A1280" t="str">
        <x:v>public_0112</x:v>
      </x:c>
      <x:c r="B1280" t="str">
        <x:v>boundary</x:v>
      </x:c>
      <x:c r="C1280" t="str">
        <x:v>medium</x:v>
      </x:c>
      <x:c r="D1280" s="17" t="str">
        <x:v>first ask (boundary unused)</x:v>
      </x:c>
      <x:c r="E1280" s="17" t="str">
        <x:v>(no ask_attribute)</x:v>
      </x:c>
      <x:c r="F1280" s="17" t="str">
        <x:v>agent did not ask</x:v>
      </x:c>
      <x:c r="G1280" s="17" t="str"/>
      <x:c r="H1280" s="17" t="str">
        <x:v>Those options are not quite right yet. Ask me about one specific attribute.</x:v>
      </x:c>
      <x:c r="I1280" s="17" t="str"/>
    </x:row>
    <x:row r="1281">
      <x:c r="A1281" t="str">
        <x:v>public_0112</x:v>
      </x:c>
      <x:c r="B1281" t="str">
        <x:v>boundary</x:v>
      </x:c>
      <x:c r="C1281" t="str">
        <x:v>medium</x:v>
      </x:c>
      <x:c r="D1281" s="17" t="str">
        <x:v>after no-preference used</x:v>
      </x:c>
      <x:c r="E1281" s="17" t="str">
        <x:v>category</x:v>
      </x:c>
      <x:c r="F1281" s="17" t="str">
        <x:v>no new constraint</x:v>
      </x:c>
      <x:c r="G1281" s="17" t="str"/>
      <x:c r="H1281" s="17" t="str">
        <x:v>I don't have an additional preference for category.</x:v>
      </x:c>
      <x:c r="I1281" s="17" t="str"/>
    </x:row>
    <x:row r="1282">
      <x:c r="A1282" t="str">
        <x:v>public_0112</x:v>
      </x:c>
      <x:c r="B1282" t="str">
        <x:v>boundary</x:v>
      </x:c>
      <x:c r="C1282" t="str">
        <x:v>medium</x:v>
      </x:c>
      <x:c r="D1282" s="17" t="str">
        <x:v>after no-preference used</x:v>
      </x:c>
      <x:c r="E1282" s="17" t="str">
        <x:v>material</x:v>
      </x:c>
      <x:c r="F1282" s="17" t="str">
        <x:v>constraint revealed</x:v>
      </x:c>
      <x:c r="G1282" s="17" t="str">
        <x:v>leather | Leather sole</x:v>
      </x:c>
      <x:c r="H1282" s="17" t="str">
        <x:v>For that, what matters is: leather; Leather sole.</x:v>
      </x:c>
      <x:c r="I1282" s="17" t="str"/>
    </x:row>
    <x:row r="1283">
      <x:c r="A1283" t="str">
        <x:v>public_0112</x:v>
      </x:c>
      <x:c r="B1283" t="str">
        <x:v>boundary</x:v>
      </x:c>
      <x:c r="C1283" t="str">
        <x:v>medium</x:v>
      </x:c>
      <x:c r="D1283" s="17" t="str">
        <x:v>after no-preference used</x:v>
      </x:c>
      <x:c r="E1283" s="17" t="str">
        <x:v>color</x:v>
      </x:c>
      <x:c r="F1283" s="17" t="str">
        <x:v>no new constraint</x:v>
      </x:c>
      <x:c r="G1283" s="17" t="str"/>
      <x:c r="H1283" s="17" t="str">
        <x:v>I don't have an additional preference for color.</x:v>
      </x:c>
      <x:c r="I1283" s="17" t="str"/>
    </x:row>
    <x:row r="1284">
      <x:c r="A1284" t="str">
        <x:v>public_0112</x:v>
      </x:c>
      <x:c r="B1284" t="str">
        <x:v>boundary</x:v>
      </x:c>
      <x:c r="C1284" t="str">
        <x:v>medium</x:v>
      </x:c>
      <x:c r="D1284" s="17" t="str">
        <x:v>after no-preference used</x:v>
      </x:c>
      <x:c r="E1284" s="17" t="str">
        <x:v>size</x:v>
      </x:c>
      <x:c r="F1284" s="17" t="str">
        <x:v>no new constraint</x:v>
      </x:c>
      <x:c r="G1284" s="17" t="str"/>
      <x:c r="H1284" s="17" t="str">
        <x:v>I don't have an additional preference for size.</x:v>
      </x:c>
      <x:c r="I1284" s="17" t="str"/>
    </x:row>
    <x:row r="1285">
      <x:c r="A1285" t="str">
        <x:v>public_0112</x:v>
      </x:c>
      <x:c r="B1285" t="str">
        <x:v>boundary</x:v>
      </x:c>
      <x:c r="C1285" t="str">
        <x:v>medium</x:v>
      </x:c>
      <x:c r="D1285" s="17" t="str">
        <x:v>after no-preference used</x:v>
      </x:c>
      <x:c r="E1285" s="17" t="str">
        <x:v>style</x:v>
      </x:c>
      <x:c r="F1285" s="17" t="str">
        <x:v>no new constraint</x:v>
      </x:c>
      <x:c r="G1285" s="17" t="str"/>
      <x:c r="H1285" s="17" t="str">
        <x:v>I don't have an additional preference for style.</x:v>
      </x:c>
      <x:c r="I1285" s="17" t="str"/>
    </x:row>
    <x:row r="1286">
      <x:c r="A1286" t="str">
        <x:v>public_0112</x:v>
      </x:c>
      <x:c r="B1286" t="str">
        <x:v>boundary</x:v>
      </x:c>
      <x:c r="C1286" t="str">
        <x:v>medium</x:v>
      </x:c>
      <x:c r="D1286" s="17" t="str">
        <x:v>after no-preference used</x:v>
      </x:c>
      <x:c r="E1286" s="17" t="str">
        <x:v>brand</x:v>
      </x:c>
      <x:c r="F1286" s="17" t="str">
        <x:v>no new constraint</x:v>
      </x:c>
      <x:c r="G1286" s="17" t="str"/>
      <x:c r="H1286" s="17" t="str">
        <x:v>I don't have an additional preference for brand.</x:v>
      </x:c>
      <x:c r="I1286" s="17" t="str"/>
    </x:row>
    <x:row r="1287">
      <x:c r="A1287" t="str">
        <x:v>public_0112</x:v>
      </x:c>
      <x:c r="B1287" t="str">
        <x:v>boundary</x:v>
      </x:c>
      <x:c r="C1287" t="str">
        <x:v>medium</x:v>
      </x:c>
      <x:c r="D1287" s="17" t="str">
        <x:v>after no-preference used</x:v>
      </x:c>
      <x:c r="E1287" s="17" t="str">
        <x:v>budget</x:v>
      </x:c>
      <x:c r="F1287" s="17" t="str">
        <x:v>no new constraint</x:v>
      </x:c>
      <x:c r="G1287" s="17" t="str"/>
      <x:c r="H1287" s="17" t="str">
        <x:v>I don't have an additional preference for budget.</x:v>
      </x:c>
      <x:c r="I1287" s="17" t="str"/>
    </x:row>
    <x:row r="1288">
      <x:c r="A1288" t="str">
        <x:v>public_0112</x:v>
      </x:c>
      <x:c r="B1288" t="str">
        <x:v>boundary</x:v>
      </x:c>
      <x:c r="C1288" t="str">
        <x:v>medium</x:v>
      </x:c>
      <x:c r="D1288" s="17" t="str">
        <x:v>after no-preference used</x:v>
      </x:c>
      <x:c r="E1288" s="17" t="str">
        <x:v>feature</x:v>
      </x:c>
      <x:c r="F1288" s="17" t="str">
        <x:v>constraint revealed</x:v>
      </x:c>
      <x:c r="G1288" s="17" t="str">
        <x:v>Slip-on For Easy On And Off</x:v>
      </x:c>
      <x:c r="H1288" s="17" t="str">
        <x:v>For that, what matters is: Slip-on For Easy On And Off.</x:v>
      </x:c>
      <x:c r="I1288" s="17" t="str"/>
    </x:row>
    <x:row r="1289">
      <x:c r="A1289" t="str">
        <x:v>public_0112</x:v>
      </x:c>
      <x:c r="B1289" t="str">
        <x:v>boundary</x:v>
      </x:c>
      <x:c r="C1289" t="str">
        <x:v>medium</x:v>
      </x:c>
      <x:c r="D1289" s="17" t="str">
        <x:v>after no-preference used</x:v>
      </x:c>
      <x:c r="E1289" s="17" t="str">
        <x:v>use_case</x:v>
      </x:c>
      <x:c r="F1289" s="17" t="str">
        <x:v>constraint revealed</x:v>
      </x:c>
      <x:c r="G1289" s="17" t="str">
        <x:v>A Lightweight Sneaker, Which Is Suitable For Running, Sports, Hiking, Walking, Tourism And Climbing</x:v>
      </x:c>
      <x:c r="H1289" s="17" t="str">
        <x:v>For that, what matters is: A Lightweight Sneaker, Which Is Suitable For Running, Sports, Hiking, Walking, Tourism And Climbing.</x:v>
      </x:c>
      <x:c r="I1289" s="17" t="str"/>
    </x:row>
    <x:row r="1290">
      <x:c r="A1290" t="str">
        <x:v>public_0112</x:v>
      </x:c>
      <x:c r="B1290" t="str">
        <x:v>boundary</x:v>
      </x:c>
      <x:c r="C1290" t="str">
        <x:v>medium</x:v>
      </x:c>
      <x:c r="D1290" s="17" t="str">
        <x:v>after no-preference used</x:v>
      </x:c>
      <x:c r="E1290" s="17" t="str">
        <x:v>other</x:v>
      </x:c>
      <x:c r="F1290" s="17" t="str">
        <x:v>constraint revealed</x:v>
      </x:c>
      <x:c r="G1290" s="17" t="str">
        <x:v>leather | Leather sole</x:v>
      </x:c>
      <x:c r="H1290" s="17" t="str">
        <x:v>For that, what matters is: leather; Leather sole.</x:v>
      </x:c>
      <x:c r="I1290" s="17" t="str"/>
    </x:row>
    <x:row r="1291">
      <x:c r="A1291" t="str">
        <x:v>public_0112</x:v>
      </x:c>
      <x:c r="B1291" t="str">
        <x:v>boundary</x:v>
      </x:c>
      <x:c r="C1291" t="str">
        <x:v>medium</x:v>
      </x:c>
      <x:c r="D1291" s="17" t="str">
        <x:v>after no-preference used</x:v>
      </x:c>
      <x:c r="E1291" s="17" t="str">
        <x:v>(no ask_attribute)</x:v>
      </x:c>
      <x:c r="F1291" s="17" t="str">
        <x:v>agent did not ask</x:v>
      </x:c>
      <x:c r="G1291" s="17" t="str"/>
      <x:c r="H1291" s="17" t="str">
        <x:v>Those options are not quite right yet. Ask me about one specific attribute.</x:v>
      </x:c>
      <x:c r="I1291" s="17" t="str"/>
    </x:row>
    <x:row r="1292">
      <x:c r="A1292" t="str">
        <x:v>public_0113</x:v>
      </x:c>
      <x:c r="B1292" t="str">
        <x:v>browsing</x:v>
      </x:c>
      <x:c r="C1292" t="str">
        <x:v>medium</x:v>
      </x:c>
      <x:c r="D1292" s="17" t="str">
        <x:v>next ask before hit/override</x:v>
      </x:c>
      <x:c r="E1292" s="17" t="str">
        <x:v>category</x:v>
      </x:c>
      <x:c r="F1292" s="17" t="str">
        <x:v>no new constraint</x:v>
      </x:c>
      <x:c r="G1292" s="17" t="str"/>
      <x:c r="H1292" s="17" t="str">
        <x:v>I don't have an additional preference for category.</x:v>
      </x:c>
      <x:c r="I1292" s="17" t="str"/>
    </x:row>
    <x:row r="1293">
      <x:c r="A1293" t="str">
        <x:v>public_0113</x:v>
      </x:c>
      <x:c r="B1293" t="str">
        <x:v>browsing</x:v>
      </x:c>
      <x:c r="C1293" t="str">
        <x:v>medium</x:v>
      </x:c>
      <x:c r="D1293" s="17" t="str">
        <x:v>next ask before hit/override</x:v>
      </x:c>
      <x:c r="E1293" s="17" t="str">
        <x:v>material</x:v>
      </x:c>
      <x:c r="F1293" s="17" t="str">
        <x:v>no new constraint</x:v>
      </x:c>
      <x:c r="G1293" s="17" t="str"/>
      <x:c r="H1293" s="17" t="str">
        <x:v>I don't have an additional preference for material.</x:v>
      </x:c>
      <x:c r="I1293" s="17" t="str"/>
    </x:row>
    <x:row r="1294">
      <x:c r="A1294" t="str">
        <x:v>public_0113</x:v>
      </x:c>
      <x:c r="B1294" t="str">
        <x:v>browsing</x:v>
      </x:c>
      <x:c r="C1294" t="str">
        <x:v>medium</x:v>
      </x:c>
      <x:c r="D1294" s="17" t="str">
        <x:v>next ask before hit/override</x:v>
      </x:c>
      <x:c r="E1294" s="17" t="str">
        <x:v>color</x:v>
      </x:c>
      <x:c r="F1294" s="17" t="str">
        <x:v>constraint revealed</x:v>
      </x:c>
      <x:c r="G1294" s="17" t="str">
        <x:v>TOASTY WARM - Covered in plush sherpa fleece from inside to outside, this slipper will wrap your feet in a cocoon of warmth so they'll never feel cold</x:v>
      </x:c>
      <x:c r="H1294" s="17" t="str">
        <x:v>For that, what matters is: TOASTY WARM - Covered in plush sherpa fleece from inside to outside, this slipper will wrap your feet in a cocoon of warmth so they'll never feel cold.</x:v>
      </x:c>
      <x:c r="I1294" s="17" t="str"/>
    </x:row>
    <x:row r="1295">
      <x:c r="A1295" t="str">
        <x:v>public_0113</x:v>
      </x:c>
      <x:c r="B1295" t="str">
        <x:v>browsing</x:v>
      </x:c>
      <x:c r="C1295" t="str">
        <x:v>medium</x:v>
      </x:c>
      <x:c r="D1295" s="17" t="str">
        <x:v>next ask before hit/override</x:v>
      </x:c>
      <x:c r="E1295" s="17" t="str">
        <x:v>size</x:v>
      </x:c>
      <x:c r="F1295" s="17" t="str">
        <x:v>no new constraint</x:v>
      </x:c>
      <x:c r="G1295" s="17" t="str"/>
      <x:c r="H1295" s="17" t="str">
        <x:v>I don't have an additional preference for size.</x:v>
      </x:c>
      <x:c r="I1295" s="17" t="str"/>
    </x:row>
    <x:row r="1296">
      <x:c r="A1296" t="str">
        <x:v>public_0113</x:v>
      </x:c>
      <x:c r="B1296" t="str">
        <x:v>browsing</x:v>
      </x:c>
      <x:c r="C1296" t="str">
        <x:v>medium</x:v>
      </x:c>
      <x:c r="D1296" s="17" t="str">
        <x:v>next ask before hit/override</x:v>
      </x:c>
      <x:c r="E1296" s="17" t="str">
        <x:v>style</x:v>
      </x:c>
      <x:c r="F1296" s="17" t="str">
        <x:v>no new constraint</x:v>
      </x:c>
      <x:c r="G1296" s="17" t="str"/>
      <x:c r="H1296" s="17" t="str">
        <x:v>I don't have an additional preference for style.</x:v>
      </x:c>
      <x:c r="I1296" s="17" t="str"/>
    </x:row>
    <x:row r="1297">
      <x:c r="A1297" t="str">
        <x:v>public_0113</x:v>
      </x:c>
      <x:c r="B1297" t="str">
        <x:v>browsing</x:v>
      </x:c>
      <x:c r="C1297" t="str">
        <x:v>medium</x:v>
      </x:c>
      <x:c r="D1297" s="17" t="str">
        <x:v>next ask before hit/override</x:v>
      </x:c>
      <x:c r="E1297" s="17" t="str">
        <x:v>brand</x:v>
      </x:c>
      <x:c r="F1297" s="17" t="str">
        <x:v>no new constraint</x:v>
      </x:c>
      <x:c r="G1297" s="17" t="str"/>
      <x:c r="H1297" s="17" t="str">
        <x:v>I don't have an additional preference for brand.</x:v>
      </x:c>
      <x:c r="I1297" s="17" t="str"/>
    </x:row>
    <x:row r="1298">
      <x:c r="A1298" t="str">
        <x:v>public_0113</x:v>
      </x:c>
      <x:c r="B1298" t="str">
        <x:v>browsing</x:v>
      </x:c>
      <x:c r="C1298" t="str">
        <x:v>medium</x:v>
      </x:c>
      <x:c r="D1298" s="17" t="str">
        <x:v>next ask before hit/override</x:v>
      </x:c>
      <x:c r="E1298" s="17" t="str">
        <x:v>budget</x:v>
      </x:c>
      <x:c r="F1298" s="17" t="str">
        <x:v>no new constraint</x:v>
      </x:c>
      <x:c r="G1298" s="17" t="str"/>
      <x:c r="H1298" s="17" t="str">
        <x:v>I don't have an additional preference for budget.</x:v>
      </x:c>
      <x:c r="I1298" s="17" t="str"/>
    </x:row>
    <x:row r="1299">
      <x:c r="A1299" t="str">
        <x:v>public_0113</x:v>
      </x:c>
      <x:c r="B1299" t="str">
        <x:v>browsing</x:v>
      </x:c>
      <x:c r="C1299" t="str">
        <x:v>medium</x:v>
      </x:c>
      <x:c r="D1299" s="17" t="str">
        <x:v>next ask before hit/override</x:v>
      </x:c>
      <x:c r="E1299" s="17" t="str">
        <x:v>feature</x:v>
      </x:c>
      <x:c r="F1299" s="17" t="str">
        <x:v>constraint revealed</x:v>
      </x:c>
      <x:c r="G1299" s="17" t="str">
        <x:v>Sherpa Fleece | Rubber sole</x:v>
      </x:c>
      <x:c r="H1299" s="17" t="str">
        <x:v>For that, what matters is: Sherpa Fleece; Rubber sole.</x:v>
      </x:c>
      <x:c r="I1299" s="17" t="str"/>
    </x:row>
    <x:row r="1300">
      <x:c r="A1300" t="str">
        <x:v>public_0113</x:v>
      </x:c>
      <x:c r="B1300" t="str">
        <x:v>browsing</x:v>
      </x:c>
      <x:c r="C1300" t="str">
        <x:v>medium</x:v>
      </x:c>
      <x:c r="D1300" s="17" t="str">
        <x:v>next ask before hit/override</x:v>
      </x:c>
      <x:c r="E1300" s="17" t="str">
        <x:v>use_case</x:v>
      </x:c>
      <x:c r="F1300" s="17" t="str">
        <x:v>no new constraint</x:v>
      </x:c>
      <x:c r="G1300" s="17" t="str"/>
      <x:c r="H1300" s="17" t="str">
        <x:v>I don't have an additional preference for use_case.</x:v>
      </x:c>
      <x:c r="I1300" s="17" t="str"/>
    </x:row>
    <x:row r="1301">
      <x:c r="A1301" t="str">
        <x:v>public_0113</x:v>
      </x:c>
      <x:c r="B1301" t="str">
        <x:v>browsing</x:v>
      </x:c>
      <x:c r="C1301" t="str">
        <x:v>medium</x:v>
      </x:c>
      <x:c r="D1301" s="17" t="str">
        <x:v>next ask before hit/override</x:v>
      </x:c>
      <x:c r="E1301" s="17" t="str">
        <x:v>other</x:v>
      </x:c>
      <x:c r="F1301" s="17" t="str">
        <x:v>constraint revealed</x:v>
      </x:c>
      <x:c r="G1301" s="17" t="str">
        <x:v>Sherpa Fleece | Rubber sole</x:v>
      </x:c>
      <x:c r="H1301" s="17" t="str">
        <x:v>For that, what matters is: Sherpa Fleece; Rubber sole.</x:v>
      </x:c>
      <x:c r="I1301" s="17" t="str"/>
    </x:row>
    <x:row r="1302">
      <x:c r="A1302" t="str">
        <x:v>public_0113</x:v>
      </x:c>
      <x:c r="B1302" t="str">
        <x:v>browsing</x:v>
      </x:c>
      <x:c r="C1302" t="str">
        <x:v>medium</x:v>
      </x:c>
      <x:c r="D1302" s="17" t="str">
        <x:v>next ask before hit/override</x:v>
      </x:c>
      <x:c r="E1302" s="17" t="str">
        <x:v>(no ask_attribute)</x:v>
      </x:c>
      <x:c r="F1302" s="17" t="str">
        <x:v>agent did not ask</x:v>
      </x:c>
      <x:c r="G1302" s="17" t="str"/>
      <x:c r="H1302" s="17" t="str">
        <x:v>Those options are not quite right yet. Ask me about one specific attribute.</x:v>
      </x:c>
      <x:c r="I1302" s="17" t="str"/>
    </x:row>
    <x:row r="1303">
      <x:c r="A1303" t="str">
        <x:v>public_0114</x:v>
      </x:c>
      <x:c r="B1303" t="str">
        <x:v>buying</x:v>
      </x:c>
      <x:c r="C1303" t="str">
        <x:v>easy</x:v>
      </x:c>
      <x:c r="D1303" s="17" t="str">
        <x:v>next ask before hit/override</x:v>
      </x:c>
      <x:c r="E1303" s="17" t="str">
        <x:v>category</x:v>
      </x:c>
      <x:c r="F1303" s="17" t="str">
        <x:v>no new constraint</x:v>
      </x:c>
      <x:c r="G1303" s="17" t="str"/>
      <x:c r="H1303" s="17" t="str">
        <x:v>I don't have an additional preference for category.</x:v>
      </x:c>
      <x:c r="I1303" s="17" t="str"/>
    </x:row>
    <x:row r="1304">
      <x:c r="A1304" t="str">
        <x:v>public_0114</x:v>
      </x:c>
      <x:c r="B1304" t="str">
        <x:v>buying</x:v>
      </x:c>
      <x:c r="C1304" t="str">
        <x:v>easy</x:v>
      </x:c>
      <x:c r="D1304" s="17" t="str">
        <x:v>next ask before hit/override</x:v>
      </x:c>
      <x:c r="E1304" s="17" t="str">
        <x:v>material</x:v>
      </x:c>
      <x:c r="F1304" s="17" t="str">
        <x:v>no new constraint</x:v>
      </x:c>
      <x:c r="G1304" s="17" t="str"/>
      <x:c r="H1304" s="17" t="str">
        <x:v>I don't have an additional preference for material.</x:v>
      </x:c>
      <x:c r="I1304" s="17" t="str"/>
    </x:row>
    <x:row r="1305">
      <x:c r="A1305" t="str">
        <x:v>public_0114</x:v>
      </x:c>
      <x:c r="B1305" t="str">
        <x:v>buying</x:v>
      </x:c>
      <x:c r="C1305" t="str">
        <x:v>easy</x:v>
      </x:c>
      <x:c r="D1305" s="17" t="str">
        <x:v>next ask before hit/override</x:v>
      </x:c>
      <x:c r="E1305" s="17" t="str">
        <x:v>color</x:v>
      </x:c>
      <x:c r="F1305" s="17" t="str">
        <x:v>constraint revealed</x:v>
      </x:c>
      <x:c r="G1305" s="17" t="str">
        <x:v>Great go-to shoes with multicolor choice and steady design suitable for all age</x:v>
      </x:c>
      <x:c r="H1305" s="17" t="str">
        <x:v>For that, what matters is: Great go-to shoes with multicolor choice and steady design suitable for all age.</x:v>
      </x:c>
      <x:c r="I1305" s="17" t="str"/>
    </x:row>
    <x:row r="1306">
      <x:c r="A1306" t="str">
        <x:v>public_0114</x:v>
      </x:c>
      <x:c r="B1306" t="str">
        <x:v>buying</x:v>
      </x:c>
      <x:c r="C1306" t="str">
        <x:v>easy</x:v>
      </x:c>
      <x:c r="D1306" s="17" t="str">
        <x:v>next ask before hit/override</x:v>
      </x:c>
      <x:c r="E1306" s="17" t="str">
        <x:v>size</x:v>
      </x:c>
      <x:c r="F1306" s="17" t="str">
        <x:v>no new constraint</x:v>
      </x:c>
      <x:c r="G1306" s="17" t="str"/>
      <x:c r="H1306" s="17" t="str">
        <x:v>I don't have an additional preference for size.</x:v>
      </x:c>
      <x:c r="I1306" s="17" t="str"/>
    </x:row>
    <x:row r="1307">
      <x:c r="A1307" t="str">
        <x:v>public_0114</x:v>
      </x:c>
      <x:c r="B1307" t="str">
        <x:v>buying</x:v>
      </x:c>
      <x:c r="C1307" t="str">
        <x:v>easy</x:v>
      </x:c>
      <x:c r="D1307" s="17" t="str">
        <x:v>next ask before hit/override</x:v>
      </x:c>
      <x:c r="E1307" s="17" t="str">
        <x:v>style</x:v>
      </x:c>
      <x:c r="F1307" s="17" t="str">
        <x:v>constraint revealed</x:v>
      </x:c>
      <x:c r="G1307" s="17" t="str">
        <x:v>Take a natural step forward with a clean look, for sure go with your daily t-shirt and jeans, jackets,casual midi dress,any outfit you have</x:v>
      </x:c>
      <x:c r="H1307" s="17" t="str">
        <x:v>For that, what matters is: Take a natural step forward with a clean look, for sure go with your daily t-shirt and jeans, jackets,casual midi dress,any outfit you have.</x:v>
      </x:c>
      <x:c r="I1307" s="17" t="str"/>
    </x:row>
    <x:row r="1308">
      <x:c r="A1308" t="str">
        <x:v>public_0114</x:v>
      </x:c>
      <x:c r="B1308" t="str">
        <x:v>buying</x:v>
      </x:c>
      <x:c r="C1308" t="str">
        <x:v>easy</x:v>
      </x:c>
      <x:c r="D1308" s="17" t="str">
        <x:v>next ask before hit/override</x:v>
      </x:c>
      <x:c r="E1308" s="17" t="str">
        <x:v>brand</x:v>
      </x:c>
      <x:c r="F1308" s="17" t="str">
        <x:v>no new constraint</x:v>
      </x:c>
      <x:c r="G1308" s="17" t="str"/>
      <x:c r="H1308" s="17" t="str">
        <x:v>I don't have an additional preference for brand.</x:v>
      </x:c>
      <x:c r="I1308" s="17" t="str"/>
    </x:row>
    <x:row r="1309">
      <x:c r="A1309" t="str">
        <x:v>public_0114</x:v>
      </x:c>
      <x:c r="B1309" t="str">
        <x:v>buying</x:v>
      </x:c>
      <x:c r="C1309" t="str">
        <x:v>easy</x:v>
      </x:c>
      <x:c r="D1309" s="17" t="str">
        <x:v>next ask before hit/override</x:v>
      </x:c>
      <x:c r="E1309" s="17" t="str">
        <x:v>budget</x:v>
      </x:c>
      <x:c r="F1309" s="17" t="str">
        <x:v>no new constraint</x:v>
      </x:c>
      <x:c r="G1309" s="17" t="str"/>
      <x:c r="H1309" s="17" t="str">
        <x:v>I don't have an additional preference for budget.</x:v>
      </x:c>
      <x:c r="I1309" s="17" t="str"/>
    </x:row>
    <x:row r="1310">
      <x:c r="A1310" t="str">
        <x:v>public_0114</x:v>
      </x:c>
      <x:c r="B1310" t="str">
        <x:v>buying</x:v>
      </x:c>
      <x:c r="C1310" t="str">
        <x:v>easy</x:v>
      </x:c>
      <x:c r="D1310" s="17" t="str">
        <x:v>next ask before hit/override</x:v>
      </x:c>
      <x:c r="E1310" s="17" t="str">
        <x:v>feature</x:v>
      </x:c>
      <x:c r="F1310" s="17" t="str">
        <x:v>constraint revealed</x:v>
      </x:c>
      <x:c r="G1310" s="17" t="str">
        <x:v>Anti slip and durable rubber sole and cushioned insole keeps your balance at all time so you can enjoy any type of activity,walking,playing</x:v>
      </x:c>
      <x:c r="H1310" s="17" t="str">
        <x:v>For that, what matters is: Anti slip and durable rubber sole and cushioned insole keeps your balance at all time so you can enjoy any type of activity,walking,playing.</x:v>
      </x:c>
      <x:c r="I1310" s="17" t="str"/>
    </x:row>
    <x:row r="1311">
      <x:c r="A1311" t="str">
        <x:v>public_0114</x:v>
      </x:c>
      <x:c r="B1311" t="str">
        <x:v>buying</x:v>
      </x:c>
      <x:c r="C1311" t="str">
        <x:v>easy</x:v>
      </x:c>
      <x:c r="D1311" s="17" t="str">
        <x:v>next ask before hit/override</x:v>
      </x:c>
      <x:c r="E1311" s="17" t="str">
        <x:v>use_case</x:v>
      </x:c>
      <x:c r="F1311" s="17" t="str">
        <x:v>no new constraint</x:v>
      </x:c>
      <x:c r="G1311" s="17" t="str"/>
      <x:c r="H1311" s="17" t="str">
        <x:v>I don't have an additional preference for use_case.</x:v>
      </x:c>
      <x:c r="I1311" s="17" t="str"/>
    </x:row>
    <x:row r="1312">
      <x:c r="A1312" t="str">
        <x:v>public_0114</x:v>
      </x:c>
      <x:c r="B1312" t="str">
        <x:v>buying</x:v>
      </x:c>
      <x:c r="C1312" t="str">
        <x:v>easy</x:v>
      </x:c>
      <x:c r="D1312" s="17" t="str">
        <x:v>next ask before hit/override</x:v>
      </x:c>
      <x:c r="E1312" s="17" t="str">
        <x:v>other</x:v>
      </x:c>
      <x:c r="F1312" s="17" t="str">
        <x:v>constraint revealed</x:v>
      </x:c>
      <x:c r="G1312" s="17" t="str">
        <x:v>Great go-to shoes with multicolor choice and steady design suitable for all age | Take a natural step forward with a clean look, for sure go with your daily t-shirt and jeans, jackets,casual midi dress,any outfit you have</x:v>
      </x:c>
      <x:c r="H1312" s="17" t="str">
        <x:v>For that, what matters is: Great go-to shoes with multicolor choice and steady design suitable for all age; Take a natural step forward with a clean look, for sure go with your daily t-shirt and jeans, jackets,casual midi dress,any outfit you have.</x:v>
      </x:c>
      <x:c r="I1312" s="17" t="str"/>
    </x:row>
    <x:row r="1313">
      <x:c r="A1313" t="str">
        <x:v>public_0114</x:v>
      </x:c>
      <x:c r="B1313" t="str">
        <x:v>buying</x:v>
      </x:c>
      <x:c r="C1313" t="str">
        <x:v>easy</x:v>
      </x:c>
      <x:c r="D1313" s="17" t="str">
        <x:v>next ask before hit/override</x:v>
      </x:c>
      <x:c r="E1313" s="17" t="str">
        <x:v>(no ask_attribute)</x:v>
      </x:c>
      <x:c r="F1313" s="17" t="str">
        <x:v>agent did not ask</x:v>
      </x:c>
      <x:c r="G1313" s="17" t="str"/>
      <x:c r="H1313" s="17" t="str">
        <x:v>Those options are not quite right yet. Ask me about one specific attribute.</x:v>
      </x:c>
      <x:c r="I1313" s="17" t="str"/>
    </x:row>
    <x:row r="1314">
      <x:c r="A1314" t="str">
        <x:v>public_0115</x:v>
      </x:c>
      <x:c r="B1314" t="str">
        <x:v>browsing</x:v>
      </x:c>
      <x:c r="C1314" t="str">
        <x:v>medium</x:v>
      </x:c>
      <x:c r="D1314" s="17" t="str">
        <x:v>next ask before hit/override</x:v>
      </x:c>
      <x:c r="E1314" s="17" t="str">
        <x:v>category</x:v>
      </x:c>
      <x:c r="F1314" s="17" t="str">
        <x:v>no new constraint</x:v>
      </x:c>
      <x:c r="G1314" s="17" t="str"/>
      <x:c r="H1314" s="17" t="str">
        <x:v>I don't have an additional preference for category.</x:v>
      </x:c>
      <x:c r="I1314" s="17" t="str"/>
    </x:row>
    <x:row r="1315">
      <x:c r="A1315" t="str">
        <x:v>public_0115</x:v>
      </x:c>
      <x:c r="B1315" t="str">
        <x:v>browsing</x:v>
      </x:c>
      <x:c r="C1315" t="str">
        <x:v>medium</x:v>
      </x:c>
      <x:c r="D1315" s="17" t="str">
        <x:v>next ask before hit/override</x:v>
      </x:c>
      <x:c r="E1315" s="17" t="str">
        <x:v>material</x:v>
      </x:c>
      <x:c r="F1315" s="17" t="str">
        <x:v>constraint revealed</x:v>
      </x:c>
      <x:c r="G1315" s="17" t="str">
        <x:v>rayon | 95% Rayon, 5% Spandex</x:v>
      </x:c>
      <x:c r="H1315" s="17" t="str">
        <x:v>For that, what matters is: rayon; 95% Rayon, 5% Spandex.</x:v>
      </x:c>
      <x:c r="I1315" s="17" t="str"/>
    </x:row>
    <x:row r="1316">
      <x:c r="A1316" t="str">
        <x:v>public_0115</x:v>
      </x:c>
      <x:c r="B1316" t="str">
        <x:v>browsing</x:v>
      </x:c>
      <x:c r="C1316" t="str">
        <x:v>medium</x:v>
      </x:c>
      <x:c r="D1316" s="17" t="str">
        <x:v>next ask before hit/override</x:v>
      </x:c>
      <x:c r="E1316" s="17" t="str">
        <x:v>color</x:v>
      </x:c>
      <x:c r="F1316" s="17" t="str">
        <x:v>no new constraint</x:v>
      </x:c>
      <x:c r="G1316" s="17" t="str"/>
      <x:c r="H1316" s="17" t="str">
        <x:v>I don't have an additional preference for color.</x:v>
      </x:c>
      <x:c r="I1316" s="17" t="str"/>
    </x:row>
    <x:row r="1317">
      <x:c r="A1317" t="str">
        <x:v>public_0115</x:v>
      </x:c>
      <x:c r="B1317" t="str">
        <x:v>browsing</x:v>
      </x:c>
      <x:c r="C1317" t="str">
        <x:v>medium</x:v>
      </x:c>
      <x:c r="D1317" s="17" t="str">
        <x:v>next ask before hit/override</x:v>
      </x:c>
      <x:c r="E1317" s="17" t="str">
        <x:v>size</x:v>
      </x:c>
      <x:c r="F1317" s="17" t="str">
        <x:v>no new constraint</x:v>
      </x:c>
      <x:c r="G1317" s="17" t="str"/>
      <x:c r="H1317" s="17" t="str">
        <x:v>I don't have an additional preference for size.</x:v>
      </x:c>
      <x:c r="I1317" s="17" t="str"/>
    </x:row>
    <x:row r="1318">
      <x:c r="A1318" t="str">
        <x:v>public_0115</x:v>
      </x:c>
      <x:c r="B1318" t="str">
        <x:v>browsing</x:v>
      </x:c>
      <x:c r="C1318" t="str">
        <x:v>medium</x:v>
      </x:c>
      <x:c r="D1318" s="17" t="str">
        <x:v>next ask before hit/override</x:v>
      </x:c>
      <x:c r="E1318" s="17" t="str">
        <x:v>style</x:v>
      </x:c>
      <x:c r="F1318" s="17" t="str">
        <x:v>no new constraint</x:v>
      </x:c>
      <x:c r="G1318" s="17" t="str"/>
      <x:c r="H1318" s="17" t="str">
        <x:v>I don't have an additional preference for style.</x:v>
      </x:c>
      <x:c r="I1318" s="17" t="str"/>
    </x:row>
    <x:row r="1319">
      <x:c r="A1319" t="str">
        <x:v>public_0115</x:v>
      </x:c>
      <x:c r="B1319" t="str">
        <x:v>browsing</x:v>
      </x:c>
      <x:c r="C1319" t="str">
        <x:v>medium</x:v>
      </x:c>
      <x:c r="D1319" s="17" t="str">
        <x:v>next ask before hit/override</x:v>
      </x:c>
      <x:c r="E1319" s="17" t="str">
        <x:v>brand</x:v>
      </x:c>
      <x:c r="F1319" s="17" t="str">
        <x:v>no new constraint</x:v>
      </x:c>
      <x:c r="G1319" s="17" t="str"/>
      <x:c r="H1319" s="17" t="str">
        <x:v>I don't have an additional preference for brand.</x:v>
      </x:c>
      <x:c r="I1319" s="17" t="str"/>
    </x:row>
    <x:row r="1320">
      <x:c r="A1320" t="str">
        <x:v>public_0115</x:v>
      </x:c>
      <x:c r="B1320" t="str">
        <x:v>browsing</x:v>
      </x:c>
      <x:c r="C1320" t="str">
        <x:v>medium</x:v>
      </x:c>
      <x:c r="D1320" s="17" t="str">
        <x:v>next ask before hit/override</x:v>
      </x:c>
      <x:c r="E1320" s="17" t="str">
        <x:v>budget</x:v>
      </x:c>
      <x:c r="F1320" s="17" t="str">
        <x:v>no new constraint</x:v>
      </x:c>
      <x:c r="G1320" s="17" t="str"/>
      <x:c r="H1320" s="17" t="str">
        <x:v>I don't have an additional preference for budget.</x:v>
      </x:c>
      <x:c r="I1320" s="17" t="str"/>
    </x:row>
    <x:row r="1321">
      <x:c r="A1321" t="str">
        <x:v>public_0115</x:v>
      </x:c>
      <x:c r="B1321" t="str">
        <x:v>browsing</x:v>
      </x:c>
      <x:c r="C1321" t="str">
        <x:v>medium</x:v>
      </x:c>
      <x:c r="D1321" s="17" t="str">
        <x:v>next ask before hit/override</x:v>
      </x:c>
      <x:c r="E1321" s="17" t="str">
        <x:v>feature</x:v>
      </x:c>
      <x:c r="F1321" s="17" t="str">
        <x:v>constraint revealed</x:v>
      </x:c>
      <x:c r="G1321" s="17" t="str">
        <x:v>Imported | Machine Wash</x:v>
      </x:c>
      <x:c r="H1321" s="17" t="str">
        <x:v>For that, what matters is: Imported; Machine Wash.</x:v>
      </x:c>
      <x:c r="I1321" s="17" t="str"/>
    </x:row>
    <x:row r="1322">
      <x:c r="A1322" t="str">
        <x:v>public_0115</x:v>
      </x:c>
      <x:c r="B1322" t="str">
        <x:v>browsing</x:v>
      </x:c>
      <x:c r="C1322" t="str">
        <x:v>medium</x:v>
      </x:c>
      <x:c r="D1322" s="17" t="str">
        <x:v>next ask before hit/override</x:v>
      </x:c>
      <x:c r="E1322" s="17" t="str">
        <x:v>use_case</x:v>
      </x:c>
      <x:c r="F1322" s="17" t="str">
        <x:v>no new constraint</x:v>
      </x:c>
      <x:c r="G1322" s="17" t="str"/>
      <x:c r="H1322" s="17" t="str">
        <x:v>I don't have an additional preference for use_case.</x:v>
      </x:c>
      <x:c r="I1322" s="17" t="str"/>
    </x:row>
    <x:row r="1323">
      <x:c r="A1323" t="str">
        <x:v>public_0115</x:v>
      </x:c>
      <x:c r="B1323" t="str">
        <x:v>browsing</x:v>
      </x:c>
      <x:c r="C1323" t="str">
        <x:v>medium</x:v>
      </x:c>
      <x:c r="D1323" s="17" t="str">
        <x:v>next ask before hit/override</x:v>
      </x:c>
      <x:c r="E1323" s="17" t="str">
        <x:v>other</x:v>
      </x:c>
      <x:c r="F1323" s="17" t="str">
        <x:v>constraint revealed</x:v>
      </x:c>
      <x:c r="G1323" s="17" t="str">
        <x:v>rayon | 95% Rayon, 5% Spandex</x:v>
      </x:c>
      <x:c r="H1323" s="17" t="str">
        <x:v>For that, what matters is: rayon; 95% Rayon, 5% Spandex.</x:v>
      </x:c>
      <x:c r="I1323" s="17" t="str"/>
    </x:row>
    <x:row r="1324">
      <x:c r="A1324" t="str">
        <x:v>public_0115</x:v>
      </x:c>
      <x:c r="B1324" t="str">
        <x:v>browsing</x:v>
      </x:c>
      <x:c r="C1324" t="str">
        <x:v>medium</x:v>
      </x:c>
      <x:c r="D1324" s="17" t="str">
        <x:v>next ask before hit/override</x:v>
      </x:c>
      <x:c r="E1324" s="17" t="str">
        <x:v>(no ask_attribute)</x:v>
      </x:c>
      <x:c r="F1324" s="17" t="str">
        <x:v>agent did not ask</x:v>
      </x:c>
      <x:c r="G1324" s="17" t="str"/>
      <x:c r="H1324" s="17" t="str">
        <x:v>Those options are not quite right yet. Ask me about one specific attribute.</x:v>
      </x:c>
      <x:c r="I1324" s="17" t="str"/>
    </x:row>
    <x:row r="1325">
      <x:c r="A1325" t="str">
        <x:v>public_0116</x:v>
      </x:c>
      <x:c r="B1325" t="str">
        <x:v>buying</x:v>
      </x:c>
      <x:c r="C1325" t="str">
        <x:v>easy</x:v>
      </x:c>
      <x:c r="D1325" s="17" t="str">
        <x:v>next ask before hit/override</x:v>
      </x:c>
      <x:c r="E1325" s="17" t="str">
        <x:v>category</x:v>
      </x:c>
      <x:c r="F1325" s="17" t="str">
        <x:v>no new constraint</x:v>
      </x:c>
      <x:c r="G1325" s="17" t="str"/>
      <x:c r="H1325" s="17" t="str">
        <x:v>I don't have an additional preference for category.</x:v>
      </x:c>
      <x:c r="I1325" s="17" t="str"/>
    </x:row>
    <x:row r="1326">
      <x:c r="A1326" t="str">
        <x:v>public_0116</x:v>
      </x:c>
      <x:c r="B1326" t="str">
        <x:v>buying</x:v>
      </x:c>
      <x:c r="C1326" t="str">
        <x:v>easy</x:v>
      </x:c>
      <x:c r="D1326" s="17" t="str">
        <x:v>next ask before hit/override</x:v>
      </x:c>
      <x:c r="E1326" s="17" t="str">
        <x:v>material</x:v>
      </x:c>
      <x:c r="F1326" s="17" t="str">
        <x:v>no new constraint</x:v>
      </x:c>
      <x:c r="G1326" s="17" t="str"/>
      <x:c r="H1326" s="17" t="str">
        <x:v>I don't have an additional preference for material.</x:v>
      </x:c>
      <x:c r="I1326" s="17" t="str"/>
    </x:row>
    <x:row r="1327">
      <x:c r="A1327" t="str">
        <x:v>public_0116</x:v>
      </x:c>
      <x:c r="B1327" t="str">
        <x:v>buying</x:v>
      </x:c>
      <x:c r="C1327" t="str">
        <x:v>easy</x:v>
      </x:c>
      <x:c r="D1327" s="17" t="str">
        <x:v>next ask before hit/override</x:v>
      </x:c>
      <x:c r="E1327" s="17" t="str">
        <x:v>color</x:v>
      </x:c>
      <x:c r="F1327" s="17" t="str">
        <x:v>no new constraint</x:v>
      </x:c>
      <x:c r="G1327" s="17" t="str"/>
      <x:c r="H1327" s="17" t="str">
        <x:v>I don't have an additional preference for color.</x:v>
      </x:c>
      <x:c r="I1327" s="17" t="str"/>
    </x:row>
    <x:row r="1328">
      <x:c r="A1328" t="str">
        <x:v>public_0116</x:v>
      </x:c>
      <x:c r="B1328" t="str">
        <x:v>buying</x:v>
      </x:c>
      <x:c r="C1328" t="str">
        <x:v>easy</x:v>
      </x:c>
      <x:c r="D1328" s="17" t="str">
        <x:v>next ask before hit/override</x:v>
      </x:c>
      <x:c r="E1328" s="17" t="str">
        <x:v>size</x:v>
      </x:c>
      <x:c r="F1328" s="17" t="str">
        <x:v>no new constraint</x:v>
      </x:c>
      <x:c r="G1328" s="17" t="str"/>
      <x:c r="H1328" s="17" t="str">
        <x:v>I don't have an additional preference for size.</x:v>
      </x:c>
      <x:c r="I1328" s="17" t="str"/>
    </x:row>
    <x:row r="1329">
      <x:c r="A1329" t="str">
        <x:v>public_0116</x:v>
      </x:c>
      <x:c r="B1329" t="str">
        <x:v>buying</x:v>
      </x:c>
      <x:c r="C1329" t="str">
        <x:v>easy</x:v>
      </x:c>
      <x:c r="D1329" s="17" t="str">
        <x:v>next ask before hit/override</x:v>
      </x:c>
      <x:c r="E1329" s="17" t="str">
        <x:v>style</x:v>
      </x:c>
      <x:c r="F1329" s="17" t="str">
        <x:v>no new constraint</x:v>
      </x:c>
      <x:c r="G1329" s="17" t="str"/>
      <x:c r="H1329" s="17" t="str">
        <x:v>I don't have an additional preference for style.</x:v>
      </x:c>
      <x:c r="I1329" s="17" t="str"/>
    </x:row>
    <x:row r="1330">
      <x:c r="A1330" t="str">
        <x:v>public_0116</x:v>
      </x:c>
      <x:c r="B1330" t="str">
        <x:v>buying</x:v>
      </x:c>
      <x:c r="C1330" t="str">
        <x:v>easy</x:v>
      </x:c>
      <x:c r="D1330" s="17" t="str">
        <x:v>next ask before hit/override</x:v>
      </x:c>
      <x:c r="E1330" s="17" t="str">
        <x:v>brand</x:v>
      </x:c>
      <x:c r="F1330" s="17" t="str">
        <x:v>no new constraint</x:v>
      </x:c>
      <x:c r="G1330" s="17" t="str"/>
      <x:c r="H1330" s="17" t="str">
        <x:v>I don't have an additional preference for brand.</x:v>
      </x:c>
      <x:c r="I1330" s="17" t="str"/>
    </x:row>
    <x:row r="1331">
      <x:c r="A1331" t="str">
        <x:v>public_0116</x:v>
      </x:c>
      <x:c r="B1331" t="str">
        <x:v>buying</x:v>
      </x:c>
      <x:c r="C1331" t="str">
        <x:v>easy</x:v>
      </x:c>
      <x:c r="D1331" s="17" t="str">
        <x:v>next ask before hit/override</x:v>
      </x:c>
      <x:c r="E1331" s="17" t="str">
        <x:v>budget</x:v>
      </x:c>
      <x:c r="F1331" s="17" t="str">
        <x:v>no new constraint</x:v>
      </x:c>
      <x:c r="G1331" s="17" t="str"/>
      <x:c r="H1331" s="17" t="str">
        <x:v>I don't have an additional preference for budget.</x:v>
      </x:c>
      <x:c r="I1331" s="17" t="str"/>
    </x:row>
    <x:row r="1332">
      <x:c r="A1332" t="str">
        <x:v>public_0116</x:v>
      </x:c>
      <x:c r="B1332" t="str">
        <x:v>buying</x:v>
      </x:c>
      <x:c r="C1332" t="str">
        <x:v>easy</x:v>
      </x:c>
      <x:c r="D1332" s="17" t="str">
        <x:v>next ask before hit/override</x:v>
      </x:c>
      <x:c r="E1332" s="17" t="str">
        <x:v>feature</x:v>
      </x:c>
      <x:c r="F1332" s="17" t="str">
        <x:v>constraint revealed</x:v>
      </x:c>
      <x:c r="G1332" s="17" t="str">
        <x:v>Rubber sole | Cushioned Insole for added comfort</x:v>
      </x:c>
      <x:c r="H1332" s="17" t="str">
        <x:v>For that, what matters is: Rubber sole; Cushioned Insole for added comfort.</x:v>
      </x:c>
      <x:c r="I1332" s="17" t="str"/>
    </x:row>
    <x:row r="1333">
      <x:c r="A1333" t="str">
        <x:v>public_0116</x:v>
      </x:c>
      <x:c r="B1333" t="str">
        <x:v>buying</x:v>
      </x:c>
      <x:c r="C1333" t="str">
        <x:v>easy</x:v>
      </x:c>
      <x:c r="D1333" s="17" t="str">
        <x:v>next ask before hit/override</x:v>
      </x:c>
      <x:c r="E1333" s="17" t="str">
        <x:v>use_case</x:v>
      </x:c>
      <x:c r="F1333" s="17" t="str">
        <x:v>no new constraint</x:v>
      </x:c>
      <x:c r="G1333" s="17" t="str"/>
      <x:c r="H1333" s="17" t="str">
        <x:v>I don't have an additional preference for use_case.</x:v>
      </x:c>
      <x:c r="I1333" s="17" t="str"/>
    </x:row>
    <x:row r="1334">
      <x:c r="A1334" t="str">
        <x:v>public_0116</x:v>
      </x:c>
      <x:c r="B1334" t="str">
        <x:v>buying</x:v>
      </x:c>
      <x:c r="C1334" t="str">
        <x:v>easy</x:v>
      </x:c>
      <x:c r="D1334" s="17" t="str">
        <x:v>next ask before hit/override</x:v>
      </x:c>
      <x:c r="E1334" s="17" t="str">
        <x:v>other</x:v>
      </x:c>
      <x:c r="F1334" s="17" t="str">
        <x:v>constraint revealed</x:v>
      </x:c>
      <x:c r="G1334" s="17" t="str">
        <x:v>Rubber sole | Cushioned Insole for added comfort</x:v>
      </x:c>
      <x:c r="H1334" s="17" t="str">
        <x:v>For that, what matters is: Rubber sole; Cushioned Insole for added comfort.</x:v>
      </x:c>
      <x:c r="I1334" s="17" t="str"/>
    </x:row>
    <x:row r="1335">
      <x:c r="A1335" t="str">
        <x:v>public_0116</x:v>
      </x:c>
      <x:c r="B1335" t="str">
        <x:v>buying</x:v>
      </x:c>
      <x:c r="C1335" t="str">
        <x:v>easy</x:v>
      </x:c>
      <x:c r="D1335" s="17" t="str">
        <x:v>next ask before hit/override</x:v>
      </x:c>
      <x:c r="E1335" s="17" t="str">
        <x:v>(no ask_attribute)</x:v>
      </x:c>
      <x:c r="F1335" s="17" t="str">
        <x:v>agent did not ask</x:v>
      </x:c>
      <x:c r="G1335" s="17" t="str"/>
      <x:c r="H1335" s="17" t="str">
        <x:v>Those options are not quite right yet. Ask me about one specific attribute.</x:v>
      </x:c>
      <x:c r="I1335" s="17" t="str"/>
    </x:row>
    <x:row r="1336">
      <x:c r="A1336" t="str">
        <x:v>public_0117</x:v>
      </x:c>
      <x:c r="B1336" t="str">
        <x:v>buying</x:v>
      </x:c>
      <x:c r="C1336" t="str">
        <x:v>easy</x:v>
      </x:c>
      <x:c r="D1336" s="17" t="str">
        <x:v>next ask before hit/override</x:v>
      </x:c>
      <x:c r="E1336" s="17" t="str">
        <x:v>category</x:v>
      </x:c>
      <x:c r="F1336" s="17" t="str">
        <x:v>no new constraint</x:v>
      </x:c>
      <x:c r="G1336" s="17" t="str"/>
      <x:c r="H1336" s="17" t="str">
        <x:v>I don't have an additional preference for category.</x:v>
      </x:c>
      <x:c r="I1336" s="17" t="str"/>
    </x:row>
    <x:row r="1337">
      <x:c r="A1337" t="str">
        <x:v>public_0117</x:v>
      </x:c>
      <x:c r="B1337" t="str">
        <x:v>buying</x:v>
      </x:c>
      <x:c r="C1337" t="str">
        <x:v>easy</x:v>
      </x:c>
      <x:c r="D1337" s="17" t="str">
        <x:v>next ask before hit/override</x:v>
      </x:c>
      <x:c r="E1337" s="17" t="str">
        <x:v>material</x:v>
      </x:c>
      <x:c r="F1337" s="17" t="str">
        <x:v>no new constraint</x:v>
      </x:c>
      <x:c r="G1337" s="17" t="str"/>
      <x:c r="H1337" s="17" t="str">
        <x:v>I don't have an additional preference for material.</x:v>
      </x:c>
      <x:c r="I1337" s="17" t="str"/>
    </x:row>
    <x:row r="1338">
      <x:c r="A1338" t="str">
        <x:v>public_0117</x:v>
      </x:c>
      <x:c r="B1338" t="str">
        <x:v>buying</x:v>
      </x:c>
      <x:c r="C1338" t="str">
        <x:v>easy</x:v>
      </x:c>
      <x:c r="D1338" s="17" t="str">
        <x:v>next ask before hit/override</x:v>
      </x:c>
      <x:c r="E1338" s="17" t="str">
        <x:v>color</x:v>
      </x:c>
      <x:c r="F1338" s="17" t="str">
        <x:v>constraint revealed</x:v>
      </x:c>
      <x:c r="G1338" s="17" t="str">
        <x:v>Terrycloth-covered EVA midsole absorbs shock, helping reduce stress on feet, ankles, and knees</x:v>
      </x:c>
      <x:c r="H1338" s="17" t="str">
        <x:v>For that, what matters is: Terrycloth-covered EVA midsole absorbs shock, helping reduce stress on feet, ankles, and knees.</x:v>
      </x:c>
      <x:c r="I1338" s="17" t="str"/>
    </x:row>
    <x:row r="1339">
      <x:c r="A1339" t="str">
        <x:v>public_0117</x:v>
      </x:c>
      <x:c r="B1339" t="str">
        <x:v>buying</x:v>
      </x:c>
      <x:c r="C1339" t="str">
        <x:v>easy</x:v>
      </x:c>
      <x:c r="D1339" s="17" t="str">
        <x:v>next ask before hit/override</x:v>
      </x:c>
      <x:c r="E1339" s="17" t="str">
        <x:v>size</x:v>
      </x:c>
      <x:c r="F1339" s="17" t="str">
        <x:v>no new constraint</x:v>
      </x:c>
      <x:c r="G1339" s="17" t="str"/>
      <x:c r="H1339" s="17" t="str">
        <x:v>I don't have an additional preference for size.</x:v>
      </x:c>
      <x:c r="I1339" s="17" t="str"/>
    </x:row>
    <x:row r="1340">
      <x:c r="A1340" t="str">
        <x:v>public_0117</x:v>
      </x:c>
      <x:c r="B1340" t="str">
        <x:v>buying</x:v>
      </x:c>
      <x:c r="C1340" t="str">
        <x:v>easy</x:v>
      </x:c>
      <x:c r="D1340" s="17" t="str">
        <x:v>next ask before hit/override</x:v>
      </x:c>
      <x:c r="E1340" s="17" t="str">
        <x:v>style</x:v>
      </x:c>
      <x:c r="F1340" s="17" t="str">
        <x:v>constraint revealed</x:v>
      </x:c>
      <x:c r="G1340" s="17" t="str">
        <x:v>Mule-style slipper, adjustable strap with hook-and-loop closure, silvertone button detail</x:v>
      </x:c>
      <x:c r="H1340" s="17" t="str">
        <x:v>For that, what matters is: Mule-style slipper, adjustable strap with hook-and-loop closure, silvertone button detail.</x:v>
      </x:c>
      <x:c r="I1340" s="17" t="str"/>
    </x:row>
    <x:row r="1341">
      <x:c r="A1341" t="str">
        <x:v>public_0117</x:v>
      </x:c>
      <x:c r="B1341" t="str">
        <x:v>buying</x:v>
      </x:c>
      <x:c r="C1341" t="str">
        <x:v>easy</x:v>
      </x:c>
      <x:c r="D1341" s="17" t="str">
        <x:v>next ask before hit/override</x:v>
      </x:c>
      <x:c r="E1341" s="17" t="str">
        <x:v>brand</x:v>
      </x:c>
      <x:c r="F1341" s="17" t="str">
        <x:v>no new constraint</x:v>
      </x:c>
      <x:c r="G1341" s="17" t="str"/>
      <x:c r="H1341" s="17" t="str">
        <x:v>I don't have an additional preference for brand.</x:v>
      </x:c>
      <x:c r="I1341" s="17" t="str"/>
    </x:row>
    <x:row r="1342">
      <x:c r="A1342" t="str">
        <x:v>public_0117</x:v>
      </x:c>
      <x:c r="B1342" t="str">
        <x:v>buying</x:v>
      </x:c>
      <x:c r="C1342" t="str">
        <x:v>easy</x:v>
      </x:c>
      <x:c r="D1342" s="17" t="str">
        <x:v>next ask before hit/override</x:v>
      </x:c>
      <x:c r="E1342" s="17" t="str">
        <x:v>budget</x:v>
      </x:c>
      <x:c r="F1342" s="17" t="str">
        <x:v>no new constraint</x:v>
      </x:c>
      <x:c r="G1342" s="17" t="str"/>
      <x:c r="H1342" s="17" t="str">
        <x:v>I don't have an additional preference for budget.</x:v>
      </x:c>
      <x:c r="I1342" s="17" t="str"/>
    </x:row>
    <x:row r="1343">
      <x:c r="A1343" t="str">
        <x:v>public_0117</x:v>
      </x:c>
      <x:c r="B1343" t="str">
        <x:v>buying</x:v>
      </x:c>
      <x:c r="C1343" t="str">
        <x:v>easy</x:v>
      </x:c>
      <x:c r="D1343" s="17" t="str">
        <x:v>next ask before hit/override</x:v>
      </x:c>
      <x:c r="E1343" s="17" t="str">
        <x:v>feature</x:v>
      </x:c>
      <x:c r="F1343" s="17" t="str">
        <x:v>constraint revealed</x:v>
      </x:c>
      <x:c r="G1343" s="17" t="str">
        <x:v>Podiatrist-designed, biomechanical orthotic footbed with Orthaheel technology and a deep heel cup helps stabilize, support, and realign feet back to their natural position while we</x:v>
      </x:c>
      <x:c r="H1343" s="17" t="str">
        <x:v>For that, what matters is: Podiatrist-designed, biomechanical orthotic footbed with Orthaheel technology and a deep heel cup helps stabilize, support, and realign feet back to their natural position while we.</x:v>
      </x:c>
      <x:c r="I1343" s="17" t="str"/>
    </x:row>
    <x:row r="1344">
      <x:c r="A1344" t="str">
        <x:v>public_0117</x:v>
      </x:c>
      <x:c r="B1344" t="str">
        <x:v>buying</x:v>
      </x:c>
      <x:c r="C1344" t="str">
        <x:v>easy</x:v>
      </x:c>
      <x:c r="D1344" s="17" t="str">
        <x:v>next ask before hit/override</x:v>
      </x:c>
      <x:c r="E1344" s="17" t="str">
        <x:v>use_case</x:v>
      </x:c>
      <x:c r="F1344" s="17" t="str">
        <x:v>no new constraint</x:v>
      </x:c>
      <x:c r="G1344" s="17" t="str"/>
      <x:c r="H1344" s="17" t="str">
        <x:v>I don't have an additional preference for use_case.</x:v>
      </x:c>
      <x:c r="I1344" s="17" t="str"/>
    </x:row>
    <x:row r="1345">
      <x:c r="A1345" t="str">
        <x:v>public_0117</x:v>
      </x:c>
      <x:c r="B1345" t="str">
        <x:v>buying</x:v>
      </x:c>
      <x:c r="C1345" t="str">
        <x:v>easy</x:v>
      </x:c>
      <x:c r="D1345" s="17" t="str">
        <x:v>next ask before hit/override</x:v>
      </x:c>
      <x:c r="E1345" s="17" t="str">
        <x:v>other</x:v>
      </x:c>
      <x:c r="F1345" s="17" t="str">
        <x:v>constraint revealed</x:v>
      </x:c>
      <x:c r="G1345" s="17" t="str">
        <x:v>Mule-style slipper, adjustable strap with hook-and-loop closure, silvertone button detail | Terrycloth-covered EVA midsole absorbs shock, helping reduce stress on feet, ankles, and knees</x:v>
      </x:c>
      <x:c r="H1345" s="17" t="str">
        <x:v>For that, what matters is: Mule-style slipper, adjustable strap with hook-and-loop closure, silvertone button detail; Terrycloth-covered EVA midsole absorbs shock, helping reduce stress on feet, ankles, and knees.</x:v>
      </x:c>
      <x:c r="I1345" s="17" t="str"/>
    </x:row>
    <x:row r="1346">
      <x:c r="A1346" t="str">
        <x:v>public_0117</x:v>
      </x:c>
      <x:c r="B1346" t="str">
        <x:v>buying</x:v>
      </x:c>
      <x:c r="C1346" t="str">
        <x:v>easy</x:v>
      </x:c>
      <x:c r="D1346" s="17" t="str">
        <x:v>next ask before hit/override</x:v>
      </x:c>
      <x:c r="E1346" s="17" t="str">
        <x:v>(no ask_attribute)</x:v>
      </x:c>
      <x:c r="F1346" s="17" t="str">
        <x:v>agent did not ask</x:v>
      </x:c>
      <x:c r="G1346" s="17" t="str"/>
      <x:c r="H1346" s="17" t="str">
        <x:v>Those options are not quite right yet. Ask me about one specific attribute.</x:v>
      </x:c>
      <x:c r="I1346" s="17" t="str"/>
    </x:row>
    <x:row r="1347">
      <x:c r="A1347" t="str">
        <x:v>public_0118</x:v>
      </x:c>
      <x:c r="B1347" t="str">
        <x:v>buying</x:v>
      </x:c>
      <x:c r="C1347" t="str">
        <x:v>easy</x:v>
      </x:c>
      <x:c r="D1347" s="17" t="str">
        <x:v>next ask before hit/override</x:v>
      </x:c>
      <x:c r="E1347" s="17" t="str">
        <x:v>category</x:v>
      </x:c>
      <x:c r="F1347" s="17" t="str">
        <x:v>no new constraint</x:v>
      </x:c>
      <x:c r="G1347" s="17" t="str"/>
      <x:c r="H1347" s="17" t="str">
        <x:v>I don't have an additional preference for category.</x:v>
      </x:c>
      <x:c r="I1347" s="17" t="str"/>
    </x:row>
    <x:row r="1348">
      <x:c r="A1348" t="str">
        <x:v>public_0118</x:v>
      </x:c>
      <x:c r="B1348" t="str">
        <x:v>buying</x:v>
      </x:c>
      <x:c r="C1348" t="str">
        <x:v>easy</x:v>
      </x:c>
      <x:c r="D1348" s="17" t="str">
        <x:v>next ask before hit/override</x:v>
      </x:c>
      <x:c r="E1348" s="17" t="str">
        <x:v>material</x:v>
      </x:c>
      <x:c r="F1348" s="17" t="str">
        <x:v>constraint revealed</x:v>
      </x:c>
      <x:c r="G1348" s="17" t="str">
        <x:v>Nylon,Spandex</x:v>
      </x:c>
      <x:c r="H1348" s="17" t="str">
        <x:v>For that, what matters is: Nylon,Spandex.</x:v>
      </x:c>
      <x:c r="I1348" s="17" t="str"/>
    </x:row>
    <x:row r="1349">
      <x:c r="A1349" t="str">
        <x:v>public_0118</x:v>
      </x:c>
      <x:c r="B1349" t="str">
        <x:v>buying</x:v>
      </x:c>
      <x:c r="C1349" t="str">
        <x:v>easy</x:v>
      </x:c>
      <x:c r="D1349" s="17" t="str">
        <x:v>next ask before hit/override</x:v>
      </x:c>
      <x:c r="E1349" s="17" t="str">
        <x:v>color</x:v>
      </x:c>
      <x:c r="F1349" s="17" t="str">
        <x:v>no new constraint</x:v>
      </x:c>
      <x:c r="G1349" s="17" t="str"/>
      <x:c r="H1349" s="17" t="str">
        <x:v>I don't have an additional preference for color.</x:v>
      </x:c>
      <x:c r="I1349" s="17" t="str"/>
    </x:row>
    <x:row r="1350">
      <x:c r="A1350" t="str">
        <x:v>public_0118</x:v>
      </x:c>
      <x:c r="B1350" t="str">
        <x:v>buying</x:v>
      </x:c>
      <x:c r="C1350" t="str">
        <x:v>easy</x:v>
      </x:c>
      <x:c r="D1350" s="17" t="str">
        <x:v>next ask before hit/override</x:v>
      </x:c>
      <x:c r="E1350" s="17" t="str">
        <x:v>size</x:v>
      </x:c>
      <x:c r="F1350" s="17" t="str">
        <x:v>no new constraint</x:v>
      </x:c>
      <x:c r="G1350" s="17" t="str"/>
      <x:c r="H1350" s="17" t="str">
        <x:v>I don't have an additional preference for size.</x:v>
      </x:c>
      <x:c r="I1350" s="17" t="str"/>
    </x:row>
    <x:row r="1351">
      <x:c r="A1351" t="str">
        <x:v>public_0118</x:v>
      </x:c>
      <x:c r="B1351" t="str">
        <x:v>buying</x:v>
      </x:c>
      <x:c r="C1351" t="str">
        <x:v>easy</x:v>
      </x:c>
      <x:c r="D1351" s="17" t="str">
        <x:v>next ask before hit/override</x:v>
      </x:c>
      <x:c r="E1351" s="17" t="str">
        <x:v>style</x:v>
      </x:c>
      <x:c r="F1351" s="17" t="str">
        <x:v>no new constraint</x:v>
      </x:c>
      <x:c r="G1351" s="17" t="str"/>
      <x:c r="H1351" s="17" t="str">
        <x:v>I don't have an additional preference for style.</x:v>
      </x:c>
      <x:c r="I1351" s="17" t="str"/>
    </x:row>
    <x:row r="1352">
      <x:c r="A1352" t="str">
        <x:v>public_0118</x:v>
      </x:c>
      <x:c r="B1352" t="str">
        <x:v>buying</x:v>
      </x:c>
      <x:c r="C1352" t="str">
        <x:v>easy</x:v>
      </x:c>
      <x:c r="D1352" s="17" t="str">
        <x:v>next ask before hit/override</x:v>
      </x:c>
      <x:c r="E1352" s="17" t="str">
        <x:v>brand</x:v>
      </x:c>
      <x:c r="F1352" s="17" t="str">
        <x:v>no new constraint</x:v>
      </x:c>
      <x:c r="G1352" s="17" t="str"/>
      <x:c r="H1352" s="17" t="str">
        <x:v>I don't have an additional preference for brand.</x:v>
      </x:c>
      <x:c r="I1352" s="17" t="str"/>
    </x:row>
    <x:row r="1353">
      <x:c r="A1353" t="str">
        <x:v>public_0118</x:v>
      </x:c>
      <x:c r="B1353" t="str">
        <x:v>buying</x:v>
      </x:c>
      <x:c r="C1353" t="str">
        <x:v>easy</x:v>
      </x:c>
      <x:c r="D1353" s="17" t="str">
        <x:v>next ask before hit/override</x:v>
      </x:c>
      <x:c r="E1353" s="17" t="str">
        <x:v>budget</x:v>
      </x:c>
      <x:c r="F1353" s="17" t="str">
        <x:v>no new constraint</x:v>
      </x:c>
      <x:c r="G1353" s="17" t="str"/>
      <x:c r="H1353" s="17" t="str">
        <x:v>I don't have an additional preference for budget.</x:v>
      </x:c>
      <x:c r="I1353" s="17" t="str"/>
    </x:row>
    <x:row r="1354">
      <x:c r="A1354" t="str">
        <x:v>public_0118</x:v>
      </x:c>
      <x:c r="B1354" t="str">
        <x:v>buying</x:v>
      </x:c>
      <x:c r="C1354" t="str">
        <x:v>easy</x:v>
      </x:c>
      <x:c r="D1354" s="17" t="str">
        <x:v>next ask before hit/override</x:v>
      </x:c>
      <x:c r="E1354" s="17" t="str">
        <x:v>feature</x:v>
      </x:c>
      <x:c r="F1354" s="17" t="str">
        <x:v>constraint revealed</x:v>
      </x:c>
      <x:c r="G1354" s="17" t="str">
        <x:v>Imported | Straps closure</x:v>
      </x:c>
      <x:c r="H1354" s="17" t="str">
        <x:v>For that, what matters is: Imported; Straps closure.</x:v>
      </x:c>
      <x:c r="I1354" s="17" t="str"/>
    </x:row>
    <x:row r="1355">
      <x:c r="A1355" t="str">
        <x:v>public_0118</x:v>
      </x:c>
      <x:c r="B1355" t="str">
        <x:v>buying</x:v>
      </x:c>
      <x:c r="C1355" t="str">
        <x:v>easy</x:v>
      </x:c>
      <x:c r="D1355" s="17" t="str">
        <x:v>next ask before hit/override</x:v>
      </x:c>
      <x:c r="E1355" s="17" t="str">
        <x:v>use_case</x:v>
      </x:c>
      <x:c r="F1355" s="17" t="str">
        <x:v>no new constraint</x:v>
      </x:c>
      <x:c r="G1355" s="17" t="str"/>
      <x:c r="H1355" s="17" t="str">
        <x:v>I don't have an additional preference for use_case.</x:v>
      </x:c>
      <x:c r="I1355" s="17" t="str"/>
    </x:row>
    <x:row r="1356">
      <x:c r="A1356" t="str">
        <x:v>public_0118</x:v>
      </x:c>
      <x:c r="B1356" t="str">
        <x:v>buying</x:v>
      </x:c>
      <x:c r="C1356" t="str">
        <x:v>easy</x:v>
      </x:c>
      <x:c r="D1356" s="17" t="str">
        <x:v>next ask before hit/override</x:v>
      </x:c>
      <x:c r="E1356" s="17" t="str">
        <x:v>other</x:v>
      </x:c>
      <x:c r="F1356" s="17" t="str">
        <x:v>constraint revealed</x:v>
      </x:c>
      <x:c r="G1356" s="17" t="str">
        <x:v>Nylon,Spandex | Imported</x:v>
      </x:c>
      <x:c r="H1356" s="17" t="str">
        <x:v>For that, what matters is: Nylon,Spandex; Imported.</x:v>
      </x:c>
      <x:c r="I1356" s="17" t="str"/>
    </x:row>
    <x:row r="1357">
      <x:c r="A1357" t="str">
        <x:v>public_0118</x:v>
      </x:c>
      <x:c r="B1357" t="str">
        <x:v>buying</x:v>
      </x:c>
      <x:c r="C1357" t="str">
        <x:v>easy</x:v>
      </x:c>
      <x:c r="D1357" s="17" t="str">
        <x:v>next ask before hit/override</x:v>
      </x:c>
      <x:c r="E1357" s="17" t="str">
        <x:v>(no ask_attribute)</x:v>
      </x:c>
      <x:c r="F1357" s="17" t="str">
        <x:v>agent did not ask</x:v>
      </x:c>
      <x:c r="G1357" s="17" t="str"/>
      <x:c r="H1357" s="17" t="str">
        <x:v>Those options are not quite right yet. Ask me about one specific attribute.</x:v>
      </x:c>
      <x:c r="I1357" s="17" t="str"/>
    </x:row>
    <x:row r="1358">
      <x:c r="A1358" t="str">
        <x:v>public_0119</x:v>
      </x:c>
      <x:c r="B1358" t="str">
        <x:v>buying</x:v>
      </x:c>
      <x:c r="C1358" t="str">
        <x:v>easy</x:v>
      </x:c>
      <x:c r="D1358" s="17" t="str">
        <x:v>next ask before hit/override</x:v>
      </x:c>
      <x:c r="E1358" s="17" t="str">
        <x:v>category</x:v>
      </x:c>
      <x:c r="F1358" s="17" t="str">
        <x:v>no new constraint</x:v>
      </x:c>
      <x:c r="G1358" s="17" t="str"/>
      <x:c r="H1358" s="17" t="str">
        <x:v>I don't have an additional preference for category.</x:v>
      </x:c>
      <x:c r="I1358" s="17" t="str"/>
    </x:row>
    <x:row r="1359">
      <x:c r="A1359" t="str">
        <x:v>public_0119</x:v>
      </x:c>
      <x:c r="B1359" t="str">
        <x:v>buying</x:v>
      </x:c>
      <x:c r="C1359" t="str">
        <x:v>easy</x:v>
      </x:c>
      <x:c r="D1359" s="17" t="str">
        <x:v>next ask before hit/override</x:v>
      </x:c>
      <x:c r="E1359" s="17" t="str">
        <x:v>material</x:v>
      </x:c>
      <x:c r="F1359" s="17" t="str">
        <x:v>no new constraint</x:v>
      </x:c>
      <x:c r="G1359" s="17" t="str"/>
      <x:c r="H1359" s="17" t="str">
        <x:v>I don't have an additional preference for material.</x:v>
      </x:c>
      <x:c r="I1359" s="17" t="str"/>
    </x:row>
    <x:row r="1360">
      <x:c r="A1360" t="str">
        <x:v>public_0119</x:v>
      </x:c>
      <x:c r="B1360" t="str">
        <x:v>buying</x:v>
      </x:c>
      <x:c r="C1360" t="str">
        <x:v>easy</x:v>
      </x:c>
      <x:c r="D1360" s="17" t="str">
        <x:v>next ask before hit/override</x:v>
      </x:c>
      <x:c r="E1360" s="17" t="str">
        <x:v>color</x:v>
      </x:c>
      <x:c r="F1360" s="17" t="str">
        <x:v>no new constraint</x:v>
      </x:c>
      <x:c r="G1360" s="17" t="str"/>
      <x:c r="H1360" s="17" t="str">
        <x:v>I don't have an additional preference for color.</x:v>
      </x:c>
      <x:c r="I1360" s="17" t="str"/>
    </x:row>
    <x:row r="1361">
      <x:c r="A1361" t="str">
        <x:v>public_0119</x:v>
      </x:c>
      <x:c r="B1361" t="str">
        <x:v>buying</x:v>
      </x:c>
      <x:c r="C1361" t="str">
        <x:v>easy</x:v>
      </x:c>
      <x:c r="D1361" s="17" t="str">
        <x:v>next ask before hit/override</x:v>
      </x:c>
      <x:c r="E1361" s="17" t="str">
        <x:v>size</x:v>
      </x:c>
      <x:c r="F1361" s="17" t="str">
        <x:v>constraint revealed</x:v>
      </x:c>
      <x:c r="G1361" s="17" t="str">
        <x:v>Size: &lt;1&gt;Big handbag:26*15*18cm/10.2"*7"*5.9"(Length*Width*Height), handle height:4.3" &lt;2&gt;Mini handbag :6.7’’(L) x 3.9’’(W) x4.7” (H), handle height :3.15”</x:v>
      </x:c>
      <x:c r="H1361" s="17" t="str">
        <x:v>For that, what matters is: Size: &lt;1&gt;Big handbag:26*15*18cm/10.2"*7"*5.9"(Length*Width*Height), handle height:4.3" &lt;2&gt;Mini handbag :6.7’’(L) x 3.9’’(W) x4.7” (H), handle height :3.15”.</x:v>
      </x:c>
      <x:c r="I1361" s="17" t="str"/>
    </x:row>
    <x:row r="1362">
      <x:c r="A1362" t="str">
        <x:v>public_0119</x:v>
      </x:c>
      <x:c r="B1362" t="str">
        <x:v>buying</x:v>
      </x:c>
      <x:c r="C1362" t="str">
        <x:v>easy</x:v>
      </x:c>
      <x:c r="D1362" s="17" t="str">
        <x:v>next ask before hit/override</x:v>
      </x:c>
      <x:c r="E1362" s="17" t="str">
        <x:v>style</x:v>
      </x:c>
      <x:c r="F1362" s="17" t="str">
        <x:v>no new constraint</x:v>
      </x:c>
      <x:c r="G1362" s="17" t="str"/>
      <x:c r="H1362" s="17" t="str">
        <x:v>I don't have an additional preference for style.</x:v>
      </x:c>
      <x:c r="I1362" s="17" t="str"/>
    </x:row>
    <x:row r="1363">
      <x:c r="A1363" t="str">
        <x:v>public_0119</x:v>
      </x:c>
      <x:c r="B1363" t="str">
        <x:v>buying</x:v>
      </x:c>
      <x:c r="C1363" t="str">
        <x:v>easy</x:v>
      </x:c>
      <x:c r="D1363" s="17" t="str">
        <x:v>next ask before hit/override</x:v>
      </x:c>
      <x:c r="E1363" s="17" t="str">
        <x:v>brand</x:v>
      </x:c>
      <x:c r="F1363" s="17" t="str">
        <x:v>no new constraint</x:v>
      </x:c>
      <x:c r="G1363" s="17" t="str"/>
      <x:c r="H1363" s="17" t="str">
        <x:v>I don't have an additional preference for brand.</x:v>
      </x:c>
      <x:c r="I1363" s="17" t="str"/>
    </x:row>
    <x:row r="1364">
      <x:c r="A1364" t="str">
        <x:v>public_0119</x:v>
      </x:c>
      <x:c r="B1364" t="str">
        <x:v>buying</x:v>
      </x:c>
      <x:c r="C1364" t="str">
        <x:v>easy</x:v>
      </x:c>
      <x:c r="D1364" s="17" t="str">
        <x:v>next ask before hit/override</x:v>
      </x:c>
      <x:c r="E1364" s="17" t="str">
        <x:v>budget</x:v>
      </x:c>
      <x:c r="F1364" s="17" t="str">
        <x:v>no new constraint</x:v>
      </x:c>
      <x:c r="G1364" s="17" t="str"/>
      <x:c r="H1364" s="17" t="str">
        <x:v>I don't have an additional preference for budget.</x:v>
      </x:c>
      <x:c r="I1364" s="17" t="str"/>
    </x:row>
    <x:row r="1365">
      <x:c r="A1365" t="str">
        <x:v>public_0119</x:v>
      </x:c>
      <x:c r="B1365" t="str">
        <x:v>buying</x:v>
      </x:c>
      <x:c r="C1365" t="str">
        <x:v>easy</x:v>
      </x:c>
      <x:c r="D1365" s="17" t="str">
        <x:v>next ask before hit/override</x:v>
      </x:c>
      <x:c r="E1365" s="17" t="str">
        <x:v>feature</x:v>
      </x:c>
      <x:c r="F1365" s="17" t="str">
        <x:v>constraint revealed</x:v>
      </x:c>
      <x:c r="G1365" s="17" t="str">
        <x:v>Imported | Material: High Quality PVC Material. Made from Natural resin, not plastic</x:v>
      </x:c>
      <x:c r="H1365" s="17" t="str">
        <x:v>For that, what matters is: Imported; Material: High Quality PVC Material. Made from Natural resin, not plastic.</x:v>
      </x:c>
      <x:c r="I1365" s="17" t="str"/>
    </x:row>
    <x:row r="1366">
      <x:c r="A1366" t="str">
        <x:v>public_0119</x:v>
      </x:c>
      <x:c r="B1366" t="str">
        <x:v>buying</x:v>
      </x:c>
      <x:c r="C1366" t="str">
        <x:v>easy</x:v>
      </x:c>
      <x:c r="D1366" s="17" t="str">
        <x:v>next ask before hit/override</x:v>
      </x:c>
      <x:c r="E1366" s="17" t="str">
        <x:v>use_case</x:v>
      </x:c>
      <x:c r="F1366" s="17" t="str">
        <x:v>no new constraint</x:v>
      </x:c>
      <x:c r="G1366" s="17" t="str"/>
      <x:c r="H1366" s="17" t="str">
        <x:v>I don't have an additional preference for use_case.</x:v>
      </x:c>
      <x:c r="I1366" s="17" t="str"/>
    </x:row>
    <x:row r="1367">
      <x:c r="A1367" t="str">
        <x:v>public_0119</x:v>
      </x:c>
      <x:c r="B1367" t="str">
        <x:v>buying</x:v>
      </x:c>
      <x:c r="C1367" t="str">
        <x:v>easy</x:v>
      </x:c>
      <x:c r="D1367" s="17" t="str">
        <x:v>next ask before hit/override</x:v>
      </x:c>
      <x:c r="E1367" s="17" t="str">
        <x:v>other</x:v>
      </x:c>
      <x:c r="F1367" s="17" t="str">
        <x:v>constraint revealed</x:v>
      </x:c>
      <x:c r="G1367" s="17" t="str">
        <x:v>Imported | Material: High Quality PVC Material. Made from Natural resin, not plastic</x:v>
      </x:c>
      <x:c r="H1367" s="17" t="str">
        <x:v>For that, what matters is: Imported; Material: High Quality PVC Material. Made from Natural resin, not plastic.</x:v>
      </x:c>
      <x:c r="I1367" s="17" t="str"/>
    </x:row>
    <x:row r="1368">
      <x:c r="A1368" t="str">
        <x:v>public_0119</x:v>
      </x:c>
      <x:c r="B1368" t="str">
        <x:v>buying</x:v>
      </x:c>
      <x:c r="C1368" t="str">
        <x:v>easy</x:v>
      </x:c>
      <x:c r="D1368" s="17" t="str">
        <x:v>next ask before hit/override</x:v>
      </x:c>
      <x:c r="E1368" s="17" t="str">
        <x:v>(no ask_attribute)</x:v>
      </x:c>
      <x:c r="F1368" s="17" t="str">
        <x:v>agent did not ask</x:v>
      </x:c>
      <x:c r="G1368" s="17" t="str"/>
      <x:c r="H1368" s="17" t="str">
        <x:v>Those options are not quite right yet. Ask me about one specific attribute.</x:v>
      </x:c>
      <x:c r="I1368" s="17" t="str"/>
    </x:row>
    <x:row r="1369">
      <x:c r="A1369" t="str">
        <x:v>public_0120</x:v>
      </x:c>
      <x:c r="B1369" t="str">
        <x:v>browsing</x:v>
      </x:c>
      <x:c r="C1369" t="str">
        <x:v>medium</x:v>
      </x:c>
      <x:c r="D1369" s="17" t="str">
        <x:v>next ask before hit/override</x:v>
      </x:c>
      <x:c r="E1369" s="17" t="str">
        <x:v>category</x:v>
      </x:c>
      <x:c r="F1369" s="17" t="str">
        <x:v>no new constraint</x:v>
      </x:c>
      <x:c r="G1369" s="17" t="str"/>
      <x:c r="H1369" s="17" t="str">
        <x:v>I don't have an additional preference for category.</x:v>
      </x:c>
      <x:c r="I1369" s="17" t="str"/>
    </x:row>
    <x:row r="1370">
      <x:c r="A1370" t="str">
        <x:v>public_0120</x:v>
      </x:c>
      <x:c r="B1370" t="str">
        <x:v>browsing</x:v>
      </x:c>
      <x:c r="C1370" t="str">
        <x:v>medium</x:v>
      </x:c>
      <x:c r="D1370" s="17" t="str">
        <x:v>next ask before hit/override</x:v>
      </x:c>
      <x:c r="E1370" s="17" t="str">
        <x:v>material</x:v>
      </x:c>
      <x:c r="F1370" s="17" t="str">
        <x:v>constraint revealed</x:v>
      </x:c>
      <x:c r="G1370" s="17" t="str">
        <x:v>leather | Leather lining</x:v>
      </x:c>
      <x:c r="H1370" s="17" t="str">
        <x:v>For that, what matters is: leather; Leather lining.</x:v>
      </x:c>
      <x:c r="I1370" s="17" t="str"/>
    </x:row>
    <x:row r="1371">
      <x:c r="A1371" t="str">
        <x:v>public_0120</x:v>
      </x:c>
      <x:c r="B1371" t="str">
        <x:v>browsing</x:v>
      </x:c>
      <x:c r="C1371" t="str">
        <x:v>medium</x:v>
      </x:c>
      <x:c r="D1371" s="17" t="str">
        <x:v>next ask before hit/override</x:v>
      </x:c>
      <x:c r="E1371" s="17" t="str">
        <x:v>color</x:v>
      </x:c>
      <x:c r="F1371" s="17" t="str">
        <x:v>constraint revealed</x:v>
      </x:c>
      <x:c r="G1371" s="17" t="str">
        <x:v>color: red</x:v>
      </x:c>
      <x:c r="H1371" s="17" t="str">
        <x:v>For that, what matters is: color: red.</x:v>
      </x:c>
      <x:c r="I1371" s="17" t="str"/>
    </x:row>
    <x:row r="1372">
      <x:c r="A1372" t="str">
        <x:v>public_0120</x:v>
      </x:c>
      <x:c r="B1372" t="str">
        <x:v>browsing</x:v>
      </x:c>
      <x:c r="C1372" t="str">
        <x:v>medium</x:v>
      </x:c>
      <x:c r="D1372" s="17" t="str">
        <x:v>next ask before hit/override</x:v>
      </x:c>
      <x:c r="E1372" s="17" t="str">
        <x:v>size</x:v>
      </x:c>
      <x:c r="F1372" s="17" t="str">
        <x:v>no new constraint</x:v>
      </x:c>
      <x:c r="G1372" s="17" t="str"/>
      <x:c r="H1372" s="17" t="str">
        <x:v>I don't have an additional preference for size.</x:v>
      </x:c>
      <x:c r="I1372" s="17" t="str"/>
    </x:row>
    <x:row r="1373">
      <x:c r="A1373" t="str">
        <x:v>public_0120</x:v>
      </x:c>
      <x:c r="B1373" t="str">
        <x:v>browsing</x:v>
      </x:c>
      <x:c r="C1373" t="str">
        <x:v>medium</x:v>
      </x:c>
      <x:c r="D1373" s="17" t="str">
        <x:v>next ask before hit/override</x:v>
      </x:c>
      <x:c r="E1373" s="17" t="str">
        <x:v>style</x:v>
      </x:c>
      <x:c r="F1373" s="17" t="str">
        <x:v>no new constraint</x:v>
      </x:c>
      <x:c r="G1373" s="17" t="str"/>
      <x:c r="H1373" s="17" t="str">
        <x:v>I don't have an additional preference for style.</x:v>
      </x:c>
      <x:c r="I1373" s="17" t="str"/>
    </x:row>
    <x:row r="1374">
      <x:c r="A1374" t="str">
        <x:v>public_0120</x:v>
      </x:c>
      <x:c r="B1374" t="str">
        <x:v>browsing</x:v>
      </x:c>
      <x:c r="C1374" t="str">
        <x:v>medium</x:v>
      </x:c>
      <x:c r="D1374" s="17" t="str">
        <x:v>next ask before hit/override</x:v>
      </x:c>
      <x:c r="E1374" s="17" t="str">
        <x:v>brand</x:v>
      </x:c>
      <x:c r="F1374" s="17" t="str">
        <x:v>no new constraint</x:v>
      </x:c>
      <x:c r="G1374" s="17" t="str"/>
      <x:c r="H1374" s="17" t="str">
        <x:v>I don't have an additional preference for brand.</x:v>
      </x:c>
      <x:c r="I1374" s="17" t="str"/>
    </x:row>
    <x:row r="1375">
      <x:c r="A1375" t="str">
        <x:v>public_0120</x:v>
      </x:c>
      <x:c r="B1375" t="str">
        <x:v>browsing</x:v>
      </x:c>
      <x:c r="C1375" t="str">
        <x:v>medium</x:v>
      </x:c>
      <x:c r="D1375" s="17" t="str">
        <x:v>next ask before hit/override</x:v>
      </x:c>
      <x:c r="E1375" s="17" t="str">
        <x:v>budget</x:v>
      </x:c>
      <x:c r="F1375" s="17" t="str">
        <x:v>no new constraint</x:v>
      </x:c>
      <x:c r="G1375" s="17" t="str"/>
      <x:c r="H1375" s="17" t="str">
        <x:v>I don't have an additional preference for budget.</x:v>
      </x:c>
      <x:c r="I1375" s="17" t="str"/>
    </x:row>
    <x:row r="1376">
      <x:c r="A1376" t="str">
        <x:v>public_0120</x:v>
      </x:c>
      <x:c r="B1376" t="str">
        <x:v>browsing</x:v>
      </x:c>
      <x:c r="C1376" t="str">
        <x:v>medium</x:v>
      </x:c>
      <x:c r="D1376" s="17" t="str">
        <x:v>next ask before hit/override</x:v>
      </x:c>
      <x:c r="E1376" s="17" t="str">
        <x:v>feature</x:v>
      </x:c>
      <x:c r="F1376" s="17" t="str">
        <x:v>constraint revealed</x:v>
      </x:c>
      <x:c r="G1376" s="17" t="str">
        <x:v>Snap closure</x:v>
      </x:c>
      <x:c r="H1376" s="17" t="str">
        <x:v>For that, what matters is: Snap closure.</x:v>
      </x:c>
      <x:c r="I1376" s="17" t="str"/>
    </x:row>
    <x:row r="1377">
      <x:c r="A1377" t="str">
        <x:v>public_0120</x:v>
      </x:c>
      <x:c r="B1377" t="str">
        <x:v>browsing</x:v>
      </x:c>
      <x:c r="C1377" t="str">
        <x:v>medium</x:v>
      </x:c>
      <x:c r="D1377" s="17" t="str">
        <x:v>next ask before hit/override</x:v>
      </x:c>
      <x:c r="E1377" s="17" t="str">
        <x:v>use_case</x:v>
      </x:c>
      <x:c r="F1377" s="17" t="str">
        <x:v>no new constraint</x:v>
      </x:c>
      <x:c r="G1377" s="17" t="str"/>
      <x:c r="H1377" s="17" t="str">
        <x:v>I don't have an additional preference for use_case.</x:v>
      </x:c>
      <x:c r="I1377" s="17" t="str"/>
    </x:row>
    <x:row r="1378">
      <x:c r="A1378" t="str">
        <x:v>public_0120</x:v>
      </x:c>
      <x:c r="B1378" t="str">
        <x:v>browsing</x:v>
      </x:c>
      <x:c r="C1378" t="str">
        <x:v>medium</x:v>
      </x:c>
      <x:c r="D1378" s="17" t="str">
        <x:v>next ask before hit/override</x:v>
      </x:c>
      <x:c r="E1378" s="17" t="str">
        <x:v>other</x:v>
      </x:c>
      <x:c r="F1378" s="17" t="str">
        <x:v>constraint revealed</x:v>
      </x:c>
      <x:c r="G1378" s="17" t="str">
        <x:v>leather | color: red</x:v>
      </x:c>
      <x:c r="H1378" s="17" t="str">
        <x:v>For that, what matters is: leather; color: red.</x:v>
      </x:c>
      <x:c r="I1378" s="17" t="str"/>
    </x:row>
    <x:row r="1379">
      <x:c r="A1379" t="str">
        <x:v>public_0120</x:v>
      </x:c>
      <x:c r="B1379" t="str">
        <x:v>browsing</x:v>
      </x:c>
      <x:c r="C1379" t="str">
        <x:v>medium</x:v>
      </x:c>
      <x:c r="D1379" s="17" t="str">
        <x:v>next ask before hit/override</x:v>
      </x:c>
      <x:c r="E1379" s="17" t="str">
        <x:v>(no ask_attribute)</x:v>
      </x:c>
      <x:c r="F1379" s="17" t="str">
        <x:v>agent did not ask</x:v>
      </x:c>
      <x:c r="G1379" s="17" t="str"/>
      <x:c r="H1379" s="17" t="str">
        <x:v>Those options are not quite right yet. Ask me about one specific attribute.</x:v>
      </x:c>
      <x:c r="I1379" s="17" t="str"/>
    </x:row>
    <x:row r="1380">
      <x:c r="A1380" t="str">
        <x:v>public_0121</x:v>
      </x:c>
      <x:c r="B1380" t="str">
        <x:v>browsing</x:v>
      </x:c>
      <x:c r="C1380" t="str">
        <x:v>medium</x:v>
      </x:c>
      <x:c r="D1380" s="17" t="str">
        <x:v>next ask before hit/override</x:v>
      </x:c>
      <x:c r="E1380" s="17" t="str">
        <x:v>category</x:v>
      </x:c>
      <x:c r="F1380" s="17" t="str">
        <x:v>no new constraint</x:v>
      </x:c>
      <x:c r="G1380" s="17" t="str"/>
      <x:c r="H1380" s="17" t="str">
        <x:v>I don't have an additional preference for category.</x:v>
      </x:c>
      <x:c r="I1380" s="17" t="str"/>
    </x:row>
    <x:row r="1381">
      <x:c r="A1381" t="str">
        <x:v>public_0121</x:v>
      </x:c>
      <x:c r="B1381" t="str">
        <x:v>browsing</x:v>
      </x:c>
      <x:c r="C1381" t="str">
        <x:v>medium</x:v>
      </x:c>
      <x:c r="D1381" s="17" t="str">
        <x:v>next ask before hit/override</x:v>
      </x:c>
      <x:c r="E1381" s="17" t="str">
        <x:v>material</x:v>
      </x:c>
      <x:c r="F1381" s="17" t="str">
        <x:v>constraint revealed</x:v>
      </x:c>
      <x:c r="G1381" s="17" t="str">
        <x:v>nylon | 91.6%Nylon, 8.4%Spandex</x:v>
      </x:c>
      <x:c r="H1381" s="17" t="str">
        <x:v>For that, what matters is: nylon; 91.6%Nylon, 8.4%Spandex.</x:v>
      </x:c>
      <x:c r="I1381" s="17" t="str"/>
    </x:row>
    <x:row r="1382">
      <x:c r="A1382" t="str">
        <x:v>public_0121</x:v>
      </x:c>
      <x:c r="B1382" t="str">
        <x:v>browsing</x:v>
      </x:c>
      <x:c r="C1382" t="str">
        <x:v>medium</x:v>
      </x:c>
      <x:c r="D1382" s="17" t="str">
        <x:v>next ask before hit/override</x:v>
      </x:c>
      <x:c r="E1382" s="17" t="str">
        <x:v>color</x:v>
      </x:c>
      <x:c r="F1382" s="17" t="str">
        <x:v>constraint revealed</x:v>
      </x:c>
      <x:c r="G1382" s="17" t="str">
        <x:v>color: black | Classic color: package include 5 pieces lace bralettes for women in 3 classic colors, black, beige and white bralettes are available, you can free to match with different color clo</x:v>
      </x:c>
      <x:c r="H1382" s="17" t="str">
        <x:v>For that, what matters is: color: black; Classic color: package include 5 pieces lace bralettes for women in 3 classic colors, black, beige and white bralettes are available, you can free to match with different color clo.</x:v>
      </x:c>
      <x:c r="I1382" s="17" t="str"/>
    </x:row>
    <x:row r="1383">
      <x:c r="A1383" t="str">
        <x:v>public_0121</x:v>
      </x:c>
      <x:c r="B1383" t="str">
        <x:v>browsing</x:v>
      </x:c>
      <x:c r="C1383" t="str">
        <x:v>medium</x:v>
      </x:c>
      <x:c r="D1383" s="17" t="str">
        <x:v>next ask before hit/override</x:v>
      </x:c>
      <x:c r="E1383" s="17" t="str">
        <x:v>size</x:v>
      </x:c>
      <x:c r="F1383" s="17" t="str">
        <x:v>no new constraint</x:v>
      </x:c>
      <x:c r="G1383" s="17" t="str"/>
      <x:c r="H1383" s="17" t="str">
        <x:v>I don't have an additional preference for size.</x:v>
      </x:c>
      <x:c r="I1383" s="17" t="str"/>
    </x:row>
    <x:row r="1384">
      <x:c r="A1384" t="str">
        <x:v>public_0121</x:v>
      </x:c>
      <x:c r="B1384" t="str">
        <x:v>browsing</x:v>
      </x:c>
      <x:c r="C1384" t="str">
        <x:v>medium</x:v>
      </x:c>
      <x:c r="D1384" s="17" t="str">
        <x:v>next ask before hit/override</x:v>
      </x:c>
      <x:c r="E1384" s="17" t="str">
        <x:v>style</x:v>
      </x:c>
      <x:c r="F1384" s="17" t="str">
        <x:v>no new constraint</x:v>
      </x:c>
      <x:c r="G1384" s="17" t="str"/>
      <x:c r="H1384" s="17" t="str">
        <x:v>I don't have an additional preference for style.</x:v>
      </x:c>
      <x:c r="I1384" s="17" t="str"/>
    </x:row>
    <x:row r="1385">
      <x:c r="A1385" t="str">
        <x:v>public_0121</x:v>
      </x:c>
      <x:c r="B1385" t="str">
        <x:v>browsing</x:v>
      </x:c>
      <x:c r="C1385" t="str">
        <x:v>medium</x:v>
      </x:c>
      <x:c r="D1385" s="17" t="str">
        <x:v>next ask before hit/override</x:v>
      </x:c>
      <x:c r="E1385" s="17" t="str">
        <x:v>brand</x:v>
      </x:c>
      <x:c r="F1385" s="17" t="str">
        <x:v>no new constraint</x:v>
      </x:c>
      <x:c r="G1385" s="17" t="str"/>
      <x:c r="H1385" s="17" t="str">
        <x:v>I don't have an additional preference for brand.</x:v>
      </x:c>
      <x:c r="I1385" s="17" t="str"/>
    </x:row>
    <x:row r="1386">
      <x:c r="A1386" t="str">
        <x:v>public_0121</x:v>
      </x:c>
      <x:c r="B1386" t="str">
        <x:v>browsing</x:v>
      </x:c>
      <x:c r="C1386" t="str">
        <x:v>medium</x:v>
      </x:c>
      <x:c r="D1386" s="17" t="str">
        <x:v>next ask before hit/override</x:v>
      </x:c>
      <x:c r="E1386" s="17" t="str">
        <x:v>budget</x:v>
      </x:c>
      <x:c r="F1386" s="17" t="str">
        <x:v>no new constraint</x:v>
      </x:c>
      <x:c r="G1386" s="17" t="str"/>
      <x:c r="H1386" s="17" t="str">
        <x:v>I don't have an additional preference for budget.</x:v>
      </x:c>
      <x:c r="I1386" s="17" t="str"/>
    </x:row>
    <x:row r="1387">
      <x:c r="A1387" t="str">
        <x:v>public_0121</x:v>
      </x:c>
      <x:c r="B1387" t="str">
        <x:v>browsing</x:v>
      </x:c>
      <x:c r="C1387" t="str">
        <x:v>medium</x:v>
      </x:c>
      <x:c r="D1387" s="17" t="str">
        <x:v>next ask before hit/override</x:v>
      </x:c>
      <x:c r="E1387" s="17" t="str">
        <x:v>feature</x:v>
      </x:c>
      <x:c r="F1387" s="17" t="str">
        <x:v>no new constraint</x:v>
      </x:c>
      <x:c r="G1387" s="17" t="str"/>
      <x:c r="H1387" s="17" t="str">
        <x:v>I don't have an additional preference for feature.</x:v>
      </x:c>
      <x:c r="I1387" s="17" t="str"/>
    </x:row>
    <x:row r="1388">
      <x:c r="A1388" t="str">
        <x:v>public_0121</x:v>
      </x:c>
      <x:c r="B1388" t="str">
        <x:v>browsing</x:v>
      </x:c>
      <x:c r="C1388" t="str">
        <x:v>medium</x:v>
      </x:c>
      <x:c r="D1388" s="17" t="str">
        <x:v>next ask before hit/override</x:v>
      </x:c>
      <x:c r="E1388" s="17" t="str">
        <x:v>use_case</x:v>
      </x:c>
      <x:c r="F1388" s="17" t="str">
        <x:v>no new constraint</x:v>
      </x:c>
      <x:c r="G1388" s="17" t="str"/>
      <x:c r="H1388" s="17" t="str">
        <x:v>I don't have an additional preference for use_case.</x:v>
      </x:c>
      <x:c r="I1388" s="17" t="str"/>
    </x:row>
    <x:row r="1389">
      <x:c r="A1389" t="str">
        <x:v>public_0121</x:v>
      </x:c>
      <x:c r="B1389" t="str">
        <x:v>browsing</x:v>
      </x:c>
      <x:c r="C1389" t="str">
        <x:v>medium</x:v>
      </x:c>
      <x:c r="D1389" s="17" t="str">
        <x:v>next ask before hit/override</x:v>
      </x:c>
      <x:c r="E1389" s="17" t="str">
        <x:v>other</x:v>
      </x:c>
      <x:c r="F1389" s="17" t="str">
        <x:v>constraint revealed</x:v>
      </x:c>
      <x:c r="G1389" s="17" t="str">
        <x:v>nylon | color: black</x:v>
      </x:c>
      <x:c r="H1389" s="17" t="str">
        <x:v>For that, what matters is: nylon; color: black.</x:v>
      </x:c>
      <x:c r="I1389" s="17" t="str"/>
    </x:row>
    <x:row r="1390">
      <x:c r="A1390" t="str">
        <x:v>public_0121</x:v>
      </x:c>
      <x:c r="B1390" t="str">
        <x:v>browsing</x:v>
      </x:c>
      <x:c r="C1390" t="str">
        <x:v>medium</x:v>
      </x:c>
      <x:c r="D1390" s="17" t="str">
        <x:v>next ask before hit/override</x:v>
      </x:c>
      <x:c r="E1390" s="17" t="str">
        <x:v>(no ask_attribute)</x:v>
      </x:c>
      <x:c r="F1390" s="17" t="str">
        <x:v>agent did not ask</x:v>
      </x:c>
      <x:c r="G1390" s="17" t="str"/>
      <x:c r="H1390" s="17" t="str">
        <x:v>Those options are not quite right yet. Ask me about one specific attribute.</x:v>
      </x:c>
      <x:c r="I1390" s="17" t="str"/>
    </x:row>
    <x:row r="1391">
      <x:c r="A1391" t="str">
        <x:v>public_0122</x:v>
      </x:c>
      <x:c r="B1391" t="str">
        <x:v>browsing</x:v>
      </x:c>
      <x:c r="C1391" t="str">
        <x:v>medium</x:v>
      </x:c>
      <x:c r="D1391" s="17" t="str">
        <x:v>next ask before hit/override</x:v>
      </x:c>
      <x:c r="E1391" s="17" t="str">
        <x:v>category</x:v>
      </x:c>
      <x:c r="F1391" s="17" t="str">
        <x:v>no new constraint</x:v>
      </x:c>
      <x:c r="G1391" s="17" t="str"/>
      <x:c r="H1391" s="17" t="str">
        <x:v>I don't have an additional preference for category.</x:v>
      </x:c>
      <x:c r="I1391" s="17" t="str"/>
    </x:row>
    <x:row r="1392">
      <x:c r="A1392" t="str">
        <x:v>public_0122</x:v>
      </x:c>
      <x:c r="B1392" t="str">
        <x:v>browsing</x:v>
      </x:c>
      <x:c r="C1392" t="str">
        <x:v>medium</x:v>
      </x:c>
      <x:c r="D1392" s="17" t="str">
        <x:v>next ask before hit/override</x:v>
      </x:c>
      <x:c r="E1392" s="17" t="str">
        <x:v>material</x:v>
      </x:c>
      <x:c r="F1392" s="17" t="str">
        <x:v>constraint revealed</x:v>
      </x:c>
      <x:c r="G1392" s="17" t="str">
        <x:v>cotton | 75% Cotton, 17% Polyester, 8% Spandex</x:v>
      </x:c>
      <x:c r="H1392" s="17" t="str">
        <x:v>For that, what matters is: cotton; 75% Cotton, 17% Polyester, 8% Spandex.</x:v>
      </x:c>
      <x:c r="I1392" s="17" t="str"/>
    </x:row>
    <x:row r="1393">
      <x:c r="A1393" t="str">
        <x:v>public_0122</x:v>
      </x:c>
      <x:c r="B1393" t="str">
        <x:v>browsing</x:v>
      </x:c>
      <x:c r="C1393" t="str">
        <x:v>medium</x:v>
      </x:c>
      <x:c r="D1393" s="17" t="str">
        <x:v>next ask before hit/override</x:v>
      </x:c>
      <x:c r="E1393" s="17" t="str">
        <x:v>color</x:v>
      </x:c>
      <x:c r="F1393" s="17" t="str">
        <x:v>no new constraint</x:v>
      </x:c>
      <x:c r="G1393" s="17" t="str"/>
      <x:c r="H1393" s="17" t="str">
        <x:v>I don't have an additional preference for color.</x:v>
      </x:c>
      <x:c r="I1393" s="17" t="str"/>
    </x:row>
    <x:row r="1394">
      <x:c r="A1394" t="str">
        <x:v>public_0122</x:v>
      </x:c>
      <x:c r="B1394" t="str">
        <x:v>browsing</x:v>
      </x:c>
      <x:c r="C1394" t="str">
        <x:v>medium</x:v>
      </x:c>
      <x:c r="D1394" s="17" t="str">
        <x:v>next ask before hit/override</x:v>
      </x:c>
      <x:c r="E1394" s="17" t="str">
        <x:v>size</x:v>
      </x:c>
      <x:c r="F1394" s="17" t="str">
        <x:v>no new constraint</x:v>
      </x:c>
      <x:c r="G1394" s="17" t="str"/>
      <x:c r="H1394" s="17" t="str">
        <x:v>I don't have an additional preference for size.</x:v>
      </x:c>
      <x:c r="I1394" s="17" t="str"/>
    </x:row>
    <x:row r="1395">
      <x:c r="A1395" t="str">
        <x:v>public_0122</x:v>
      </x:c>
      <x:c r="B1395" t="str">
        <x:v>browsing</x:v>
      </x:c>
      <x:c r="C1395" t="str">
        <x:v>medium</x:v>
      </x:c>
      <x:c r="D1395" s="17" t="str">
        <x:v>next ask before hit/override</x:v>
      </x:c>
      <x:c r="E1395" s="17" t="str">
        <x:v>style</x:v>
      </x:c>
      <x:c r="F1395" s="17" t="str">
        <x:v>no new constraint</x:v>
      </x:c>
      <x:c r="G1395" s="17" t="str"/>
      <x:c r="H1395" s="17" t="str">
        <x:v>I don't have an additional preference for style.</x:v>
      </x:c>
      <x:c r="I1395" s="17" t="str"/>
    </x:row>
    <x:row r="1396">
      <x:c r="A1396" t="str">
        <x:v>public_0122</x:v>
      </x:c>
      <x:c r="B1396" t="str">
        <x:v>browsing</x:v>
      </x:c>
      <x:c r="C1396" t="str">
        <x:v>medium</x:v>
      </x:c>
      <x:c r="D1396" s="17" t="str">
        <x:v>next ask before hit/override</x:v>
      </x:c>
      <x:c r="E1396" s="17" t="str">
        <x:v>brand</x:v>
      </x:c>
      <x:c r="F1396" s="17" t="str">
        <x:v>no new constraint</x:v>
      </x:c>
      <x:c r="G1396" s="17" t="str"/>
      <x:c r="H1396" s="17" t="str">
        <x:v>I don't have an additional preference for brand.</x:v>
      </x:c>
      <x:c r="I1396" s="17" t="str"/>
    </x:row>
    <x:row r="1397">
      <x:c r="A1397" t="str">
        <x:v>public_0122</x:v>
      </x:c>
      <x:c r="B1397" t="str">
        <x:v>browsing</x:v>
      </x:c>
      <x:c r="C1397" t="str">
        <x:v>medium</x:v>
      </x:c>
      <x:c r="D1397" s="17" t="str">
        <x:v>next ask before hit/override</x:v>
      </x:c>
      <x:c r="E1397" s="17" t="str">
        <x:v>budget</x:v>
      </x:c>
      <x:c r="F1397" s="17" t="str">
        <x:v>no new constraint</x:v>
      </x:c>
      <x:c r="G1397" s="17" t="str"/>
      <x:c r="H1397" s="17" t="str">
        <x:v>I don't have an additional preference for budget.</x:v>
      </x:c>
      <x:c r="I1397" s="17" t="str"/>
    </x:row>
    <x:row r="1398">
      <x:c r="A1398" t="str">
        <x:v>public_0122</x:v>
      </x:c>
      <x:c r="B1398" t="str">
        <x:v>browsing</x:v>
      </x:c>
      <x:c r="C1398" t="str">
        <x:v>medium</x:v>
      </x:c>
      <x:c r="D1398" s="17" t="str">
        <x:v>next ask before hit/override</x:v>
      </x:c>
      <x:c r="E1398" s="17" t="str">
        <x:v>feature</x:v>
      </x:c>
      <x:c r="F1398" s="17" t="str">
        <x:v>constraint revealed</x:v>
      </x:c>
      <x:c r="G1398" s="17" t="str">
        <x:v>Imported | Pull On closure</x:v>
      </x:c>
      <x:c r="H1398" s="17" t="str">
        <x:v>For that, what matters is: Imported; Pull On closure.</x:v>
      </x:c>
      <x:c r="I1398" s="17" t="str"/>
    </x:row>
    <x:row r="1399">
      <x:c r="A1399" t="str">
        <x:v>public_0122</x:v>
      </x:c>
      <x:c r="B1399" t="str">
        <x:v>browsing</x:v>
      </x:c>
      <x:c r="C1399" t="str">
        <x:v>medium</x:v>
      </x:c>
      <x:c r="D1399" s="17" t="str">
        <x:v>next ask before hit/override</x:v>
      </x:c>
      <x:c r="E1399" s="17" t="str">
        <x:v>use_case</x:v>
      </x:c>
      <x:c r="F1399" s="17" t="str">
        <x:v>no new constraint</x:v>
      </x:c>
      <x:c r="G1399" s="17" t="str"/>
      <x:c r="H1399" s="17" t="str">
        <x:v>I don't have an additional preference for use_case.</x:v>
      </x:c>
      <x:c r="I1399" s="17" t="str"/>
    </x:row>
    <x:row r="1400">
      <x:c r="A1400" t="str">
        <x:v>public_0122</x:v>
      </x:c>
      <x:c r="B1400" t="str">
        <x:v>browsing</x:v>
      </x:c>
      <x:c r="C1400" t="str">
        <x:v>medium</x:v>
      </x:c>
      <x:c r="D1400" s="17" t="str">
        <x:v>next ask before hit/override</x:v>
      </x:c>
      <x:c r="E1400" s="17" t="str">
        <x:v>other</x:v>
      </x:c>
      <x:c r="F1400" s="17" t="str">
        <x:v>constraint revealed</x:v>
      </x:c>
      <x:c r="G1400" s="17" t="str">
        <x:v>cotton | 75% Cotton, 17% Polyester, 8% Spandex</x:v>
      </x:c>
      <x:c r="H1400" s="17" t="str">
        <x:v>For that, what matters is: cotton; 75% Cotton, 17% Polyester, 8% Spandex.</x:v>
      </x:c>
      <x:c r="I1400" s="17" t="str"/>
    </x:row>
    <x:row r="1401">
      <x:c r="A1401" t="str">
        <x:v>public_0122</x:v>
      </x:c>
      <x:c r="B1401" t="str">
        <x:v>browsing</x:v>
      </x:c>
      <x:c r="C1401" t="str">
        <x:v>medium</x:v>
      </x:c>
      <x:c r="D1401" s="17" t="str">
        <x:v>next ask before hit/override</x:v>
      </x:c>
      <x:c r="E1401" s="17" t="str">
        <x:v>(no ask_attribute)</x:v>
      </x:c>
      <x:c r="F1401" s="17" t="str">
        <x:v>agent did not ask</x:v>
      </x:c>
      <x:c r="G1401" s="17" t="str"/>
      <x:c r="H1401" s="17" t="str">
        <x:v>Those options are not quite right yet. Ask me about one specific attribute.</x:v>
      </x:c>
      <x:c r="I1401" s="17" t="str"/>
    </x:row>
    <x:row r="1402">
      <x:c r="A1402" t="str">
        <x:v>public_0123</x:v>
      </x:c>
      <x:c r="B1402" t="str">
        <x:v>intent_override</x:v>
      </x:c>
      <x:c r="C1402" t="str">
        <x:v>hard</x:v>
      </x:c>
      <x:c r="D1402" s="17" t="str">
        <x:v>next ask before hit/override</x:v>
      </x:c>
      <x:c r="E1402" s="17" t="str">
        <x:v>category</x:v>
      </x:c>
      <x:c r="F1402" s="17" t="str">
        <x:v>no new constraint</x:v>
      </x:c>
      <x:c r="G1402" s="17" t="str"/>
      <x:c r="H1402" s="17" t="str">
        <x:v>I don't have an additional preference for category.</x:v>
      </x:c>
      <x:c r="I1402" s="17" t="str">
        <x:v>Override message occurs automatically on turn 3 or 4 before this reply when scheduled.</x:v>
      </x:c>
    </x:row>
    <x:row r="1403">
      <x:c r="A1403" t="str">
        <x:v>public_0123</x:v>
      </x:c>
      <x:c r="B1403" t="str">
        <x:v>intent_override</x:v>
      </x:c>
      <x:c r="C1403" t="str">
        <x:v>hard</x:v>
      </x:c>
      <x:c r="D1403" s="17" t="str">
        <x:v>next ask before hit/override</x:v>
      </x:c>
      <x:c r="E1403" s="17" t="str">
        <x:v>material</x:v>
      </x:c>
      <x:c r="F1403" s="17" t="str">
        <x:v>constraint revealed</x:v>
      </x:c>
      <x:c r="G1403" s="17" t="str">
        <x:v>wool | 65% Polyester, 35% Wool</x:v>
      </x:c>
      <x:c r="H1403" s="17" t="str">
        <x:v>For that, what matters is: wool; 65% Polyester, 35% Wool.</x:v>
      </x:c>
      <x:c r="I1403" s="17" t="str">
        <x:v>Override message occurs automatically on turn 3 or 4 before this reply when scheduled.</x:v>
      </x:c>
    </x:row>
    <x:row r="1404">
      <x:c r="A1404" t="str">
        <x:v>public_0123</x:v>
      </x:c>
      <x:c r="B1404" t="str">
        <x:v>intent_override</x:v>
      </x:c>
      <x:c r="C1404" t="str">
        <x:v>hard</x:v>
      </x:c>
      <x:c r="D1404" s="17" t="str">
        <x:v>next ask before hit/override</x:v>
      </x:c>
      <x:c r="E1404" s="17" t="str">
        <x:v>color</x:v>
      </x:c>
      <x:c r="F1404" s="17" t="str">
        <x:v>no new constraint</x:v>
      </x:c>
      <x:c r="G1404" s="17" t="str"/>
      <x:c r="H1404" s="17" t="str">
        <x:v>I don't have an additional preference for color.</x:v>
      </x:c>
      <x:c r="I1404" s="17" t="str">
        <x:v>Override message occurs automatically on turn 3 or 4 before this reply when scheduled.</x:v>
      </x:c>
    </x:row>
    <x:row r="1405">
      <x:c r="A1405" t="str">
        <x:v>public_0123</x:v>
      </x:c>
      <x:c r="B1405" t="str">
        <x:v>intent_override</x:v>
      </x:c>
      <x:c r="C1405" t="str">
        <x:v>hard</x:v>
      </x:c>
      <x:c r="D1405" s="17" t="str">
        <x:v>next ask before hit/override</x:v>
      </x:c>
      <x:c r="E1405" s="17" t="str">
        <x:v>size</x:v>
      </x:c>
      <x:c r="F1405" s="17" t="str">
        <x:v>no new constraint</x:v>
      </x:c>
      <x:c r="G1405" s="17" t="str"/>
      <x:c r="H1405" s="17" t="str">
        <x:v>I don't have an additional preference for size.</x:v>
      </x:c>
      <x:c r="I1405" s="17" t="str">
        <x:v>Override message occurs automatically on turn 3 or 4 before this reply when scheduled.</x:v>
      </x:c>
    </x:row>
    <x:row r="1406">
      <x:c r="A1406" t="str">
        <x:v>public_0123</x:v>
      </x:c>
      <x:c r="B1406" t="str">
        <x:v>intent_override</x:v>
      </x:c>
      <x:c r="C1406" t="str">
        <x:v>hard</x:v>
      </x:c>
      <x:c r="D1406" s="17" t="str">
        <x:v>next ask before hit/override</x:v>
      </x:c>
      <x:c r="E1406" s="17" t="str">
        <x:v>style</x:v>
      </x:c>
      <x:c r="F1406" s="17" t="str">
        <x:v>no new constraint</x:v>
      </x:c>
      <x:c r="G1406" s="17" t="str"/>
      <x:c r="H1406" s="17" t="str">
        <x:v>I don't have an additional preference for style.</x:v>
      </x:c>
      <x:c r="I1406" s="17" t="str">
        <x:v>Override message occurs automatically on turn 3 or 4 before this reply when scheduled.</x:v>
      </x:c>
    </x:row>
    <x:row r="1407">
      <x:c r="A1407" t="str">
        <x:v>public_0123</x:v>
      </x:c>
      <x:c r="B1407" t="str">
        <x:v>intent_override</x:v>
      </x:c>
      <x:c r="C1407" t="str">
        <x:v>hard</x:v>
      </x:c>
      <x:c r="D1407" s="17" t="str">
        <x:v>next ask before hit/override</x:v>
      </x:c>
      <x:c r="E1407" s="17" t="str">
        <x:v>brand</x:v>
      </x:c>
      <x:c r="F1407" s="17" t="str">
        <x:v>no new constraint</x:v>
      </x:c>
      <x:c r="G1407" s="17" t="str"/>
      <x:c r="H1407" s="17" t="str">
        <x:v>I don't have an additional preference for brand.</x:v>
      </x:c>
      <x:c r="I1407" s="17" t="str">
        <x:v>Override message occurs automatically on turn 3 or 4 before this reply when scheduled.</x:v>
      </x:c>
    </x:row>
    <x:row r="1408">
      <x:c r="A1408" t="str">
        <x:v>public_0123</x:v>
      </x:c>
      <x:c r="B1408" t="str">
        <x:v>intent_override</x:v>
      </x:c>
      <x:c r="C1408" t="str">
        <x:v>hard</x:v>
      </x:c>
      <x:c r="D1408" s="17" t="str">
        <x:v>next ask before hit/override</x:v>
      </x:c>
      <x:c r="E1408" s="17" t="str">
        <x:v>budget</x:v>
      </x:c>
      <x:c r="F1408" s="17" t="str">
        <x:v>no new constraint</x:v>
      </x:c>
      <x:c r="G1408" s="17" t="str"/>
      <x:c r="H1408" s="17" t="str">
        <x:v>I don't have an additional preference for budget.</x:v>
      </x:c>
      <x:c r="I1408" s="17" t="str">
        <x:v>Override message occurs automatically on turn 3 or 4 before this reply when scheduled.</x:v>
      </x:c>
    </x:row>
    <x:row r="1409">
      <x:c r="A1409" t="str">
        <x:v>public_0123</x:v>
      </x:c>
      <x:c r="B1409" t="str">
        <x:v>intent_override</x:v>
      </x:c>
      <x:c r="C1409" t="str">
        <x:v>hard</x:v>
      </x:c>
      <x:c r="D1409" s="17" t="str">
        <x:v>next ask before hit/override</x:v>
      </x:c>
      <x:c r="E1409" s="17" t="str">
        <x:v>feature</x:v>
      </x:c>
      <x:c r="F1409" s="17" t="str">
        <x:v>constraint revealed</x:v>
      </x:c>
      <x:c r="G1409" s="17" t="str">
        <x:v>Imported | Buckle closure</x:v>
      </x:c>
      <x:c r="H1409" s="17" t="str">
        <x:v>For that, what matters is: Imported; Buckle closure.</x:v>
      </x:c>
      <x:c r="I1409" s="17" t="str">
        <x:v>Override message occurs automatically on turn 3 or 4 before this reply when scheduled.</x:v>
      </x:c>
    </x:row>
    <x:row r="1410">
      <x:c r="A1410" t="str">
        <x:v>public_0123</x:v>
      </x:c>
      <x:c r="B1410" t="str">
        <x:v>intent_override</x:v>
      </x:c>
      <x:c r="C1410" t="str">
        <x:v>hard</x:v>
      </x:c>
      <x:c r="D1410" s="17" t="str">
        <x:v>next ask before hit/override</x:v>
      </x:c>
      <x:c r="E1410" s="17" t="str">
        <x:v>use_case</x:v>
      </x:c>
      <x:c r="F1410" s="17" t="str">
        <x:v>no new constraint</x:v>
      </x:c>
      <x:c r="G1410" s="17" t="str"/>
      <x:c r="H1410" s="17" t="str">
        <x:v>I don't have an additional preference for use_case.</x:v>
      </x:c>
      <x:c r="I1410" s="17" t="str">
        <x:v>Override message occurs automatically on turn 3 or 4 before this reply when scheduled.</x:v>
      </x:c>
    </x:row>
    <x:row r="1411">
      <x:c r="A1411" t="str">
        <x:v>public_0123</x:v>
      </x:c>
      <x:c r="B1411" t="str">
        <x:v>intent_override</x:v>
      </x:c>
      <x:c r="C1411" t="str">
        <x:v>hard</x:v>
      </x:c>
      <x:c r="D1411" s="17" t="str">
        <x:v>next ask before hit/override</x:v>
      </x:c>
      <x:c r="E1411" s="17" t="str">
        <x:v>other</x:v>
      </x:c>
      <x:c r="F1411" s="17" t="str">
        <x:v>constraint revealed</x:v>
      </x:c>
      <x:c r="G1411" s="17" t="str">
        <x:v>wool | 65% Polyester, 35% Wool</x:v>
      </x:c>
      <x:c r="H1411" s="17" t="str">
        <x:v>For that, what matters is: wool; 65% Polyester, 35% Wool.</x:v>
      </x:c>
      <x:c r="I1411" s="17" t="str">
        <x:v>Override message occurs automatically on turn 3 or 4 before this reply when scheduled.</x:v>
      </x:c>
    </x:row>
    <x:row r="1412">
      <x:c r="A1412" t="str">
        <x:v>public_0123</x:v>
      </x:c>
      <x:c r="B1412" t="str">
        <x:v>intent_override</x:v>
      </x:c>
      <x:c r="C1412" t="str">
        <x:v>hard</x:v>
      </x:c>
      <x:c r="D1412" s="17" t="str">
        <x:v>next ask before hit/override</x:v>
      </x:c>
      <x:c r="E1412" s="17" t="str">
        <x:v>(no ask_attribute)</x:v>
      </x:c>
      <x:c r="F1412" s="17" t="str">
        <x:v>agent did not ask</x:v>
      </x:c>
      <x:c r="G1412" s="17" t="str"/>
      <x:c r="H1412" s="17" t="str">
        <x:v>Those options are not quite right yet. Ask me about one specific attribute.</x:v>
      </x:c>
      <x:c r="I1412" s="17" t="str">
        <x:v>Override message occurs automatically on turn 3 or 4 before this reply when scheduled.</x:v>
      </x:c>
    </x:row>
    <x:row r="1413">
      <x:c r="A1413" t="str">
        <x:v>public_0124</x:v>
      </x:c>
      <x:c r="B1413" t="str">
        <x:v>buying</x:v>
      </x:c>
      <x:c r="C1413" t="str">
        <x:v>easy</x:v>
      </x:c>
      <x:c r="D1413" s="17" t="str">
        <x:v>next ask before hit/override</x:v>
      </x:c>
      <x:c r="E1413" s="17" t="str">
        <x:v>category</x:v>
      </x:c>
      <x:c r="F1413" s="17" t="str">
        <x:v>no new constraint</x:v>
      </x:c>
      <x:c r="G1413" s="17" t="str"/>
      <x:c r="H1413" s="17" t="str">
        <x:v>I don't have an additional preference for category.</x:v>
      </x:c>
      <x:c r="I1413" s="17" t="str"/>
    </x:row>
    <x:row r="1414">
      <x:c r="A1414" t="str">
        <x:v>public_0124</x:v>
      </x:c>
      <x:c r="B1414" t="str">
        <x:v>buying</x:v>
      </x:c>
      <x:c r="C1414" t="str">
        <x:v>easy</x:v>
      </x:c>
      <x:c r="D1414" s="17" t="str">
        <x:v>next ask before hit/override</x:v>
      </x:c>
      <x:c r="E1414" s="17" t="str">
        <x:v>material</x:v>
      </x:c>
      <x:c r="F1414" s="17" t="str">
        <x:v>constraint revealed</x:v>
      </x:c>
      <x:c r="G1414" s="17" t="str">
        <x:v>52% Polyester, 32% Nylon, 10% EVA, 2% POM, 2% Cotton, 2% Metal</x:v>
      </x:c>
      <x:c r="H1414" s="17" t="str">
        <x:v>For that, what matters is: 52% Polyester, 32% Nylon, 10% EVA, 2% POM, 2% Cotton, 2% Metal.</x:v>
      </x:c>
      <x:c r="I1414" s="17" t="str"/>
    </x:row>
    <x:row r="1415">
      <x:c r="A1415" t="str">
        <x:v>public_0124</x:v>
      </x:c>
      <x:c r="B1415" t="str">
        <x:v>buying</x:v>
      </x:c>
      <x:c r="C1415" t="str">
        <x:v>easy</x:v>
      </x:c>
      <x:c r="D1415" s="17" t="str">
        <x:v>next ask before hit/override</x:v>
      </x:c>
      <x:c r="E1415" s="17" t="str">
        <x:v>color</x:v>
      </x:c>
      <x:c r="F1415" s="17" t="str">
        <x:v>no new constraint</x:v>
      </x:c>
      <x:c r="G1415" s="17" t="str"/>
      <x:c r="H1415" s="17" t="str">
        <x:v>I don't have an additional preference for color.</x:v>
      </x:c>
      <x:c r="I1415" s="17" t="str"/>
    </x:row>
    <x:row r="1416">
      <x:c r="A1416" t="str">
        <x:v>public_0124</x:v>
      </x:c>
      <x:c r="B1416" t="str">
        <x:v>buying</x:v>
      </x:c>
      <x:c r="C1416" t="str">
        <x:v>easy</x:v>
      </x:c>
      <x:c r="D1416" s="17" t="str">
        <x:v>next ask before hit/override</x:v>
      </x:c>
      <x:c r="E1416" s="17" t="str">
        <x:v>size</x:v>
      </x:c>
      <x:c r="F1416" s="17" t="str">
        <x:v>no new constraint</x:v>
      </x:c>
      <x:c r="G1416" s="17" t="str"/>
      <x:c r="H1416" s="17" t="str">
        <x:v>I don't have an additional preference for size.</x:v>
      </x:c>
      <x:c r="I1416" s="17" t="str"/>
    </x:row>
    <x:row r="1417">
      <x:c r="A1417" t="str">
        <x:v>public_0124</x:v>
      </x:c>
      <x:c r="B1417" t="str">
        <x:v>buying</x:v>
      </x:c>
      <x:c r="C1417" t="str">
        <x:v>easy</x:v>
      </x:c>
      <x:c r="D1417" s="17" t="str">
        <x:v>next ask before hit/override</x:v>
      </x:c>
      <x:c r="E1417" s="17" t="str">
        <x:v>style</x:v>
      </x:c>
      <x:c r="F1417" s="17" t="str">
        <x:v>no new constraint</x:v>
      </x:c>
      <x:c r="G1417" s="17" t="str"/>
      <x:c r="H1417" s="17" t="str">
        <x:v>I don't have an additional preference for style.</x:v>
      </x:c>
      <x:c r="I1417" s="17" t="str"/>
    </x:row>
    <x:row r="1418">
      <x:c r="A1418" t="str">
        <x:v>public_0124</x:v>
      </x:c>
      <x:c r="B1418" t="str">
        <x:v>buying</x:v>
      </x:c>
      <x:c r="C1418" t="str">
        <x:v>easy</x:v>
      </x:c>
      <x:c r="D1418" s="17" t="str">
        <x:v>next ask before hit/override</x:v>
      </x:c>
      <x:c r="E1418" s="17" t="str">
        <x:v>brand</x:v>
      </x:c>
      <x:c r="F1418" s="17" t="str">
        <x:v>no new constraint</x:v>
      </x:c>
      <x:c r="G1418" s="17" t="str"/>
      <x:c r="H1418" s="17" t="str">
        <x:v>I don't have an additional preference for brand.</x:v>
      </x:c>
      <x:c r="I1418" s="17" t="str"/>
    </x:row>
    <x:row r="1419">
      <x:c r="A1419" t="str">
        <x:v>public_0124</x:v>
      </x:c>
      <x:c r="B1419" t="str">
        <x:v>buying</x:v>
      </x:c>
      <x:c r="C1419" t="str">
        <x:v>easy</x:v>
      </x:c>
      <x:c r="D1419" s="17" t="str">
        <x:v>next ask before hit/override</x:v>
      </x:c>
      <x:c r="E1419" s="17" t="str">
        <x:v>budget</x:v>
      </x:c>
      <x:c r="F1419" s="17" t="str">
        <x:v>no new constraint</x:v>
      </x:c>
      <x:c r="G1419" s="17" t="str"/>
      <x:c r="H1419" s="17" t="str">
        <x:v>I don't have an additional preference for budget.</x:v>
      </x:c>
      <x:c r="I1419" s="17" t="str"/>
    </x:row>
    <x:row r="1420">
      <x:c r="A1420" t="str">
        <x:v>public_0124</x:v>
      </x:c>
      <x:c r="B1420" t="str">
        <x:v>buying</x:v>
      </x:c>
      <x:c r="C1420" t="str">
        <x:v>easy</x:v>
      </x:c>
      <x:c r="D1420" s="17" t="str">
        <x:v>next ask before hit/override</x:v>
      </x:c>
      <x:c r="E1420" s="17" t="str">
        <x:v>feature</x:v>
      </x:c>
      <x:c r="F1420" s="17" t="str">
        <x:v>constraint revealed</x:v>
      </x:c>
      <x:c r="G1420" s="17" t="str">
        <x:v>Made in the USA | Buckle closure</x:v>
      </x:c>
      <x:c r="H1420" s="17" t="str">
        <x:v>For that, what matters is: Made in the USA; Buckle closure.</x:v>
      </x:c>
      <x:c r="I1420" s="17" t="str"/>
    </x:row>
    <x:row r="1421">
      <x:c r="A1421" t="str">
        <x:v>public_0124</x:v>
      </x:c>
      <x:c r="B1421" t="str">
        <x:v>buying</x:v>
      </x:c>
      <x:c r="C1421" t="str">
        <x:v>easy</x:v>
      </x:c>
      <x:c r="D1421" s="17" t="str">
        <x:v>next ask before hit/override</x:v>
      </x:c>
      <x:c r="E1421" s="17" t="str">
        <x:v>use_case</x:v>
      </x:c>
      <x:c r="F1421" s="17" t="str">
        <x:v>no new constraint</x:v>
      </x:c>
      <x:c r="G1421" s="17" t="str"/>
      <x:c r="H1421" s="17" t="str">
        <x:v>I don't have an additional preference for use_case.</x:v>
      </x:c>
      <x:c r="I1421" s="17" t="str"/>
    </x:row>
    <x:row r="1422">
      <x:c r="A1422" t="str">
        <x:v>public_0124</x:v>
      </x:c>
      <x:c r="B1422" t="str">
        <x:v>buying</x:v>
      </x:c>
      <x:c r="C1422" t="str">
        <x:v>easy</x:v>
      </x:c>
      <x:c r="D1422" s="17" t="str">
        <x:v>next ask before hit/override</x:v>
      </x:c>
      <x:c r="E1422" s="17" t="str">
        <x:v>other</x:v>
      </x:c>
      <x:c r="F1422" s="17" t="str">
        <x:v>constraint revealed</x:v>
      </x:c>
      <x:c r="G1422" s="17" t="str">
        <x:v>52% Polyester, 32% Nylon, 10% EVA, 2% POM, 2% Cotton, 2% Metal | Made in the USA</x:v>
      </x:c>
      <x:c r="H1422" s="17" t="str">
        <x:v>For that, what matters is: 52% Polyester, 32% Nylon, 10% EVA, 2% POM, 2% Cotton, 2% Metal; Made in the USA.</x:v>
      </x:c>
      <x:c r="I1422" s="17" t="str"/>
    </x:row>
    <x:row r="1423">
      <x:c r="A1423" t="str">
        <x:v>public_0124</x:v>
      </x:c>
      <x:c r="B1423" t="str">
        <x:v>buying</x:v>
      </x:c>
      <x:c r="C1423" t="str">
        <x:v>easy</x:v>
      </x:c>
      <x:c r="D1423" s="17" t="str">
        <x:v>next ask before hit/override</x:v>
      </x:c>
      <x:c r="E1423" s="17" t="str">
        <x:v>(no ask_attribute)</x:v>
      </x:c>
      <x:c r="F1423" s="17" t="str">
        <x:v>agent did not ask</x:v>
      </x:c>
      <x:c r="G1423" s="17" t="str"/>
      <x:c r="H1423" s="17" t="str">
        <x:v>Those options are not quite right yet. Ask me about one specific attribute.</x:v>
      </x:c>
      <x:c r="I1423" s="17" t="str"/>
    </x:row>
    <x:row r="1424">
      <x:c r="A1424" t="str">
        <x:v>public_0125</x:v>
      </x:c>
      <x:c r="B1424" t="str">
        <x:v>intent_override</x:v>
      </x:c>
      <x:c r="C1424" t="str">
        <x:v>hard</x:v>
      </x:c>
      <x:c r="D1424" s="17" t="str">
        <x:v>next ask before hit/override</x:v>
      </x:c>
      <x:c r="E1424" s="17" t="str">
        <x:v>category</x:v>
      </x:c>
      <x:c r="F1424" s="17" t="str">
        <x:v>no new constraint</x:v>
      </x:c>
      <x:c r="G1424" s="17" t="str"/>
      <x:c r="H1424" s="17" t="str">
        <x:v>I don't have an additional preference for category.</x:v>
      </x:c>
      <x:c r="I1424" s="17" t="str">
        <x:v>Override message occurs automatically on turn 3 or 4 before this reply when scheduled.</x:v>
      </x:c>
    </x:row>
    <x:row r="1425">
      <x:c r="A1425" t="str">
        <x:v>public_0125</x:v>
      </x:c>
      <x:c r="B1425" t="str">
        <x:v>intent_override</x:v>
      </x:c>
      <x:c r="C1425" t="str">
        <x:v>hard</x:v>
      </x:c>
      <x:c r="D1425" s="17" t="str">
        <x:v>next ask before hit/override</x:v>
      </x:c>
      <x:c r="E1425" s="17" t="str">
        <x:v>material</x:v>
      </x:c>
      <x:c r="F1425" s="17" t="str">
        <x:v>no new constraint</x:v>
      </x:c>
      <x:c r="G1425" s="17" t="str"/>
      <x:c r="H1425" s="17" t="str">
        <x:v>I don't have an additional preference for material.</x:v>
      </x:c>
      <x:c r="I1425" s="17" t="str">
        <x:v>Override message occurs automatically on turn 3 or 4 before this reply when scheduled.</x:v>
      </x:c>
    </x:row>
    <x:row r="1426">
      <x:c r="A1426" t="str">
        <x:v>public_0125</x:v>
      </x:c>
      <x:c r="B1426" t="str">
        <x:v>intent_override</x:v>
      </x:c>
      <x:c r="C1426" t="str">
        <x:v>hard</x:v>
      </x:c>
      <x:c r="D1426" s="17" t="str">
        <x:v>next ask before hit/override</x:v>
      </x:c>
      <x:c r="E1426" s="17" t="str">
        <x:v>color</x:v>
      </x:c>
      <x:c r="F1426" s="17" t="str">
        <x:v>constraint revealed</x:v>
      </x:c>
      <x:c r="G1426" s="17" t="str">
        <x:v>PREMIUM QUALITY: Take your outfit to the next level with our 100% acrylic 6 panels mid-profile structured baseball hat that provides maximum comfort. Fits men and women!</x:v>
      </x:c>
      <x:c r="H1426" s="17" t="str">
        <x:v>For that, what matters is: PREMIUM QUALITY: Take your outfit to the next level with our 100% acrylic 6 panels mid-profile structured baseball hat that provides maximum comfort. Fits men and women!.</x:v>
      </x:c>
      <x:c r="I1426" s="17" t="str">
        <x:v>Override message occurs automatically on turn 3 or 4 before this reply when scheduled.</x:v>
      </x:c>
    </x:row>
    <x:row r="1427">
      <x:c r="A1427" t="str">
        <x:v>public_0125</x:v>
      </x:c>
      <x:c r="B1427" t="str">
        <x:v>intent_override</x:v>
      </x:c>
      <x:c r="C1427" t="str">
        <x:v>hard</x:v>
      </x:c>
      <x:c r="D1427" s="17" t="str">
        <x:v>next ask before hit/override</x:v>
      </x:c>
      <x:c r="E1427" s="17" t="str">
        <x:v>size</x:v>
      </x:c>
      <x:c r="F1427" s="17" t="str">
        <x:v>constraint revealed</x:v>
      </x:c>
      <x:c r="G1427" s="17" t="str">
        <x:v>HOOK &amp; LOOP CLOSURE: Our hats for women and men feature a strap closure in the back letting you easily adjust the size for a perfect fit</x:v>
      </x:c>
      <x:c r="H1427" s="17" t="str">
        <x:v>For that, what matters is: HOOK &amp; LOOP CLOSURE: Our hats for women and men feature a strap closure in the back letting you easily adjust the size for a perfect fit.</x:v>
      </x:c>
      <x:c r="I1427" s="17" t="str">
        <x:v>Override message occurs automatically on turn 3 or 4 before this reply when scheduled.</x:v>
      </x:c>
    </x:row>
    <x:row r="1428">
      <x:c r="A1428" t="str">
        <x:v>public_0125</x:v>
      </x:c>
      <x:c r="B1428" t="str">
        <x:v>intent_override</x:v>
      </x:c>
      <x:c r="C1428" t="str">
        <x:v>hard</x:v>
      </x:c>
      <x:c r="D1428" s="17" t="str">
        <x:v>next ask before hit/override</x:v>
      </x:c>
      <x:c r="E1428" s="17" t="str">
        <x:v>style</x:v>
      </x:c>
      <x:c r="F1428" s="17" t="str">
        <x:v>no new constraint</x:v>
      </x:c>
      <x:c r="G1428" s="17" t="str"/>
      <x:c r="H1428" s="17" t="str">
        <x:v>I don't have an additional preference for style.</x:v>
      </x:c>
      <x:c r="I1428" s="17" t="str">
        <x:v>Override message occurs automatically on turn 3 or 4 before this reply when scheduled.</x:v>
      </x:c>
    </x:row>
    <x:row r="1429">
      <x:c r="A1429" t="str">
        <x:v>public_0125</x:v>
      </x:c>
      <x:c r="B1429" t="str">
        <x:v>intent_override</x:v>
      </x:c>
      <x:c r="C1429" t="str">
        <x:v>hard</x:v>
      </x:c>
      <x:c r="D1429" s="17" t="str">
        <x:v>next ask before hit/override</x:v>
      </x:c>
      <x:c r="E1429" s="17" t="str">
        <x:v>brand</x:v>
      </x:c>
      <x:c r="F1429" s="17" t="str">
        <x:v>no new constraint</x:v>
      </x:c>
      <x:c r="G1429" s="17" t="str"/>
      <x:c r="H1429" s="17" t="str">
        <x:v>I don't have an additional preference for brand.</x:v>
      </x:c>
      <x:c r="I1429" s="17" t="str">
        <x:v>Override message occurs automatically on turn 3 or 4 before this reply when scheduled.</x:v>
      </x:c>
    </x:row>
    <x:row r="1430">
      <x:c r="A1430" t="str">
        <x:v>public_0125</x:v>
      </x:c>
      <x:c r="B1430" t="str">
        <x:v>intent_override</x:v>
      </x:c>
      <x:c r="C1430" t="str">
        <x:v>hard</x:v>
      </x:c>
      <x:c r="D1430" s="17" t="str">
        <x:v>next ask before hit/override</x:v>
      </x:c>
      <x:c r="E1430" s="17" t="str">
        <x:v>budget</x:v>
      </x:c>
      <x:c r="F1430" s="17" t="str">
        <x:v>no new constraint</x:v>
      </x:c>
      <x:c r="G1430" s="17" t="str"/>
      <x:c r="H1430" s="17" t="str">
        <x:v>I don't have an additional preference for budget.</x:v>
      </x:c>
      <x:c r="I1430" s="17" t="str">
        <x:v>Override message occurs automatically on turn 3 or 4 before this reply when scheduled.</x:v>
      </x:c>
    </x:row>
    <x:row r="1431">
      <x:c r="A1431" t="str">
        <x:v>public_0125</x:v>
      </x:c>
      <x:c r="B1431" t="str">
        <x:v>intent_override</x:v>
      </x:c>
      <x:c r="C1431" t="str">
        <x:v>hard</x:v>
      </x:c>
      <x:c r="D1431" s="17" t="str">
        <x:v>next ask before hit/override</x:v>
      </x:c>
      <x:c r="E1431" s="17" t="str">
        <x:v>feature</x:v>
      </x:c>
      <x:c r="F1431" s="17" t="str">
        <x:v>constraint revealed</x:v>
      </x:c>
      <x:c r="G1431" s="17" t="str">
        <x:v>100% Acrylic | Hook and Loop closure</x:v>
      </x:c>
      <x:c r="H1431" s="17" t="str">
        <x:v>For that, what matters is: 100% Acrylic; Hook and Loop closure.</x:v>
      </x:c>
      <x:c r="I1431" s="17" t="str">
        <x:v>Override message occurs automatically on turn 3 or 4 before this reply when scheduled.</x:v>
      </x:c>
    </x:row>
    <x:row r="1432">
      <x:c r="A1432" t="str">
        <x:v>public_0125</x:v>
      </x:c>
      <x:c r="B1432" t="str">
        <x:v>intent_override</x:v>
      </x:c>
      <x:c r="C1432" t="str">
        <x:v>hard</x:v>
      </x:c>
      <x:c r="D1432" s="17" t="str">
        <x:v>next ask before hit/override</x:v>
      </x:c>
      <x:c r="E1432" s="17" t="str">
        <x:v>use_case</x:v>
      </x:c>
      <x:c r="F1432" s="17" t="str">
        <x:v>no new constraint</x:v>
      </x:c>
      <x:c r="G1432" s="17" t="str"/>
      <x:c r="H1432" s="17" t="str">
        <x:v>I don't have an additional preference for use_case.</x:v>
      </x:c>
      <x:c r="I1432" s="17" t="str">
        <x:v>Override message occurs automatically on turn 3 or 4 before this reply when scheduled.</x:v>
      </x:c>
    </x:row>
    <x:row r="1433">
      <x:c r="A1433" t="str">
        <x:v>public_0125</x:v>
      </x:c>
      <x:c r="B1433" t="str">
        <x:v>intent_override</x:v>
      </x:c>
      <x:c r="C1433" t="str">
        <x:v>hard</x:v>
      </x:c>
      <x:c r="D1433" s="17" t="str">
        <x:v>next ask before hit/override</x:v>
      </x:c>
      <x:c r="E1433" s="17" t="str">
        <x:v>other</x:v>
      </x:c>
      <x:c r="F1433" s="17" t="str">
        <x:v>constraint revealed</x:v>
      </x:c>
      <x:c r="G1433" s="17" t="str">
        <x:v>100% Acrylic | Hook and Loop closure</x:v>
      </x:c>
      <x:c r="H1433" s="17" t="str">
        <x:v>For that, what matters is: 100% Acrylic; Hook and Loop closure.</x:v>
      </x:c>
      <x:c r="I1433" s="17" t="str">
        <x:v>Override message occurs automatically on turn 3 or 4 before this reply when scheduled.</x:v>
      </x:c>
    </x:row>
    <x:row r="1434">
      <x:c r="A1434" t="str">
        <x:v>public_0125</x:v>
      </x:c>
      <x:c r="B1434" t="str">
        <x:v>intent_override</x:v>
      </x:c>
      <x:c r="C1434" t="str">
        <x:v>hard</x:v>
      </x:c>
      <x:c r="D1434" s="17" t="str">
        <x:v>next ask before hit/override</x:v>
      </x:c>
      <x:c r="E1434" s="17" t="str">
        <x:v>(no ask_attribute)</x:v>
      </x:c>
      <x:c r="F1434" s="17" t="str">
        <x:v>agent did not ask</x:v>
      </x:c>
      <x:c r="G1434" s="17" t="str"/>
      <x:c r="H1434" s="17" t="str">
        <x:v>Those options are not quite right yet. Ask me about one specific attribute.</x:v>
      </x:c>
      <x:c r="I1434" s="17" t="str">
        <x:v>Override message occurs automatically on turn 3 or 4 before this reply when scheduled.</x:v>
      </x:c>
    </x:row>
    <x:row r="1435">
      <x:c r="A1435" t="str">
        <x:v>public_0126</x:v>
      </x:c>
      <x:c r="B1435" t="str">
        <x:v>browsing</x:v>
      </x:c>
      <x:c r="C1435" t="str">
        <x:v>medium</x:v>
      </x:c>
      <x:c r="D1435" s="17" t="str">
        <x:v>next ask before hit/override</x:v>
      </x:c>
      <x:c r="E1435" s="17" t="str">
        <x:v>category</x:v>
      </x:c>
      <x:c r="F1435" s="17" t="str">
        <x:v>no new constraint</x:v>
      </x:c>
      <x:c r="G1435" s="17" t="str"/>
      <x:c r="H1435" s="17" t="str">
        <x:v>I don't have an additional preference for category.</x:v>
      </x:c>
      <x:c r="I1435" s="17" t="str"/>
    </x:row>
    <x:row r="1436">
      <x:c r="A1436" t="str">
        <x:v>public_0126</x:v>
      </x:c>
      <x:c r="B1436" t="str">
        <x:v>browsing</x:v>
      </x:c>
      <x:c r="C1436" t="str">
        <x:v>medium</x:v>
      </x:c>
      <x:c r="D1436" s="17" t="str">
        <x:v>next ask before hit/override</x:v>
      </x:c>
      <x:c r="E1436" s="17" t="str">
        <x:v>material</x:v>
      </x:c>
      <x:c r="F1436" s="17" t="str">
        <x:v>constraint revealed</x:v>
      </x:c>
      <x:c r="G1436" s="17" t="str">
        <x:v>polyester | 95% Polyester, 5% Spandex</x:v>
      </x:c>
      <x:c r="H1436" s="17" t="str">
        <x:v>For that, what matters is: polyester; 95% Polyester, 5% Spandex.</x:v>
      </x:c>
      <x:c r="I1436" s="17" t="str"/>
    </x:row>
    <x:row r="1437">
      <x:c r="A1437" t="str">
        <x:v>public_0126</x:v>
      </x:c>
      <x:c r="B1437" t="str">
        <x:v>browsing</x:v>
      </x:c>
      <x:c r="C1437" t="str">
        <x:v>medium</x:v>
      </x:c>
      <x:c r="D1437" s="17" t="str">
        <x:v>next ask before hit/override</x:v>
      </x:c>
      <x:c r="E1437" s="17" t="str">
        <x:v>color</x:v>
      </x:c>
      <x:c r="F1437" s="17" t="str">
        <x:v>no new constraint</x:v>
      </x:c>
      <x:c r="G1437" s="17" t="str"/>
      <x:c r="H1437" s="17" t="str">
        <x:v>I don't have an additional preference for color.</x:v>
      </x:c>
      <x:c r="I1437" s="17" t="str"/>
    </x:row>
    <x:row r="1438">
      <x:c r="A1438" t="str">
        <x:v>public_0126</x:v>
      </x:c>
      <x:c r="B1438" t="str">
        <x:v>browsing</x:v>
      </x:c>
      <x:c r="C1438" t="str">
        <x:v>medium</x:v>
      </x:c>
      <x:c r="D1438" s="17" t="str">
        <x:v>next ask before hit/override</x:v>
      </x:c>
      <x:c r="E1438" s="17" t="str">
        <x:v>size</x:v>
      </x:c>
      <x:c r="F1438" s="17" t="str">
        <x:v>no new constraint</x:v>
      </x:c>
      <x:c r="G1438" s="17" t="str"/>
      <x:c r="H1438" s="17" t="str">
        <x:v>I don't have an additional preference for size.</x:v>
      </x:c>
      <x:c r="I1438" s="17" t="str"/>
    </x:row>
    <x:row r="1439">
      <x:c r="A1439" t="str">
        <x:v>public_0126</x:v>
      </x:c>
      <x:c r="B1439" t="str">
        <x:v>browsing</x:v>
      </x:c>
      <x:c r="C1439" t="str">
        <x:v>medium</x:v>
      </x:c>
      <x:c r="D1439" s="17" t="str">
        <x:v>next ask before hit/override</x:v>
      </x:c>
      <x:c r="E1439" s="17" t="str">
        <x:v>style</x:v>
      </x:c>
      <x:c r="F1439" s="17" t="str">
        <x:v>no new constraint</x:v>
      </x:c>
      <x:c r="G1439" s="17" t="str"/>
      <x:c r="H1439" s="17" t="str">
        <x:v>I don't have an additional preference for style.</x:v>
      </x:c>
      <x:c r="I1439" s="17" t="str"/>
    </x:row>
    <x:row r="1440">
      <x:c r="A1440" t="str">
        <x:v>public_0126</x:v>
      </x:c>
      <x:c r="B1440" t="str">
        <x:v>browsing</x:v>
      </x:c>
      <x:c r="C1440" t="str">
        <x:v>medium</x:v>
      </x:c>
      <x:c r="D1440" s="17" t="str">
        <x:v>next ask before hit/override</x:v>
      </x:c>
      <x:c r="E1440" s="17" t="str">
        <x:v>brand</x:v>
      </x:c>
      <x:c r="F1440" s="17" t="str">
        <x:v>no new constraint</x:v>
      </x:c>
      <x:c r="G1440" s="17" t="str"/>
      <x:c r="H1440" s="17" t="str">
        <x:v>I don't have an additional preference for brand.</x:v>
      </x:c>
      <x:c r="I1440" s="17" t="str"/>
    </x:row>
    <x:row r="1441">
      <x:c r="A1441" t="str">
        <x:v>public_0126</x:v>
      </x:c>
      <x:c r="B1441" t="str">
        <x:v>browsing</x:v>
      </x:c>
      <x:c r="C1441" t="str">
        <x:v>medium</x:v>
      </x:c>
      <x:c r="D1441" s="17" t="str">
        <x:v>next ask before hit/override</x:v>
      </x:c>
      <x:c r="E1441" s="17" t="str">
        <x:v>budget</x:v>
      </x:c>
      <x:c r="F1441" s="17" t="str">
        <x:v>no new constraint</x:v>
      </x:c>
      <x:c r="G1441" s="17" t="str"/>
      <x:c r="H1441" s="17" t="str">
        <x:v>I don't have an additional preference for budget.</x:v>
      </x:c>
      <x:c r="I1441" s="17" t="str"/>
    </x:row>
    <x:row r="1442">
      <x:c r="A1442" t="str">
        <x:v>public_0126</x:v>
      </x:c>
      <x:c r="B1442" t="str">
        <x:v>browsing</x:v>
      </x:c>
      <x:c r="C1442" t="str">
        <x:v>medium</x:v>
      </x:c>
      <x:c r="D1442" s="17" t="str">
        <x:v>next ask before hit/override</x:v>
      </x:c>
      <x:c r="E1442" s="17" t="str">
        <x:v>feature</x:v>
      </x:c>
      <x:c r="F1442" s="17" t="str">
        <x:v>constraint revealed</x:v>
      </x:c>
      <x:c r="G1442" s="17" t="str">
        <x:v>Imported | Pull On closure</x:v>
      </x:c>
      <x:c r="H1442" s="17" t="str">
        <x:v>For that, what matters is: Imported; Pull On closure.</x:v>
      </x:c>
      <x:c r="I1442" s="17" t="str"/>
    </x:row>
    <x:row r="1443">
      <x:c r="A1443" t="str">
        <x:v>public_0126</x:v>
      </x:c>
      <x:c r="B1443" t="str">
        <x:v>browsing</x:v>
      </x:c>
      <x:c r="C1443" t="str">
        <x:v>medium</x:v>
      </x:c>
      <x:c r="D1443" s="17" t="str">
        <x:v>next ask before hit/override</x:v>
      </x:c>
      <x:c r="E1443" s="17" t="str">
        <x:v>use_case</x:v>
      </x:c>
      <x:c r="F1443" s="17" t="str">
        <x:v>no new constraint</x:v>
      </x:c>
      <x:c r="G1443" s="17" t="str"/>
      <x:c r="H1443" s="17" t="str">
        <x:v>I don't have an additional preference for use_case.</x:v>
      </x:c>
      <x:c r="I1443" s="17" t="str"/>
    </x:row>
    <x:row r="1444">
      <x:c r="A1444" t="str">
        <x:v>public_0126</x:v>
      </x:c>
      <x:c r="B1444" t="str">
        <x:v>browsing</x:v>
      </x:c>
      <x:c r="C1444" t="str">
        <x:v>medium</x:v>
      </x:c>
      <x:c r="D1444" s="17" t="str">
        <x:v>next ask before hit/override</x:v>
      </x:c>
      <x:c r="E1444" s="17" t="str">
        <x:v>other</x:v>
      </x:c>
      <x:c r="F1444" s="17" t="str">
        <x:v>constraint revealed</x:v>
      </x:c>
      <x:c r="G1444" s="17" t="str">
        <x:v>polyester | 95% Polyester, 5% Spandex</x:v>
      </x:c>
      <x:c r="H1444" s="17" t="str">
        <x:v>For that, what matters is: polyester; 95% Polyester, 5% Spandex.</x:v>
      </x:c>
      <x:c r="I1444" s="17" t="str"/>
    </x:row>
    <x:row r="1445">
      <x:c r="A1445" t="str">
        <x:v>public_0126</x:v>
      </x:c>
      <x:c r="B1445" t="str">
        <x:v>browsing</x:v>
      </x:c>
      <x:c r="C1445" t="str">
        <x:v>medium</x:v>
      </x:c>
      <x:c r="D1445" s="17" t="str">
        <x:v>next ask before hit/override</x:v>
      </x:c>
      <x:c r="E1445" s="17" t="str">
        <x:v>(no ask_attribute)</x:v>
      </x:c>
      <x:c r="F1445" s="17" t="str">
        <x:v>agent did not ask</x:v>
      </x:c>
      <x:c r="G1445" s="17" t="str"/>
      <x:c r="H1445" s="17" t="str">
        <x:v>Those options are not quite right yet. Ask me about one specific attribute.</x:v>
      </x:c>
      <x:c r="I1445" s="17" t="str"/>
    </x:row>
    <x:row r="1446">
      <x:c r="A1446" t="str">
        <x:v>public_0127</x:v>
      </x:c>
      <x:c r="B1446" t="str">
        <x:v>browsing</x:v>
      </x:c>
      <x:c r="C1446" t="str">
        <x:v>medium</x:v>
      </x:c>
      <x:c r="D1446" s="17" t="str">
        <x:v>next ask before hit/override</x:v>
      </x:c>
      <x:c r="E1446" s="17" t="str">
        <x:v>category</x:v>
      </x:c>
      <x:c r="F1446" s="17" t="str">
        <x:v>no new constraint</x:v>
      </x:c>
      <x:c r="G1446" s="17" t="str"/>
      <x:c r="H1446" s="17" t="str">
        <x:v>I don't have an additional preference for category.</x:v>
      </x:c>
      <x:c r="I1446" s="17" t="str"/>
    </x:row>
    <x:row r="1447">
      <x:c r="A1447" t="str">
        <x:v>public_0127</x:v>
      </x:c>
      <x:c r="B1447" t="str">
        <x:v>browsing</x:v>
      </x:c>
      <x:c r="C1447" t="str">
        <x:v>medium</x:v>
      </x:c>
      <x:c r="D1447" s="17" t="str">
        <x:v>next ask before hit/override</x:v>
      </x:c>
      <x:c r="E1447" s="17" t="str">
        <x:v>material</x:v>
      </x:c>
      <x:c r="F1447" s="17" t="str">
        <x:v>constraint revealed</x:v>
      </x:c>
      <x:c r="G1447" s="17" t="str">
        <x:v>polyester | 100% Polyester</x:v>
      </x:c>
      <x:c r="H1447" s="17" t="str">
        <x:v>For that, what matters is: polyester; 100% Polyester.</x:v>
      </x:c>
      <x:c r="I1447" s="17" t="str"/>
    </x:row>
    <x:row r="1448">
      <x:c r="A1448" t="str">
        <x:v>public_0127</x:v>
      </x:c>
      <x:c r="B1448" t="str">
        <x:v>browsing</x:v>
      </x:c>
      <x:c r="C1448" t="str">
        <x:v>medium</x:v>
      </x:c>
      <x:c r="D1448" s="17" t="str">
        <x:v>next ask before hit/override</x:v>
      </x:c>
      <x:c r="E1448" s="17" t="str">
        <x:v>color</x:v>
      </x:c>
      <x:c r="F1448" s="17" t="str">
        <x:v>constraint revealed</x:v>
      </x:c>
      <x:c r="G1448" s="17" t="str">
        <x:v>color: black</x:v>
      </x:c>
      <x:c r="H1448" s="17" t="str">
        <x:v>For that, what matters is: color: black.</x:v>
      </x:c>
      <x:c r="I1448" s="17" t="str"/>
    </x:row>
    <x:row r="1449">
      <x:c r="A1449" t="str">
        <x:v>public_0127</x:v>
      </x:c>
      <x:c r="B1449" t="str">
        <x:v>browsing</x:v>
      </x:c>
      <x:c r="C1449" t="str">
        <x:v>medium</x:v>
      </x:c>
      <x:c r="D1449" s="17" t="str">
        <x:v>next ask before hit/override</x:v>
      </x:c>
      <x:c r="E1449" s="17" t="str">
        <x:v>size</x:v>
      </x:c>
      <x:c r="F1449" s="17" t="str">
        <x:v>no new constraint</x:v>
      </x:c>
      <x:c r="G1449" s="17" t="str"/>
      <x:c r="H1449" s="17" t="str">
        <x:v>I don't have an additional preference for size.</x:v>
      </x:c>
      <x:c r="I1449" s="17" t="str"/>
    </x:row>
    <x:row r="1450">
      <x:c r="A1450" t="str">
        <x:v>public_0127</x:v>
      </x:c>
      <x:c r="B1450" t="str">
        <x:v>browsing</x:v>
      </x:c>
      <x:c r="C1450" t="str">
        <x:v>medium</x:v>
      </x:c>
      <x:c r="D1450" s="17" t="str">
        <x:v>next ask before hit/override</x:v>
      </x:c>
      <x:c r="E1450" s="17" t="str">
        <x:v>style</x:v>
      </x:c>
      <x:c r="F1450" s="17" t="str">
        <x:v>no new constraint</x:v>
      </x:c>
      <x:c r="G1450" s="17" t="str"/>
      <x:c r="H1450" s="17" t="str">
        <x:v>I don't have an additional preference for style.</x:v>
      </x:c>
      <x:c r="I1450" s="17" t="str"/>
    </x:row>
    <x:row r="1451">
      <x:c r="A1451" t="str">
        <x:v>public_0127</x:v>
      </x:c>
      <x:c r="B1451" t="str">
        <x:v>browsing</x:v>
      </x:c>
      <x:c r="C1451" t="str">
        <x:v>medium</x:v>
      </x:c>
      <x:c r="D1451" s="17" t="str">
        <x:v>next ask before hit/override</x:v>
      </x:c>
      <x:c r="E1451" s="17" t="str">
        <x:v>brand</x:v>
      </x:c>
      <x:c r="F1451" s="17" t="str">
        <x:v>no new constraint</x:v>
      </x:c>
      <x:c r="G1451" s="17" t="str"/>
      <x:c r="H1451" s="17" t="str">
        <x:v>I don't have an additional preference for brand.</x:v>
      </x:c>
      <x:c r="I1451" s="17" t="str"/>
    </x:row>
    <x:row r="1452">
      <x:c r="A1452" t="str">
        <x:v>public_0127</x:v>
      </x:c>
      <x:c r="B1452" t="str">
        <x:v>browsing</x:v>
      </x:c>
      <x:c r="C1452" t="str">
        <x:v>medium</x:v>
      </x:c>
      <x:c r="D1452" s="17" t="str">
        <x:v>next ask before hit/override</x:v>
      </x:c>
      <x:c r="E1452" s="17" t="str">
        <x:v>budget</x:v>
      </x:c>
      <x:c r="F1452" s="17" t="str">
        <x:v>no new constraint</x:v>
      </x:c>
      <x:c r="G1452" s="17" t="str"/>
      <x:c r="H1452" s="17" t="str">
        <x:v>I don't have an additional preference for budget.</x:v>
      </x:c>
      <x:c r="I1452" s="17" t="str"/>
    </x:row>
    <x:row r="1453">
      <x:c r="A1453" t="str">
        <x:v>public_0127</x:v>
      </x:c>
      <x:c r="B1453" t="str">
        <x:v>browsing</x:v>
      </x:c>
      <x:c r="C1453" t="str">
        <x:v>medium</x:v>
      </x:c>
      <x:c r="D1453" s="17" t="str">
        <x:v>next ask before hit/override</x:v>
      </x:c>
      <x:c r="E1453" s="17" t="str">
        <x:v>feature</x:v>
      </x:c>
      <x:c r="F1453" s="17" t="str">
        <x:v>constraint revealed</x:v>
      </x:c>
      <x:c r="G1453" s="17" t="str">
        <x:v>Imported</x:v>
      </x:c>
      <x:c r="H1453" s="17" t="str">
        <x:v>For that, what matters is: Imported.</x:v>
      </x:c>
      <x:c r="I1453" s="17" t="str"/>
    </x:row>
    <x:row r="1454">
      <x:c r="A1454" t="str">
        <x:v>public_0127</x:v>
      </x:c>
      <x:c r="B1454" t="str">
        <x:v>browsing</x:v>
      </x:c>
      <x:c r="C1454" t="str">
        <x:v>medium</x:v>
      </x:c>
      <x:c r="D1454" s="17" t="str">
        <x:v>next ask before hit/override</x:v>
      </x:c>
      <x:c r="E1454" s="17" t="str">
        <x:v>use_case</x:v>
      </x:c>
      <x:c r="F1454" s="17" t="str">
        <x:v>no new constraint</x:v>
      </x:c>
      <x:c r="G1454" s="17" t="str"/>
      <x:c r="H1454" s="17" t="str">
        <x:v>I don't have an additional preference for use_case.</x:v>
      </x:c>
      <x:c r="I1454" s="17" t="str"/>
    </x:row>
    <x:row r="1455">
      <x:c r="A1455" t="str">
        <x:v>public_0127</x:v>
      </x:c>
      <x:c r="B1455" t="str">
        <x:v>browsing</x:v>
      </x:c>
      <x:c r="C1455" t="str">
        <x:v>medium</x:v>
      </x:c>
      <x:c r="D1455" s="17" t="str">
        <x:v>next ask before hit/override</x:v>
      </x:c>
      <x:c r="E1455" s="17" t="str">
        <x:v>other</x:v>
      </x:c>
      <x:c r="F1455" s="17" t="str">
        <x:v>constraint revealed</x:v>
      </x:c>
      <x:c r="G1455" s="17" t="str">
        <x:v>polyester | color: black</x:v>
      </x:c>
      <x:c r="H1455" s="17" t="str">
        <x:v>For that, what matters is: polyester; color: black.</x:v>
      </x:c>
      <x:c r="I1455" s="17" t="str"/>
    </x:row>
    <x:row r="1456">
      <x:c r="A1456" t="str">
        <x:v>public_0127</x:v>
      </x:c>
      <x:c r="B1456" t="str">
        <x:v>browsing</x:v>
      </x:c>
      <x:c r="C1456" t="str">
        <x:v>medium</x:v>
      </x:c>
      <x:c r="D1456" s="17" t="str">
        <x:v>next ask before hit/override</x:v>
      </x:c>
      <x:c r="E1456" s="17" t="str">
        <x:v>(no ask_attribute)</x:v>
      </x:c>
      <x:c r="F1456" s="17" t="str">
        <x:v>agent did not ask</x:v>
      </x:c>
      <x:c r="G1456" s="17" t="str"/>
      <x:c r="H1456" s="17" t="str">
        <x:v>Those options are not quite right yet. Ask me about one specific attribute.</x:v>
      </x:c>
      <x:c r="I1456" s="17" t="str"/>
    </x:row>
    <x:row r="1457">
      <x:c r="A1457" t="str">
        <x:v>public_0128</x:v>
      </x:c>
      <x:c r="B1457" t="str">
        <x:v>browsing</x:v>
      </x:c>
      <x:c r="C1457" t="str">
        <x:v>medium</x:v>
      </x:c>
      <x:c r="D1457" s="17" t="str">
        <x:v>next ask before hit/override</x:v>
      </x:c>
      <x:c r="E1457" s="17" t="str">
        <x:v>category</x:v>
      </x:c>
      <x:c r="F1457" s="17" t="str">
        <x:v>no new constraint</x:v>
      </x:c>
      <x:c r="G1457" s="17" t="str"/>
      <x:c r="H1457" s="17" t="str">
        <x:v>I don't have an additional preference for category.</x:v>
      </x:c>
      <x:c r="I1457" s="17" t="str"/>
    </x:row>
    <x:row r="1458">
      <x:c r="A1458" t="str">
        <x:v>public_0128</x:v>
      </x:c>
      <x:c r="B1458" t="str">
        <x:v>browsing</x:v>
      </x:c>
      <x:c r="C1458" t="str">
        <x:v>medium</x:v>
      </x:c>
      <x:c r="D1458" s="17" t="str">
        <x:v>next ask before hit/override</x:v>
      </x:c>
      <x:c r="E1458" s="17" t="str">
        <x:v>material</x:v>
      </x:c>
      <x:c r="F1458" s="17" t="str">
        <x:v>no new constraint</x:v>
      </x:c>
      <x:c r="G1458" s="17" t="str"/>
      <x:c r="H1458" s="17" t="str">
        <x:v>I don't have an additional preference for material.</x:v>
      </x:c>
      <x:c r="I1458" s="17" t="str"/>
    </x:row>
    <x:row r="1459">
      <x:c r="A1459" t="str">
        <x:v>public_0128</x:v>
      </x:c>
      <x:c r="B1459" t="str">
        <x:v>browsing</x:v>
      </x:c>
      <x:c r="C1459" t="str">
        <x:v>medium</x:v>
      </x:c>
      <x:c r="D1459" s="17" t="str">
        <x:v>next ask before hit/override</x:v>
      </x:c>
      <x:c r="E1459" s="17" t="str">
        <x:v>color</x:v>
      </x:c>
      <x:c r="F1459" s="17" t="str">
        <x:v>constraint revealed</x:v>
      </x:c>
      <x:c r="G1459" s="17" t="str">
        <x:v>color: yellow | PAVOI 4.5mm Thick 40mm Diameter Yellow Gold Earrings for Women</x:v>
      </x:c>
      <x:c r="H1459" s="17" t="str">
        <x:v>For that, what matters is: color: yellow; PAVOI 4.5mm Thick 40mm Diameter Yellow Gold Earrings for Women.</x:v>
      </x:c>
      <x:c r="I1459" s="17" t="str"/>
    </x:row>
    <x:row r="1460">
      <x:c r="A1460" t="str">
        <x:v>public_0128</x:v>
      </x:c>
      <x:c r="B1460" t="str">
        <x:v>browsing</x:v>
      </x:c>
      <x:c r="C1460" t="str">
        <x:v>medium</x:v>
      </x:c>
      <x:c r="D1460" s="17" t="str">
        <x:v>next ask before hit/override</x:v>
      </x:c>
      <x:c r="E1460" s="17" t="str">
        <x:v>size</x:v>
      </x:c>
      <x:c r="F1460" s="17" t="str">
        <x:v>no new constraint</x:v>
      </x:c>
      <x:c r="G1460" s="17" t="str"/>
      <x:c r="H1460" s="17" t="str">
        <x:v>I don't have an additional preference for size.</x:v>
      </x:c>
      <x:c r="I1460" s="17" t="str"/>
    </x:row>
    <x:row r="1461">
      <x:c r="A1461" t="str">
        <x:v>public_0128</x:v>
      </x:c>
      <x:c r="B1461" t="str">
        <x:v>browsing</x:v>
      </x:c>
      <x:c r="C1461" t="str">
        <x:v>medium</x:v>
      </x:c>
      <x:c r="D1461" s="17" t="str">
        <x:v>next ask before hit/override</x:v>
      </x:c>
      <x:c r="E1461" s="17" t="str">
        <x:v>style</x:v>
      </x:c>
      <x:c r="F1461" s="17" t="str">
        <x:v>constraint revealed</x:v>
      </x:c>
      <x:c r="G1461" s="17" t="str">
        <x:v>✦18K GOLD VERMEIL✦ A premium offering of our best selling styles, our vermeil jewelry is made with a solid s925 sterling silver base and plated in 18K gold that is 10x thicker than</x:v>
      </x:c>
      <x:c r="H1461" s="17" t="str">
        <x:v>For that, what matters is: ✦18K GOLD VERMEIL✦ A premium offering of our best selling styles, our vermeil jewelry is made with a solid s925 sterling silver base and plated in 18K gold that is 10x thicker than.</x:v>
      </x:c>
      <x:c r="I1461" s="17" t="str"/>
    </x:row>
    <x:row r="1462">
      <x:c r="A1462" t="str">
        <x:v>public_0128</x:v>
      </x:c>
      <x:c r="B1462" t="str">
        <x:v>browsing</x:v>
      </x:c>
      <x:c r="C1462" t="str">
        <x:v>medium</x:v>
      </x:c>
      <x:c r="D1462" s="17" t="str">
        <x:v>next ask before hit/override</x:v>
      </x:c>
      <x:c r="E1462" s="17" t="str">
        <x:v>brand</x:v>
      </x:c>
      <x:c r="F1462" s="17" t="str">
        <x:v>no new constraint</x:v>
      </x:c>
      <x:c r="G1462" s="17" t="str"/>
      <x:c r="H1462" s="17" t="str">
        <x:v>I don't have an additional preference for brand.</x:v>
      </x:c>
      <x:c r="I1462" s="17" t="str"/>
    </x:row>
    <x:row r="1463">
      <x:c r="A1463" t="str">
        <x:v>public_0128</x:v>
      </x:c>
      <x:c r="B1463" t="str">
        <x:v>browsing</x:v>
      </x:c>
      <x:c r="C1463" t="str">
        <x:v>medium</x:v>
      </x:c>
      <x:c r="D1463" s="17" t="str">
        <x:v>next ask before hit/override</x:v>
      </x:c>
      <x:c r="E1463" s="17" t="str">
        <x:v>budget</x:v>
      </x:c>
      <x:c r="F1463" s="17" t="str">
        <x:v>no new constraint</x:v>
      </x:c>
      <x:c r="G1463" s="17" t="str"/>
      <x:c r="H1463" s="17" t="str">
        <x:v>I don't have an additional preference for budget.</x:v>
      </x:c>
      <x:c r="I1463" s="17" t="str"/>
    </x:row>
    <x:row r="1464">
      <x:c r="A1464" t="str">
        <x:v>public_0128</x:v>
      </x:c>
      <x:c r="B1464" t="str">
        <x:v>browsing</x:v>
      </x:c>
      <x:c r="C1464" t="str">
        <x:v>medium</x:v>
      </x:c>
      <x:c r="D1464" s="17" t="str">
        <x:v>next ask before hit/override</x:v>
      </x:c>
      <x:c r="E1464" s="17" t="str">
        <x:v>feature</x:v>
      </x:c>
      <x:c r="F1464" s="17" t="str">
        <x:v>constraint revealed</x:v>
      </x:c>
      <x:c r="G1464" s="17" t="str">
        <x:v>✦ 60-DAY GUARANTEE ✦ Your happiness is our number one priority. To ensure your complete satisfaction, we offer a hassle-free 60-Day money-back guarantee. To get in touch, email or</x:v>
      </x:c>
      <x:c r="H1464" s="17" t="str">
        <x:v>For that, what matters is: ✦ 60-DAY GUARANTEE ✦ Your happiness is our number one priority. To ensure your complete satisfaction, we offer a hassle-free 60-Day money-back guarantee. To get in touch, email or.</x:v>
      </x:c>
      <x:c r="I1464" s="17" t="str"/>
    </x:row>
    <x:row r="1465">
      <x:c r="A1465" t="str">
        <x:v>public_0128</x:v>
      </x:c>
      <x:c r="B1465" t="str">
        <x:v>browsing</x:v>
      </x:c>
      <x:c r="C1465" t="str">
        <x:v>medium</x:v>
      </x:c>
      <x:c r="D1465" s="17" t="str">
        <x:v>next ask before hit/override</x:v>
      </x:c>
      <x:c r="E1465" s="17" t="str">
        <x:v>use_case</x:v>
      </x:c>
      <x:c r="F1465" s="17" t="str">
        <x:v>no new constraint</x:v>
      </x:c>
      <x:c r="G1465" s="17" t="str"/>
      <x:c r="H1465" s="17" t="str">
        <x:v>I don't have an additional preference for use_case.</x:v>
      </x:c>
      <x:c r="I1465" s="17" t="str"/>
    </x:row>
    <x:row r="1466">
      <x:c r="A1466" t="str">
        <x:v>public_0128</x:v>
      </x:c>
      <x:c r="B1466" t="str">
        <x:v>browsing</x:v>
      </x:c>
      <x:c r="C1466" t="str">
        <x:v>medium</x:v>
      </x:c>
      <x:c r="D1466" s="17" t="str">
        <x:v>next ask before hit/override</x:v>
      </x:c>
      <x:c r="E1466" s="17" t="str">
        <x:v>other</x:v>
      </x:c>
      <x:c r="F1466" s="17" t="str">
        <x:v>constraint revealed</x:v>
      </x:c>
      <x:c r="G1466" s="17" t="str">
        <x:v>✦18K GOLD VERMEIL✦ A premium offering of our best selling styles, our vermeil jewelry is made with a solid s925 sterling silver base and plated in 18K gold that is 10x thicker than | color: yellow</x:v>
      </x:c>
      <x:c r="H1466" s="17" t="str">
        <x:v>For that, what matters is: ✦18K GOLD VERMEIL✦ A premium offering of our best selling styles, our vermeil jewelry is made with a solid s925 sterling silver base and plated in 18K gold that is 10x thicker than; color: yellow.</x:v>
      </x:c>
      <x:c r="I1466" s="17" t="str"/>
    </x:row>
    <x:row r="1467">
      <x:c r="A1467" t="str">
        <x:v>public_0128</x:v>
      </x:c>
      <x:c r="B1467" t="str">
        <x:v>browsing</x:v>
      </x:c>
      <x:c r="C1467" t="str">
        <x:v>medium</x:v>
      </x:c>
      <x:c r="D1467" s="17" t="str">
        <x:v>next ask before hit/override</x:v>
      </x:c>
      <x:c r="E1467" s="17" t="str">
        <x:v>(no ask_attribute)</x:v>
      </x:c>
      <x:c r="F1467" s="17" t="str">
        <x:v>agent did not ask</x:v>
      </x:c>
      <x:c r="G1467" s="17" t="str"/>
      <x:c r="H1467" s="17" t="str">
        <x:v>Those options are not quite right yet. Ask me about one specific attribute.</x:v>
      </x:c>
      <x:c r="I1467" s="17" t="str"/>
    </x:row>
    <x:row r="1468">
      <x:c r="A1468" t="str">
        <x:v>public_0129</x:v>
      </x:c>
      <x:c r="B1468" t="str">
        <x:v>buying</x:v>
      </x:c>
      <x:c r="C1468" t="str">
        <x:v>easy</x:v>
      </x:c>
      <x:c r="D1468" s="17" t="str">
        <x:v>next ask before hit/override</x:v>
      </x:c>
      <x:c r="E1468" s="17" t="str">
        <x:v>category</x:v>
      </x:c>
      <x:c r="F1468" s="17" t="str">
        <x:v>no new constraint</x:v>
      </x:c>
      <x:c r="G1468" s="17" t="str"/>
      <x:c r="H1468" s="17" t="str">
        <x:v>I don't have an additional preference for category.</x:v>
      </x:c>
      <x:c r="I1468" s="17" t="str"/>
    </x:row>
    <x:row r="1469">
      <x:c r="A1469" t="str">
        <x:v>public_0129</x:v>
      </x:c>
      <x:c r="B1469" t="str">
        <x:v>buying</x:v>
      </x:c>
      <x:c r="C1469" t="str">
        <x:v>easy</x:v>
      </x:c>
      <x:c r="D1469" s="17" t="str">
        <x:v>next ask before hit/override</x:v>
      </x:c>
      <x:c r="E1469" s="17" t="str">
        <x:v>material</x:v>
      </x:c>
      <x:c r="F1469" s="17" t="str">
        <x:v>constraint revealed</x:v>
      </x:c>
      <x:c r="G1469" s="17" t="str">
        <x:v>Stretchy fabric: 95% gossypium, 5% spandex</x:v>
      </x:c>
      <x:c r="H1469" s="17" t="str">
        <x:v>For that, what matters is: Stretchy fabric: 95% gossypium, 5% spandex.</x:v>
      </x:c>
      <x:c r="I1469" s="17" t="str"/>
    </x:row>
    <x:row r="1470">
      <x:c r="A1470" t="str">
        <x:v>public_0129</x:v>
      </x:c>
      <x:c r="B1470" t="str">
        <x:v>buying</x:v>
      </x:c>
      <x:c r="C1470" t="str">
        <x:v>easy</x:v>
      </x:c>
      <x:c r="D1470" s="17" t="str">
        <x:v>next ask before hit/override</x:v>
      </x:c>
      <x:c r="E1470" s="17" t="str">
        <x:v>color</x:v>
      </x:c>
      <x:c r="F1470" s="17" t="str">
        <x:v>no new constraint</x:v>
      </x:c>
      <x:c r="G1470" s="17" t="str"/>
      <x:c r="H1470" s="17" t="str">
        <x:v>I don't have an additional preference for color.</x:v>
      </x:c>
      <x:c r="I1470" s="17" t="str"/>
    </x:row>
    <x:row r="1471">
      <x:c r="A1471" t="str">
        <x:v>public_0129</x:v>
      </x:c>
      <x:c r="B1471" t="str">
        <x:v>buying</x:v>
      </x:c>
      <x:c r="C1471" t="str">
        <x:v>easy</x:v>
      </x:c>
      <x:c r="D1471" s="17" t="str">
        <x:v>next ask before hit/override</x:v>
      </x:c>
      <x:c r="E1471" s="17" t="str">
        <x:v>size</x:v>
      </x:c>
      <x:c r="F1471" s="17" t="str">
        <x:v>no new constraint</x:v>
      </x:c>
      <x:c r="G1471" s="17" t="str"/>
      <x:c r="H1471" s="17" t="str">
        <x:v>I don't have an additional preference for size.</x:v>
      </x:c>
      <x:c r="I1471" s="17" t="str"/>
    </x:row>
    <x:row r="1472">
      <x:c r="A1472" t="str">
        <x:v>public_0129</x:v>
      </x:c>
      <x:c r="B1472" t="str">
        <x:v>buying</x:v>
      </x:c>
      <x:c r="C1472" t="str">
        <x:v>easy</x:v>
      </x:c>
      <x:c r="D1472" s="17" t="str">
        <x:v>next ask before hit/override</x:v>
      </x:c>
      <x:c r="E1472" s="17" t="str">
        <x:v>style</x:v>
      </x:c>
      <x:c r="F1472" s="17" t="str">
        <x:v>no new constraint</x:v>
      </x:c>
      <x:c r="G1472" s="17" t="str"/>
      <x:c r="H1472" s="17" t="str">
        <x:v>I don't have an additional preference for style.</x:v>
      </x:c>
      <x:c r="I1472" s="17" t="str"/>
    </x:row>
    <x:row r="1473">
      <x:c r="A1473" t="str">
        <x:v>public_0129</x:v>
      </x:c>
      <x:c r="B1473" t="str">
        <x:v>buying</x:v>
      </x:c>
      <x:c r="C1473" t="str">
        <x:v>easy</x:v>
      </x:c>
      <x:c r="D1473" s="17" t="str">
        <x:v>next ask before hit/override</x:v>
      </x:c>
      <x:c r="E1473" s="17" t="str">
        <x:v>brand</x:v>
      </x:c>
      <x:c r="F1473" s="17" t="str">
        <x:v>no new constraint</x:v>
      </x:c>
      <x:c r="G1473" s="17" t="str"/>
      <x:c r="H1473" s="17" t="str">
        <x:v>I don't have an additional preference for brand.</x:v>
      </x:c>
      <x:c r="I1473" s="17" t="str"/>
    </x:row>
    <x:row r="1474">
      <x:c r="A1474" t="str">
        <x:v>public_0129</x:v>
      </x:c>
      <x:c r="B1474" t="str">
        <x:v>buying</x:v>
      </x:c>
      <x:c r="C1474" t="str">
        <x:v>easy</x:v>
      </x:c>
      <x:c r="D1474" s="17" t="str">
        <x:v>next ask before hit/override</x:v>
      </x:c>
      <x:c r="E1474" s="17" t="str">
        <x:v>budget</x:v>
      </x:c>
      <x:c r="F1474" s="17" t="str">
        <x:v>no new constraint</x:v>
      </x:c>
      <x:c r="G1474" s="17" t="str"/>
      <x:c r="H1474" s="17" t="str">
        <x:v>I don't have an additional preference for budget.</x:v>
      </x:c>
      <x:c r="I1474" s="17" t="str"/>
    </x:row>
    <x:row r="1475">
      <x:c r="A1475" t="str">
        <x:v>public_0129</x:v>
      </x:c>
      <x:c r="B1475" t="str">
        <x:v>buying</x:v>
      </x:c>
      <x:c r="C1475" t="str">
        <x:v>easy</x:v>
      </x:c>
      <x:c r="D1475" s="17" t="str">
        <x:v>next ask before hit/override</x:v>
      </x:c>
      <x:c r="E1475" s="17" t="str">
        <x:v>feature</x:v>
      </x:c>
      <x:c r="F1475" s="17" t="str">
        <x:v>constraint revealed</x:v>
      </x:c>
      <x:c r="G1475" s="17" t="str">
        <x:v>Imported | Snap closure</x:v>
      </x:c>
      <x:c r="H1475" s="17" t="str">
        <x:v>For that, what matters is: Imported; Snap closure.</x:v>
      </x:c>
      <x:c r="I1475" s="17" t="str"/>
    </x:row>
    <x:row r="1476">
      <x:c r="A1476" t="str">
        <x:v>public_0129</x:v>
      </x:c>
      <x:c r="B1476" t="str">
        <x:v>buying</x:v>
      </x:c>
      <x:c r="C1476" t="str">
        <x:v>easy</x:v>
      </x:c>
      <x:c r="D1476" s="17" t="str">
        <x:v>next ask before hit/override</x:v>
      </x:c>
      <x:c r="E1476" s="17" t="str">
        <x:v>use_case</x:v>
      </x:c>
      <x:c r="F1476" s="17" t="str">
        <x:v>no new constraint</x:v>
      </x:c>
      <x:c r="G1476" s="17" t="str"/>
      <x:c r="H1476" s="17" t="str">
        <x:v>I don't have an additional preference for use_case.</x:v>
      </x:c>
      <x:c r="I1476" s="17" t="str"/>
    </x:row>
    <x:row r="1477">
      <x:c r="A1477" t="str">
        <x:v>public_0129</x:v>
      </x:c>
      <x:c r="B1477" t="str">
        <x:v>buying</x:v>
      </x:c>
      <x:c r="C1477" t="str">
        <x:v>easy</x:v>
      </x:c>
      <x:c r="D1477" s="17" t="str">
        <x:v>next ask before hit/override</x:v>
      </x:c>
      <x:c r="E1477" s="17" t="str">
        <x:v>other</x:v>
      </x:c>
      <x:c r="F1477" s="17" t="str">
        <x:v>constraint revealed</x:v>
      </x:c>
      <x:c r="G1477" s="17" t="str">
        <x:v>Stretchy fabric: 95% gossypium, 5% spandex | Imported</x:v>
      </x:c>
      <x:c r="H1477" s="17" t="str">
        <x:v>For that, what matters is: Stretchy fabric: 95% gossypium, 5% spandex; Imported.</x:v>
      </x:c>
      <x:c r="I1477" s="17" t="str"/>
    </x:row>
    <x:row r="1478">
      <x:c r="A1478" t="str">
        <x:v>public_0129</x:v>
      </x:c>
      <x:c r="B1478" t="str">
        <x:v>buying</x:v>
      </x:c>
      <x:c r="C1478" t="str">
        <x:v>easy</x:v>
      </x:c>
      <x:c r="D1478" s="17" t="str">
        <x:v>next ask before hit/override</x:v>
      </x:c>
      <x:c r="E1478" s="17" t="str">
        <x:v>(no ask_attribute)</x:v>
      </x:c>
      <x:c r="F1478" s="17" t="str">
        <x:v>agent did not ask</x:v>
      </x:c>
      <x:c r="G1478" s="17" t="str"/>
      <x:c r="H1478" s="17" t="str">
        <x:v>Those options are not quite right yet. Ask me about one specific attribute.</x:v>
      </x:c>
      <x:c r="I1478" s="17" t="str"/>
    </x:row>
    <x:row r="1479">
      <x:c r="A1479" t="str">
        <x:v>public_0130</x:v>
      </x:c>
      <x:c r="B1479" t="str">
        <x:v>intent_override</x:v>
      </x:c>
      <x:c r="C1479" t="str">
        <x:v>hard</x:v>
      </x:c>
      <x:c r="D1479" s="17" t="str">
        <x:v>next ask before hit/override</x:v>
      </x:c>
      <x:c r="E1479" s="17" t="str">
        <x:v>category</x:v>
      </x:c>
      <x:c r="F1479" s="17" t="str">
        <x:v>no new constraint</x:v>
      </x:c>
      <x:c r="G1479" s="17" t="str"/>
      <x:c r="H1479" s="17" t="str">
        <x:v>I don't have an additional preference for category.</x:v>
      </x:c>
      <x:c r="I1479" s="17" t="str">
        <x:v>Override message occurs automatically on turn 3 or 4 before this reply when scheduled.</x:v>
      </x:c>
    </x:row>
    <x:row r="1480">
      <x:c r="A1480" t="str">
        <x:v>public_0130</x:v>
      </x:c>
      <x:c r="B1480" t="str">
        <x:v>intent_override</x:v>
      </x:c>
      <x:c r="C1480" t="str">
        <x:v>hard</x:v>
      </x:c>
      <x:c r="D1480" s="17" t="str">
        <x:v>next ask before hit/override</x:v>
      </x:c>
      <x:c r="E1480" s="17" t="str">
        <x:v>material</x:v>
      </x:c>
      <x:c r="F1480" s="17" t="str">
        <x:v>constraint revealed</x:v>
      </x:c>
      <x:c r="G1480" s="17" t="str">
        <x:v>cotton | 95% Cotton, 5% Spandex</x:v>
      </x:c>
      <x:c r="H1480" s="17" t="str">
        <x:v>For that, what matters is: cotton; 95% Cotton, 5% Spandex.</x:v>
      </x:c>
      <x:c r="I1480" s="17" t="str">
        <x:v>Override message occurs automatically on turn 3 or 4 before this reply when scheduled.</x:v>
      </x:c>
    </x:row>
    <x:row r="1481">
      <x:c r="A1481" t="str">
        <x:v>public_0130</x:v>
      </x:c>
      <x:c r="B1481" t="str">
        <x:v>intent_override</x:v>
      </x:c>
      <x:c r="C1481" t="str">
        <x:v>hard</x:v>
      </x:c>
      <x:c r="D1481" s="17" t="str">
        <x:v>next ask before hit/override</x:v>
      </x:c>
      <x:c r="E1481" s="17" t="str">
        <x:v>color</x:v>
      </x:c>
      <x:c r="F1481" s="17" t="str">
        <x:v>no new constraint</x:v>
      </x:c>
      <x:c r="G1481" s="17" t="str"/>
      <x:c r="H1481" s="17" t="str">
        <x:v>I don't have an additional preference for color.</x:v>
      </x:c>
      <x:c r="I1481" s="17" t="str">
        <x:v>Override message occurs automatically on turn 3 or 4 before this reply when scheduled.</x:v>
      </x:c>
    </x:row>
    <x:row r="1482">
      <x:c r="A1482" t="str">
        <x:v>public_0130</x:v>
      </x:c>
      <x:c r="B1482" t="str">
        <x:v>intent_override</x:v>
      </x:c>
      <x:c r="C1482" t="str">
        <x:v>hard</x:v>
      </x:c>
      <x:c r="D1482" s="17" t="str">
        <x:v>next ask before hit/override</x:v>
      </x:c>
      <x:c r="E1482" s="17" t="str">
        <x:v>size</x:v>
      </x:c>
      <x:c r="F1482" s="17" t="str">
        <x:v>no new constraint</x:v>
      </x:c>
      <x:c r="G1482" s="17" t="str"/>
      <x:c r="H1482" s="17" t="str">
        <x:v>I don't have an additional preference for size.</x:v>
      </x:c>
      <x:c r="I1482" s="17" t="str">
        <x:v>Override message occurs automatically on turn 3 or 4 before this reply when scheduled.</x:v>
      </x:c>
    </x:row>
    <x:row r="1483">
      <x:c r="A1483" t="str">
        <x:v>public_0130</x:v>
      </x:c>
      <x:c r="B1483" t="str">
        <x:v>intent_override</x:v>
      </x:c>
      <x:c r="C1483" t="str">
        <x:v>hard</x:v>
      </x:c>
      <x:c r="D1483" s="17" t="str">
        <x:v>next ask before hit/override</x:v>
      </x:c>
      <x:c r="E1483" s="17" t="str">
        <x:v>style</x:v>
      </x:c>
      <x:c r="F1483" s="17" t="str">
        <x:v>no new constraint</x:v>
      </x:c>
      <x:c r="G1483" s="17" t="str"/>
      <x:c r="H1483" s="17" t="str">
        <x:v>I don't have an additional preference for style.</x:v>
      </x:c>
      <x:c r="I1483" s="17" t="str">
        <x:v>Override message occurs automatically on turn 3 or 4 before this reply when scheduled.</x:v>
      </x:c>
    </x:row>
    <x:row r="1484">
      <x:c r="A1484" t="str">
        <x:v>public_0130</x:v>
      </x:c>
      <x:c r="B1484" t="str">
        <x:v>intent_override</x:v>
      </x:c>
      <x:c r="C1484" t="str">
        <x:v>hard</x:v>
      </x:c>
      <x:c r="D1484" s="17" t="str">
        <x:v>next ask before hit/override</x:v>
      </x:c>
      <x:c r="E1484" s="17" t="str">
        <x:v>brand</x:v>
      </x:c>
      <x:c r="F1484" s="17" t="str">
        <x:v>no new constraint</x:v>
      </x:c>
      <x:c r="G1484" s="17" t="str"/>
      <x:c r="H1484" s="17" t="str">
        <x:v>I don't have an additional preference for brand.</x:v>
      </x:c>
      <x:c r="I1484" s="17" t="str">
        <x:v>Override message occurs automatically on turn 3 or 4 before this reply when scheduled.</x:v>
      </x:c>
    </x:row>
    <x:row r="1485">
      <x:c r="A1485" t="str">
        <x:v>public_0130</x:v>
      </x:c>
      <x:c r="B1485" t="str">
        <x:v>intent_override</x:v>
      </x:c>
      <x:c r="C1485" t="str">
        <x:v>hard</x:v>
      </x:c>
      <x:c r="D1485" s="17" t="str">
        <x:v>next ask before hit/override</x:v>
      </x:c>
      <x:c r="E1485" s="17" t="str">
        <x:v>budget</x:v>
      </x:c>
      <x:c r="F1485" s="17" t="str">
        <x:v>no new constraint</x:v>
      </x:c>
      <x:c r="G1485" s="17" t="str"/>
      <x:c r="H1485" s="17" t="str">
        <x:v>I don't have an additional preference for budget.</x:v>
      </x:c>
      <x:c r="I1485" s="17" t="str">
        <x:v>Override message occurs automatically on turn 3 or 4 before this reply when scheduled.</x:v>
      </x:c>
    </x:row>
    <x:row r="1486">
      <x:c r="A1486" t="str">
        <x:v>public_0130</x:v>
      </x:c>
      <x:c r="B1486" t="str">
        <x:v>intent_override</x:v>
      </x:c>
      <x:c r="C1486" t="str">
        <x:v>hard</x:v>
      </x:c>
      <x:c r="D1486" s="17" t="str">
        <x:v>next ask before hit/override</x:v>
      </x:c>
      <x:c r="E1486" s="17" t="str">
        <x:v>feature</x:v>
      </x:c>
      <x:c r="F1486" s="17" t="str">
        <x:v>constraint revealed</x:v>
      </x:c>
      <x:c r="G1486" s="17" t="str">
        <x:v>Imported | Hand Wash or Machine Wash with laundry bag (30°C Max)</x:v>
      </x:c>
      <x:c r="H1486" s="17" t="str">
        <x:v>For that, what matters is: Imported; Hand Wash or Machine Wash with laundry bag (30°C Max).</x:v>
      </x:c>
      <x:c r="I1486" s="17" t="str">
        <x:v>Override message occurs automatically on turn 3 or 4 before this reply when scheduled.</x:v>
      </x:c>
    </x:row>
    <x:row r="1487">
      <x:c r="A1487" t="str">
        <x:v>public_0130</x:v>
      </x:c>
      <x:c r="B1487" t="str">
        <x:v>intent_override</x:v>
      </x:c>
      <x:c r="C1487" t="str">
        <x:v>hard</x:v>
      </x:c>
      <x:c r="D1487" s="17" t="str">
        <x:v>next ask before hit/override</x:v>
      </x:c>
      <x:c r="E1487" s="17" t="str">
        <x:v>use_case</x:v>
      </x:c>
      <x:c r="F1487" s="17" t="str">
        <x:v>no new constraint</x:v>
      </x:c>
      <x:c r="G1487" s="17" t="str"/>
      <x:c r="H1487" s="17" t="str">
        <x:v>I don't have an additional preference for use_case.</x:v>
      </x:c>
      <x:c r="I1487" s="17" t="str">
        <x:v>Override message occurs automatically on turn 3 or 4 before this reply when scheduled.</x:v>
      </x:c>
    </x:row>
    <x:row r="1488">
      <x:c r="A1488" t="str">
        <x:v>public_0130</x:v>
      </x:c>
      <x:c r="B1488" t="str">
        <x:v>intent_override</x:v>
      </x:c>
      <x:c r="C1488" t="str">
        <x:v>hard</x:v>
      </x:c>
      <x:c r="D1488" s="17" t="str">
        <x:v>next ask before hit/override</x:v>
      </x:c>
      <x:c r="E1488" s="17" t="str">
        <x:v>other</x:v>
      </x:c>
      <x:c r="F1488" s="17" t="str">
        <x:v>constraint revealed</x:v>
      </x:c>
      <x:c r="G1488" s="17" t="str">
        <x:v>cotton | 95% Cotton, 5% Spandex</x:v>
      </x:c>
      <x:c r="H1488" s="17" t="str">
        <x:v>For that, what matters is: cotton; 95% Cotton, 5% Spandex.</x:v>
      </x:c>
      <x:c r="I1488" s="17" t="str">
        <x:v>Override message occurs automatically on turn 3 or 4 before this reply when scheduled.</x:v>
      </x:c>
    </x:row>
    <x:row r="1489">
      <x:c r="A1489" t="str">
        <x:v>public_0130</x:v>
      </x:c>
      <x:c r="B1489" t="str">
        <x:v>intent_override</x:v>
      </x:c>
      <x:c r="C1489" t="str">
        <x:v>hard</x:v>
      </x:c>
      <x:c r="D1489" s="17" t="str">
        <x:v>next ask before hit/override</x:v>
      </x:c>
      <x:c r="E1489" s="17" t="str">
        <x:v>(no ask_attribute)</x:v>
      </x:c>
      <x:c r="F1489" s="17" t="str">
        <x:v>agent did not ask</x:v>
      </x:c>
      <x:c r="G1489" s="17" t="str"/>
      <x:c r="H1489" s="17" t="str">
        <x:v>Those options are not quite right yet. Ask me about one specific attribute.</x:v>
      </x:c>
      <x:c r="I1489" s="17" t="str">
        <x:v>Override message occurs automatically on turn 3 or 4 before this reply when scheduled.</x:v>
      </x:c>
    </x:row>
    <x:row r="1490">
      <x:c r="A1490" t="str">
        <x:v>public_0131</x:v>
      </x:c>
      <x:c r="B1490" t="str">
        <x:v>boundary</x:v>
      </x:c>
      <x:c r="C1490" t="str">
        <x:v>medium</x:v>
      </x:c>
      <x:c r="D1490" s="17" t="str">
        <x:v>first ask (boundary unused)</x:v>
      </x:c>
      <x:c r="E1490" s="17" t="str">
        <x:v>category</x:v>
      </x:c>
      <x:c r="F1490" s="17" t="str">
        <x:v>boundary no-preference</x:v>
      </x:c>
      <x:c r="G1490" s="17" t="str"/>
      <x:c r="H1490" s="17" t="str">
        <x:v>I don't have a preference for category; please use your judgment.</x:v>
      </x:c>
      <x:c r="I1490" s="17" t="str"/>
    </x:row>
    <x:row r="1491">
      <x:c r="A1491" t="str">
        <x:v>public_0131</x:v>
      </x:c>
      <x:c r="B1491" t="str">
        <x:v>boundary</x:v>
      </x:c>
      <x:c r="C1491" t="str">
        <x:v>medium</x:v>
      </x:c>
      <x:c r="D1491" s="17" t="str">
        <x:v>first ask (boundary unused)</x:v>
      </x:c>
      <x:c r="E1491" s="17" t="str">
        <x:v>material</x:v>
      </x:c>
      <x:c r="F1491" s="17" t="str">
        <x:v>boundary no-preference</x:v>
      </x:c>
      <x:c r="G1491" s="17" t="str"/>
      <x:c r="H1491" s="17" t="str">
        <x:v>I don't have a preference for material; please use your judgment.</x:v>
      </x:c>
      <x:c r="I1491" s="17" t="str"/>
    </x:row>
    <x:row r="1492">
      <x:c r="A1492" t="str">
        <x:v>public_0131</x:v>
      </x:c>
      <x:c r="B1492" t="str">
        <x:v>boundary</x:v>
      </x:c>
      <x:c r="C1492" t="str">
        <x:v>medium</x:v>
      </x:c>
      <x:c r="D1492" s="17" t="str">
        <x:v>first ask (boundary unused)</x:v>
      </x:c>
      <x:c r="E1492" s="17" t="str">
        <x:v>color</x:v>
      </x:c>
      <x:c r="F1492" s="17" t="str">
        <x:v>boundary no-preference</x:v>
      </x:c>
      <x:c r="G1492" s="17" t="str"/>
      <x:c r="H1492" s="17" t="str">
        <x:v>I don't have a preference for color; please use your judgment.</x:v>
      </x:c>
      <x:c r="I1492" s="17" t="str"/>
    </x:row>
    <x:row r="1493">
      <x:c r="A1493" t="str">
        <x:v>public_0131</x:v>
      </x:c>
      <x:c r="B1493" t="str">
        <x:v>boundary</x:v>
      </x:c>
      <x:c r="C1493" t="str">
        <x:v>medium</x:v>
      </x:c>
      <x:c r="D1493" s="17" t="str">
        <x:v>first ask (boundary unused)</x:v>
      </x:c>
      <x:c r="E1493" s="17" t="str">
        <x:v>size</x:v>
      </x:c>
      <x:c r="F1493" s="17" t="str">
        <x:v>boundary no-preference</x:v>
      </x:c>
      <x:c r="G1493" s="17" t="str"/>
      <x:c r="H1493" s="17" t="str">
        <x:v>I don't have a preference for size; please use your judgment.</x:v>
      </x:c>
      <x:c r="I1493" s="17" t="str"/>
    </x:row>
    <x:row r="1494">
      <x:c r="A1494" t="str">
        <x:v>public_0131</x:v>
      </x:c>
      <x:c r="B1494" t="str">
        <x:v>boundary</x:v>
      </x:c>
      <x:c r="C1494" t="str">
        <x:v>medium</x:v>
      </x:c>
      <x:c r="D1494" s="17" t="str">
        <x:v>first ask (boundary unused)</x:v>
      </x:c>
      <x:c r="E1494" s="17" t="str">
        <x:v>style</x:v>
      </x:c>
      <x:c r="F1494" s="17" t="str">
        <x:v>boundary no-preference</x:v>
      </x:c>
      <x:c r="G1494" s="17" t="str"/>
      <x:c r="H1494" s="17" t="str">
        <x:v>I don't have a preference for style; please use your judgment.</x:v>
      </x:c>
      <x:c r="I1494" s="17" t="str"/>
    </x:row>
    <x:row r="1495">
      <x:c r="A1495" t="str">
        <x:v>public_0131</x:v>
      </x:c>
      <x:c r="B1495" t="str">
        <x:v>boundary</x:v>
      </x:c>
      <x:c r="C1495" t="str">
        <x:v>medium</x:v>
      </x:c>
      <x:c r="D1495" s="17" t="str">
        <x:v>first ask (boundary unused)</x:v>
      </x:c>
      <x:c r="E1495" s="17" t="str">
        <x:v>brand</x:v>
      </x:c>
      <x:c r="F1495" s="17" t="str">
        <x:v>boundary no-preference</x:v>
      </x:c>
      <x:c r="G1495" s="17" t="str"/>
      <x:c r="H1495" s="17" t="str">
        <x:v>I don't have a preference for brand; please use your judgment.</x:v>
      </x:c>
      <x:c r="I1495" s="17" t="str"/>
    </x:row>
    <x:row r="1496">
      <x:c r="A1496" t="str">
        <x:v>public_0131</x:v>
      </x:c>
      <x:c r="B1496" t="str">
        <x:v>boundary</x:v>
      </x:c>
      <x:c r="C1496" t="str">
        <x:v>medium</x:v>
      </x:c>
      <x:c r="D1496" s="17" t="str">
        <x:v>first ask (boundary unused)</x:v>
      </x:c>
      <x:c r="E1496" s="17" t="str">
        <x:v>budget</x:v>
      </x:c>
      <x:c r="F1496" s="17" t="str">
        <x:v>boundary no-preference</x:v>
      </x:c>
      <x:c r="G1496" s="17" t="str"/>
      <x:c r="H1496" s="17" t="str">
        <x:v>I don't have a preference for budget; please use your judgment.</x:v>
      </x:c>
      <x:c r="I1496" s="17" t="str"/>
    </x:row>
    <x:row r="1497">
      <x:c r="A1497" t="str">
        <x:v>public_0131</x:v>
      </x:c>
      <x:c r="B1497" t="str">
        <x:v>boundary</x:v>
      </x:c>
      <x:c r="C1497" t="str">
        <x:v>medium</x:v>
      </x:c>
      <x:c r="D1497" s="17" t="str">
        <x:v>first ask (boundary unused)</x:v>
      </x:c>
      <x:c r="E1497" s="17" t="str">
        <x:v>feature</x:v>
      </x:c>
      <x:c r="F1497" s="17" t="str">
        <x:v>boundary no-preference</x:v>
      </x:c>
      <x:c r="G1497" s="17" t="str"/>
      <x:c r="H1497" s="17" t="str">
        <x:v>I don't have a preference for feature; please use your judgment.</x:v>
      </x:c>
      <x:c r="I1497" s="17" t="str"/>
    </x:row>
    <x:row r="1498">
      <x:c r="A1498" t="str">
        <x:v>public_0131</x:v>
      </x:c>
      <x:c r="B1498" t="str">
        <x:v>boundary</x:v>
      </x:c>
      <x:c r="C1498" t="str">
        <x:v>medium</x:v>
      </x:c>
      <x:c r="D1498" s="17" t="str">
        <x:v>first ask (boundary unused)</x:v>
      </x:c>
      <x:c r="E1498" s="17" t="str">
        <x:v>use_case</x:v>
      </x:c>
      <x:c r="F1498" s="17" t="str">
        <x:v>boundary no-preference</x:v>
      </x:c>
      <x:c r="G1498" s="17" t="str"/>
      <x:c r="H1498" s="17" t="str">
        <x:v>I don't have a preference for use_case; please use your judgment.</x:v>
      </x:c>
      <x:c r="I1498" s="17" t="str"/>
    </x:row>
    <x:row r="1499">
      <x:c r="A1499" t="str">
        <x:v>public_0131</x:v>
      </x:c>
      <x:c r="B1499" t="str">
        <x:v>boundary</x:v>
      </x:c>
      <x:c r="C1499" t="str">
        <x:v>medium</x:v>
      </x:c>
      <x:c r="D1499" s="17" t="str">
        <x:v>first ask (boundary unused)</x:v>
      </x:c>
      <x:c r="E1499" s="17" t="str">
        <x:v>other</x:v>
      </x:c>
      <x:c r="F1499" s="17" t="str">
        <x:v>boundary no-preference</x:v>
      </x:c>
      <x:c r="G1499" s="17" t="str"/>
      <x:c r="H1499" s="17" t="str">
        <x:v>I don't have a preference for other; please use your judgment.</x:v>
      </x:c>
      <x:c r="I1499" s="17" t="str"/>
    </x:row>
    <x:row r="1500">
      <x:c r="A1500" t="str">
        <x:v>public_0131</x:v>
      </x:c>
      <x:c r="B1500" t="str">
        <x:v>boundary</x:v>
      </x:c>
      <x:c r="C1500" t="str">
        <x:v>medium</x:v>
      </x:c>
      <x:c r="D1500" s="17" t="str">
        <x:v>first ask (boundary unused)</x:v>
      </x:c>
      <x:c r="E1500" s="17" t="str">
        <x:v>(no ask_attribute)</x:v>
      </x:c>
      <x:c r="F1500" s="17" t="str">
        <x:v>agent did not ask</x:v>
      </x:c>
      <x:c r="G1500" s="17" t="str"/>
      <x:c r="H1500" s="17" t="str">
        <x:v>Those options are not quite right yet. Ask me about one specific attribute.</x:v>
      </x:c>
      <x:c r="I1500" s="17" t="str"/>
    </x:row>
    <x:row r="1501">
      <x:c r="A1501" t="str">
        <x:v>public_0131</x:v>
      </x:c>
      <x:c r="B1501" t="str">
        <x:v>boundary</x:v>
      </x:c>
      <x:c r="C1501" t="str">
        <x:v>medium</x:v>
      </x:c>
      <x:c r="D1501" s="17" t="str">
        <x:v>after no-preference used</x:v>
      </x:c>
      <x:c r="E1501" s="17" t="str">
        <x:v>category</x:v>
      </x:c>
      <x:c r="F1501" s="17" t="str">
        <x:v>no new constraint</x:v>
      </x:c>
      <x:c r="G1501" s="17" t="str"/>
      <x:c r="H1501" s="17" t="str">
        <x:v>I don't have an additional preference for category.</x:v>
      </x:c>
      <x:c r="I1501" s="17" t="str"/>
    </x:row>
    <x:row r="1502">
      <x:c r="A1502" t="str">
        <x:v>public_0131</x:v>
      </x:c>
      <x:c r="B1502" t="str">
        <x:v>boundary</x:v>
      </x:c>
      <x:c r="C1502" t="str">
        <x:v>medium</x:v>
      </x:c>
      <x:c r="D1502" s="17" t="str">
        <x:v>after no-preference used</x:v>
      </x:c>
      <x:c r="E1502" s="17" t="str">
        <x:v>material</x:v>
      </x:c>
      <x:c r="F1502" s="17" t="str">
        <x:v>constraint revealed</x:v>
      </x:c>
      <x:c r="G1502" s="17" t="str">
        <x:v>cotton | Thigh high socks: 20% Stretchy Yarn, 80% cotton</x:v>
      </x:c>
      <x:c r="H1502" s="17" t="str">
        <x:v>For that, what matters is: cotton; Thigh high socks: 20% Stretchy Yarn, 80% cotton.</x:v>
      </x:c>
      <x:c r="I1502" s="17" t="str"/>
    </x:row>
    <x:row r="1503">
      <x:c r="A1503" t="str">
        <x:v>public_0131</x:v>
      </x:c>
      <x:c r="B1503" t="str">
        <x:v>boundary</x:v>
      </x:c>
      <x:c r="C1503" t="str">
        <x:v>medium</x:v>
      </x:c>
      <x:c r="D1503" s="17" t="str">
        <x:v>after no-preference used</x:v>
      </x:c>
      <x:c r="E1503" s="17" t="str">
        <x:v>color</x:v>
      </x:c>
      <x:c r="F1503" s="17" t="str">
        <x:v>no new constraint</x:v>
      </x:c>
      <x:c r="G1503" s="17" t="str"/>
      <x:c r="H1503" s="17" t="str">
        <x:v>I don't have an additional preference for color.</x:v>
      </x:c>
      <x:c r="I1503" s="17" t="str"/>
    </x:row>
    <x:row r="1504">
      <x:c r="A1504" t="str">
        <x:v>public_0131</x:v>
      </x:c>
      <x:c r="B1504" t="str">
        <x:v>boundary</x:v>
      </x:c>
      <x:c r="C1504" t="str">
        <x:v>medium</x:v>
      </x:c>
      <x:c r="D1504" s="17" t="str">
        <x:v>after no-preference used</x:v>
      </x:c>
      <x:c r="E1504" s="17" t="str">
        <x:v>size</x:v>
      </x:c>
      <x:c r="F1504" s="17" t="str">
        <x:v>no new constraint</x:v>
      </x:c>
      <x:c r="G1504" s="17" t="str"/>
      <x:c r="H1504" s="17" t="str">
        <x:v>I don't have an additional preference for size.</x:v>
      </x:c>
      <x:c r="I1504" s="17" t="str"/>
    </x:row>
    <x:row r="1505">
      <x:c r="A1505" t="str">
        <x:v>public_0131</x:v>
      </x:c>
      <x:c r="B1505" t="str">
        <x:v>boundary</x:v>
      </x:c>
      <x:c r="C1505" t="str">
        <x:v>medium</x:v>
      </x:c>
      <x:c r="D1505" s="17" t="str">
        <x:v>after no-preference used</x:v>
      </x:c>
      <x:c r="E1505" s="17" t="str">
        <x:v>style</x:v>
      </x:c>
      <x:c r="F1505" s="17" t="str">
        <x:v>no new constraint</x:v>
      </x:c>
      <x:c r="G1505" s="17" t="str"/>
      <x:c r="H1505" s="17" t="str">
        <x:v>I don't have an additional preference for style.</x:v>
      </x:c>
      <x:c r="I1505" s="17" t="str"/>
    </x:row>
    <x:row r="1506">
      <x:c r="A1506" t="str">
        <x:v>public_0131</x:v>
      </x:c>
      <x:c r="B1506" t="str">
        <x:v>boundary</x:v>
      </x:c>
      <x:c r="C1506" t="str">
        <x:v>medium</x:v>
      </x:c>
      <x:c r="D1506" s="17" t="str">
        <x:v>after no-preference used</x:v>
      </x:c>
      <x:c r="E1506" s="17" t="str">
        <x:v>brand</x:v>
      </x:c>
      <x:c r="F1506" s="17" t="str">
        <x:v>no new constraint</x:v>
      </x:c>
      <x:c r="G1506" s="17" t="str"/>
      <x:c r="H1506" s="17" t="str">
        <x:v>I don't have an additional preference for brand.</x:v>
      </x:c>
      <x:c r="I1506" s="17" t="str"/>
    </x:row>
    <x:row r="1507">
      <x:c r="A1507" t="str">
        <x:v>public_0131</x:v>
      </x:c>
      <x:c r="B1507" t="str">
        <x:v>boundary</x:v>
      </x:c>
      <x:c r="C1507" t="str">
        <x:v>medium</x:v>
      </x:c>
      <x:c r="D1507" s="17" t="str">
        <x:v>after no-preference used</x:v>
      </x:c>
      <x:c r="E1507" s="17" t="str">
        <x:v>budget</x:v>
      </x:c>
      <x:c r="F1507" s="17" t="str">
        <x:v>no new constraint</x:v>
      </x:c>
      <x:c r="G1507" s="17" t="str"/>
      <x:c r="H1507" s="17" t="str">
        <x:v>I don't have an additional preference for budget.</x:v>
      </x:c>
      <x:c r="I1507" s="17" t="str"/>
    </x:row>
    <x:row r="1508">
      <x:c r="A1508" t="str">
        <x:v>public_0131</x:v>
      </x:c>
      <x:c r="B1508" t="str">
        <x:v>boundary</x:v>
      </x:c>
      <x:c r="C1508" t="str">
        <x:v>medium</x:v>
      </x:c>
      <x:c r="D1508" s="17" t="str">
        <x:v>after no-preference used</x:v>
      </x:c>
      <x:c r="E1508" s="17" t="str">
        <x:v>feature</x:v>
      </x:c>
      <x:c r="F1508" s="17" t="str">
        <x:v>constraint revealed</x:v>
      </x:c>
      <x:c r="G1508" s="17" t="str">
        <x:v>Hand Wash Only</x:v>
      </x:c>
      <x:c r="H1508" s="17" t="str">
        <x:v>For that, what matters is: Hand Wash Only.</x:v>
      </x:c>
      <x:c r="I1508" s="17" t="str"/>
    </x:row>
    <x:row r="1509">
      <x:c r="A1509" t="str">
        <x:v>public_0131</x:v>
      </x:c>
      <x:c r="B1509" t="str">
        <x:v>boundary</x:v>
      </x:c>
      <x:c r="C1509" t="str">
        <x:v>medium</x:v>
      </x:c>
      <x:c r="D1509" s="17" t="str">
        <x:v>after no-preference used</x:v>
      </x:c>
      <x:c r="E1509" s="17" t="str">
        <x:v>use_case</x:v>
      </x:c>
      <x:c r="F1509" s="17" t="str">
        <x:v>no new constraint</x:v>
      </x:c>
      <x:c r="G1509" s="17" t="str"/>
      <x:c r="H1509" s="17" t="str">
        <x:v>I don't have an additional preference for use_case.</x:v>
      </x:c>
      <x:c r="I1509" s="17" t="str"/>
    </x:row>
    <x:row r="1510">
      <x:c r="A1510" t="str">
        <x:v>public_0131</x:v>
      </x:c>
      <x:c r="B1510" t="str">
        <x:v>boundary</x:v>
      </x:c>
      <x:c r="C1510" t="str">
        <x:v>medium</x:v>
      </x:c>
      <x:c r="D1510" s="17" t="str">
        <x:v>after no-preference used</x:v>
      </x:c>
      <x:c r="E1510" s="17" t="str">
        <x:v>other</x:v>
      </x:c>
      <x:c r="F1510" s="17" t="str">
        <x:v>constraint revealed</x:v>
      </x:c>
      <x:c r="G1510" s="17" t="str">
        <x:v>cotton | Thigh high socks: 20% Stretchy Yarn, 80% cotton</x:v>
      </x:c>
      <x:c r="H1510" s="17" t="str">
        <x:v>For that, what matters is: cotton; Thigh high socks: 20% Stretchy Yarn, 80% cotton.</x:v>
      </x:c>
      <x:c r="I1510" s="17" t="str"/>
    </x:row>
    <x:row r="1511">
      <x:c r="A1511" t="str">
        <x:v>public_0131</x:v>
      </x:c>
      <x:c r="B1511" t="str">
        <x:v>boundary</x:v>
      </x:c>
      <x:c r="C1511" t="str">
        <x:v>medium</x:v>
      </x:c>
      <x:c r="D1511" s="17" t="str">
        <x:v>after no-preference used</x:v>
      </x:c>
      <x:c r="E1511" s="17" t="str">
        <x:v>(no ask_attribute)</x:v>
      </x:c>
      <x:c r="F1511" s="17" t="str">
        <x:v>agent did not ask</x:v>
      </x:c>
      <x:c r="G1511" s="17" t="str"/>
      <x:c r="H1511" s="17" t="str">
        <x:v>Those options are not quite right yet. Ask me about one specific attribute.</x:v>
      </x:c>
      <x:c r="I1511" s="17" t="str"/>
    </x:row>
    <x:row r="1512">
      <x:c r="A1512" t="str">
        <x:v>public_0132</x:v>
      </x:c>
      <x:c r="B1512" t="str">
        <x:v>buying</x:v>
      </x:c>
      <x:c r="C1512" t="str">
        <x:v>easy</x:v>
      </x:c>
      <x:c r="D1512" s="17" t="str">
        <x:v>next ask before hit/override</x:v>
      </x:c>
      <x:c r="E1512" s="17" t="str">
        <x:v>category</x:v>
      </x:c>
      <x:c r="F1512" s="17" t="str">
        <x:v>no new constraint</x:v>
      </x:c>
      <x:c r="G1512" s="17" t="str"/>
      <x:c r="H1512" s="17" t="str">
        <x:v>I don't have an additional preference for category.</x:v>
      </x:c>
      <x:c r="I1512" s="17" t="str"/>
    </x:row>
    <x:row r="1513">
      <x:c r="A1513" t="str">
        <x:v>public_0132</x:v>
      </x:c>
      <x:c r="B1513" t="str">
        <x:v>buying</x:v>
      </x:c>
      <x:c r="C1513" t="str">
        <x:v>easy</x:v>
      </x:c>
      <x:c r="D1513" s="17" t="str">
        <x:v>next ask before hit/override</x:v>
      </x:c>
      <x:c r="E1513" s="17" t="str">
        <x:v>material</x:v>
      </x:c>
      <x:c r="F1513" s="17" t="str">
        <x:v>constraint revealed</x:v>
      </x:c>
      <x:c r="G1513" s="17" t="str">
        <x:v>80% Cotton, 20% Polyester</x:v>
      </x:c>
      <x:c r="H1513" s="17" t="str">
        <x:v>For that, what matters is: 80% Cotton, 20% Polyester.</x:v>
      </x:c>
      <x:c r="I1513" s="17" t="str"/>
    </x:row>
    <x:row r="1514">
      <x:c r="A1514" t="str">
        <x:v>public_0132</x:v>
      </x:c>
      <x:c r="B1514" t="str">
        <x:v>buying</x:v>
      </x:c>
      <x:c r="C1514" t="str">
        <x:v>easy</x:v>
      </x:c>
      <x:c r="D1514" s="17" t="str">
        <x:v>next ask before hit/override</x:v>
      </x:c>
      <x:c r="E1514" s="17" t="str">
        <x:v>color</x:v>
      </x:c>
      <x:c r="F1514" s="17" t="str">
        <x:v>no new constraint</x:v>
      </x:c>
      <x:c r="G1514" s="17" t="str"/>
      <x:c r="H1514" s="17" t="str">
        <x:v>I don't have an additional preference for color.</x:v>
      </x:c>
      <x:c r="I1514" s="17" t="str"/>
    </x:row>
    <x:row r="1515">
      <x:c r="A1515" t="str">
        <x:v>public_0132</x:v>
      </x:c>
      <x:c r="B1515" t="str">
        <x:v>buying</x:v>
      </x:c>
      <x:c r="C1515" t="str">
        <x:v>easy</x:v>
      </x:c>
      <x:c r="D1515" s="17" t="str">
        <x:v>next ask before hit/override</x:v>
      </x:c>
      <x:c r="E1515" s="17" t="str">
        <x:v>size</x:v>
      </x:c>
      <x:c r="F1515" s="17" t="str">
        <x:v>no new constraint</x:v>
      </x:c>
      <x:c r="G1515" s="17" t="str"/>
      <x:c r="H1515" s="17" t="str">
        <x:v>I don't have an additional preference for size.</x:v>
      </x:c>
      <x:c r="I1515" s="17" t="str"/>
    </x:row>
    <x:row r="1516">
      <x:c r="A1516" t="str">
        <x:v>public_0132</x:v>
      </x:c>
      <x:c r="B1516" t="str">
        <x:v>buying</x:v>
      </x:c>
      <x:c r="C1516" t="str">
        <x:v>easy</x:v>
      </x:c>
      <x:c r="D1516" s="17" t="str">
        <x:v>next ask before hit/override</x:v>
      </x:c>
      <x:c r="E1516" s="17" t="str">
        <x:v>style</x:v>
      </x:c>
      <x:c r="F1516" s="17" t="str">
        <x:v>no new constraint</x:v>
      </x:c>
      <x:c r="G1516" s="17" t="str"/>
      <x:c r="H1516" s="17" t="str">
        <x:v>I don't have an additional preference for style.</x:v>
      </x:c>
      <x:c r="I1516" s="17" t="str"/>
    </x:row>
    <x:row r="1517">
      <x:c r="A1517" t="str">
        <x:v>public_0132</x:v>
      </x:c>
      <x:c r="B1517" t="str">
        <x:v>buying</x:v>
      </x:c>
      <x:c r="C1517" t="str">
        <x:v>easy</x:v>
      </x:c>
      <x:c r="D1517" s="17" t="str">
        <x:v>next ask before hit/override</x:v>
      </x:c>
      <x:c r="E1517" s="17" t="str">
        <x:v>brand</x:v>
      </x:c>
      <x:c r="F1517" s="17" t="str">
        <x:v>no new constraint</x:v>
      </x:c>
      <x:c r="G1517" s="17" t="str"/>
      <x:c r="H1517" s="17" t="str">
        <x:v>I don't have an additional preference for brand.</x:v>
      </x:c>
      <x:c r="I1517" s="17" t="str"/>
    </x:row>
    <x:row r="1518">
      <x:c r="A1518" t="str">
        <x:v>public_0132</x:v>
      </x:c>
      <x:c r="B1518" t="str">
        <x:v>buying</x:v>
      </x:c>
      <x:c r="C1518" t="str">
        <x:v>easy</x:v>
      </x:c>
      <x:c r="D1518" s="17" t="str">
        <x:v>next ask before hit/override</x:v>
      </x:c>
      <x:c r="E1518" s="17" t="str">
        <x:v>budget</x:v>
      </x:c>
      <x:c r="F1518" s="17" t="str">
        <x:v>no new constraint</x:v>
      </x:c>
      <x:c r="G1518" s="17" t="str"/>
      <x:c r="H1518" s="17" t="str">
        <x:v>I don't have an additional preference for budget.</x:v>
      </x:c>
      <x:c r="I1518" s="17" t="str"/>
    </x:row>
    <x:row r="1519">
      <x:c r="A1519" t="str">
        <x:v>public_0132</x:v>
      </x:c>
      <x:c r="B1519" t="str">
        <x:v>buying</x:v>
      </x:c>
      <x:c r="C1519" t="str">
        <x:v>easy</x:v>
      </x:c>
      <x:c r="D1519" s="17" t="str">
        <x:v>next ask before hit/override</x:v>
      </x:c>
      <x:c r="E1519" s="17" t="str">
        <x:v>feature</x:v>
      </x:c>
      <x:c r="F1519" s="17" t="str">
        <x:v>constraint revealed</x:v>
      </x:c>
      <x:c r="G1519" s="17" t="str">
        <x:v>Imported | Rubber sole</x:v>
      </x:c>
      <x:c r="H1519" s="17" t="str">
        <x:v>For that, what matters is: Imported; Rubber sole.</x:v>
      </x:c>
      <x:c r="I1519" s="17" t="str"/>
    </x:row>
    <x:row r="1520">
      <x:c r="A1520" t="str">
        <x:v>public_0132</x:v>
      </x:c>
      <x:c r="B1520" t="str">
        <x:v>buying</x:v>
      </x:c>
      <x:c r="C1520" t="str">
        <x:v>easy</x:v>
      </x:c>
      <x:c r="D1520" s="17" t="str">
        <x:v>next ask before hit/override</x:v>
      </x:c>
      <x:c r="E1520" s="17" t="str">
        <x:v>use_case</x:v>
      </x:c>
      <x:c r="F1520" s="17" t="str">
        <x:v>no new constraint</x:v>
      </x:c>
      <x:c r="G1520" s="17" t="str"/>
      <x:c r="H1520" s="17" t="str">
        <x:v>I don't have an additional preference for use_case.</x:v>
      </x:c>
      <x:c r="I1520" s="17" t="str"/>
    </x:row>
    <x:row r="1521">
      <x:c r="A1521" t="str">
        <x:v>public_0132</x:v>
      </x:c>
      <x:c r="B1521" t="str">
        <x:v>buying</x:v>
      </x:c>
      <x:c r="C1521" t="str">
        <x:v>easy</x:v>
      </x:c>
      <x:c r="D1521" s="17" t="str">
        <x:v>next ask before hit/override</x:v>
      </x:c>
      <x:c r="E1521" s="17" t="str">
        <x:v>other</x:v>
      </x:c>
      <x:c r="F1521" s="17" t="str">
        <x:v>constraint revealed</x:v>
      </x:c>
      <x:c r="G1521" s="17" t="str">
        <x:v>80% Cotton, 20% Polyester | Imported</x:v>
      </x:c>
      <x:c r="H1521" s="17" t="str">
        <x:v>For that, what matters is: 80% Cotton, 20% Polyester; Imported.</x:v>
      </x:c>
      <x:c r="I1521" s="17" t="str"/>
    </x:row>
    <x:row r="1522">
      <x:c r="A1522" t="str">
        <x:v>public_0132</x:v>
      </x:c>
      <x:c r="B1522" t="str">
        <x:v>buying</x:v>
      </x:c>
      <x:c r="C1522" t="str">
        <x:v>easy</x:v>
      </x:c>
      <x:c r="D1522" s="17" t="str">
        <x:v>next ask before hit/override</x:v>
      </x:c>
      <x:c r="E1522" s="17" t="str">
        <x:v>(no ask_attribute)</x:v>
      </x:c>
      <x:c r="F1522" s="17" t="str">
        <x:v>agent did not ask</x:v>
      </x:c>
      <x:c r="G1522" s="17" t="str"/>
      <x:c r="H1522" s="17" t="str">
        <x:v>Those options are not quite right yet. Ask me about one specific attribute.</x:v>
      </x:c>
      <x:c r="I1522" s="17" t="str"/>
    </x:row>
    <x:row r="1523">
      <x:c r="A1523" t="str">
        <x:v>public_0133</x:v>
      </x:c>
      <x:c r="B1523" t="str">
        <x:v>buying</x:v>
      </x:c>
      <x:c r="C1523" t="str">
        <x:v>easy</x:v>
      </x:c>
      <x:c r="D1523" s="17" t="str">
        <x:v>next ask before hit/override</x:v>
      </x:c>
      <x:c r="E1523" s="17" t="str">
        <x:v>category</x:v>
      </x:c>
      <x:c r="F1523" s="17" t="str">
        <x:v>no new constraint</x:v>
      </x:c>
      <x:c r="G1523" s="17" t="str"/>
      <x:c r="H1523" s="17" t="str">
        <x:v>I don't have an additional preference for category.</x:v>
      </x:c>
      <x:c r="I1523" s="17" t="str"/>
    </x:row>
    <x:row r="1524">
      <x:c r="A1524" t="str">
        <x:v>public_0133</x:v>
      </x:c>
      <x:c r="B1524" t="str">
        <x:v>buying</x:v>
      </x:c>
      <x:c r="C1524" t="str">
        <x:v>easy</x:v>
      </x:c>
      <x:c r="D1524" s="17" t="str">
        <x:v>next ask before hit/override</x:v>
      </x:c>
      <x:c r="E1524" s="17" t="str">
        <x:v>material</x:v>
      </x:c>
      <x:c r="F1524" s="17" t="str">
        <x:v>no new constraint</x:v>
      </x:c>
      <x:c r="G1524" s="17" t="str"/>
      <x:c r="H1524" s="17" t="str">
        <x:v>I don't have an additional preference for material.</x:v>
      </x:c>
      <x:c r="I1524" s="17" t="str"/>
    </x:row>
    <x:row r="1525">
      <x:c r="A1525" t="str">
        <x:v>public_0133</x:v>
      </x:c>
      <x:c r="B1525" t="str">
        <x:v>buying</x:v>
      </x:c>
      <x:c r="C1525" t="str">
        <x:v>easy</x:v>
      </x:c>
      <x:c r="D1525" s="17" t="str">
        <x:v>next ask before hit/override</x:v>
      </x:c>
      <x:c r="E1525" s="17" t="str">
        <x:v>color</x:v>
      </x:c>
      <x:c r="F1525" s="17" t="str">
        <x:v>constraint revealed</x:v>
      </x:c>
      <x:c r="G1525" s="17" t="str">
        <x:v>color: gray</x:v>
      </x:c>
      <x:c r="H1525" s="17" t="str">
        <x:v>For that, what matters is: color: gray.</x:v>
      </x:c>
      <x:c r="I1525" s="17" t="str"/>
    </x:row>
    <x:row r="1526">
      <x:c r="A1526" t="str">
        <x:v>public_0133</x:v>
      </x:c>
      <x:c r="B1526" t="str">
        <x:v>buying</x:v>
      </x:c>
      <x:c r="C1526" t="str">
        <x:v>easy</x:v>
      </x:c>
      <x:c r="D1526" s="17" t="str">
        <x:v>next ask before hit/override</x:v>
      </x:c>
      <x:c r="E1526" s="17" t="str">
        <x:v>size</x:v>
      </x:c>
      <x:c r="F1526" s="17" t="str">
        <x:v>no new constraint</x:v>
      </x:c>
      <x:c r="G1526" s="17" t="str"/>
      <x:c r="H1526" s="17" t="str">
        <x:v>I don't have an additional preference for size.</x:v>
      </x:c>
      <x:c r="I1526" s="17" t="str"/>
    </x:row>
    <x:row r="1527">
      <x:c r="A1527" t="str">
        <x:v>public_0133</x:v>
      </x:c>
      <x:c r="B1527" t="str">
        <x:v>buying</x:v>
      </x:c>
      <x:c r="C1527" t="str">
        <x:v>easy</x:v>
      </x:c>
      <x:c r="D1527" s="17" t="str">
        <x:v>next ask before hit/override</x:v>
      </x:c>
      <x:c r="E1527" s="17" t="str">
        <x:v>style</x:v>
      </x:c>
      <x:c r="F1527" s="17" t="str">
        <x:v>no new constraint</x:v>
      </x:c>
      <x:c r="G1527" s="17" t="str"/>
      <x:c r="H1527" s="17" t="str">
        <x:v>I don't have an additional preference for style.</x:v>
      </x:c>
      <x:c r="I1527" s="17" t="str"/>
    </x:row>
    <x:row r="1528">
      <x:c r="A1528" t="str">
        <x:v>public_0133</x:v>
      </x:c>
      <x:c r="B1528" t="str">
        <x:v>buying</x:v>
      </x:c>
      <x:c r="C1528" t="str">
        <x:v>easy</x:v>
      </x:c>
      <x:c r="D1528" s="17" t="str">
        <x:v>next ask before hit/override</x:v>
      </x:c>
      <x:c r="E1528" s="17" t="str">
        <x:v>brand</x:v>
      </x:c>
      <x:c r="F1528" s="17" t="str">
        <x:v>no new constraint</x:v>
      </x:c>
      <x:c r="G1528" s="17" t="str"/>
      <x:c r="H1528" s="17" t="str">
        <x:v>I don't have an additional preference for brand.</x:v>
      </x:c>
      <x:c r="I1528" s="17" t="str"/>
    </x:row>
    <x:row r="1529">
      <x:c r="A1529" t="str">
        <x:v>public_0133</x:v>
      </x:c>
      <x:c r="B1529" t="str">
        <x:v>buying</x:v>
      </x:c>
      <x:c r="C1529" t="str">
        <x:v>easy</x:v>
      </x:c>
      <x:c r="D1529" s="17" t="str">
        <x:v>next ask before hit/override</x:v>
      </x:c>
      <x:c r="E1529" s="17" t="str">
        <x:v>budget</x:v>
      </x:c>
      <x:c r="F1529" s="17" t="str">
        <x:v>no new constraint</x:v>
      </x:c>
      <x:c r="G1529" s="17" t="str"/>
      <x:c r="H1529" s="17" t="str">
        <x:v>I don't have an additional preference for budget.</x:v>
      </x:c>
      <x:c r="I1529" s="17" t="str"/>
    </x:row>
    <x:row r="1530">
      <x:c r="A1530" t="str">
        <x:v>public_0133</x:v>
      </x:c>
      <x:c r="B1530" t="str">
        <x:v>buying</x:v>
      </x:c>
      <x:c r="C1530" t="str">
        <x:v>easy</x:v>
      </x:c>
      <x:c r="D1530" s="17" t="str">
        <x:v>next ask before hit/override</x:v>
      </x:c>
      <x:c r="E1530" s="17" t="str">
        <x:v>feature</x:v>
      </x:c>
      <x:c r="F1530" s="17" t="str">
        <x:v>constraint revealed</x:v>
      </x:c>
      <x:c r="G1530" s="17" t="str">
        <x:v>Polycarbonate frame | Polycarbonate lens</x:v>
      </x:c>
      <x:c r="H1530" s="17" t="str">
        <x:v>For that, what matters is: Polycarbonate frame; Polycarbonate lens.</x:v>
      </x:c>
      <x:c r="I1530" s="17" t="str"/>
    </x:row>
    <x:row r="1531">
      <x:c r="A1531" t="str">
        <x:v>public_0133</x:v>
      </x:c>
      <x:c r="B1531" t="str">
        <x:v>buying</x:v>
      </x:c>
      <x:c r="C1531" t="str">
        <x:v>easy</x:v>
      </x:c>
      <x:c r="D1531" s="17" t="str">
        <x:v>next ask before hit/override</x:v>
      </x:c>
      <x:c r="E1531" s="17" t="str">
        <x:v>use_case</x:v>
      </x:c>
      <x:c r="F1531" s="17" t="str">
        <x:v>no new constraint</x:v>
      </x:c>
      <x:c r="G1531" s="17" t="str"/>
      <x:c r="H1531" s="17" t="str">
        <x:v>I don't have an additional preference for use_case.</x:v>
      </x:c>
      <x:c r="I1531" s="17" t="str"/>
    </x:row>
    <x:row r="1532">
      <x:c r="A1532" t="str">
        <x:v>public_0133</x:v>
      </x:c>
      <x:c r="B1532" t="str">
        <x:v>buying</x:v>
      </x:c>
      <x:c r="C1532" t="str">
        <x:v>easy</x:v>
      </x:c>
      <x:c r="D1532" s="17" t="str">
        <x:v>next ask before hit/override</x:v>
      </x:c>
      <x:c r="E1532" s="17" t="str">
        <x:v>other</x:v>
      </x:c>
      <x:c r="F1532" s="17" t="str">
        <x:v>constraint revealed</x:v>
      </x:c>
      <x:c r="G1532" s="17" t="str">
        <x:v>color: gray | Polycarbonate frame</x:v>
      </x:c>
      <x:c r="H1532" s="17" t="str">
        <x:v>For that, what matters is: color: gray; Polycarbonate frame.</x:v>
      </x:c>
      <x:c r="I1532" s="17" t="str"/>
    </x:row>
    <x:row r="1533">
      <x:c r="A1533" t="str">
        <x:v>public_0133</x:v>
      </x:c>
      <x:c r="B1533" t="str">
        <x:v>buying</x:v>
      </x:c>
      <x:c r="C1533" t="str">
        <x:v>easy</x:v>
      </x:c>
      <x:c r="D1533" s="17" t="str">
        <x:v>next ask before hit/override</x:v>
      </x:c>
      <x:c r="E1533" s="17" t="str">
        <x:v>(no ask_attribute)</x:v>
      </x:c>
      <x:c r="F1533" s="17" t="str">
        <x:v>agent did not ask</x:v>
      </x:c>
      <x:c r="G1533" s="17" t="str"/>
      <x:c r="H1533" s="17" t="str">
        <x:v>Those options are not quite right yet. Ask me about one specific attribute.</x:v>
      </x:c>
      <x:c r="I1533" s="17" t="str"/>
    </x:row>
    <x:row r="1534">
      <x:c r="A1534" t="str">
        <x:v>public_0134</x:v>
      </x:c>
      <x:c r="B1534" t="str">
        <x:v>browsing</x:v>
      </x:c>
      <x:c r="C1534" t="str">
        <x:v>medium</x:v>
      </x:c>
      <x:c r="D1534" s="17" t="str">
        <x:v>next ask before hit/override</x:v>
      </x:c>
      <x:c r="E1534" s="17" t="str">
        <x:v>category</x:v>
      </x:c>
      <x:c r="F1534" s="17" t="str">
        <x:v>no new constraint</x:v>
      </x:c>
      <x:c r="G1534" s="17" t="str"/>
      <x:c r="H1534" s="17" t="str">
        <x:v>I don't have an additional preference for category.</x:v>
      </x:c>
      <x:c r="I1534" s="17" t="str"/>
    </x:row>
    <x:row r="1535">
      <x:c r="A1535" t="str">
        <x:v>public_0134</x:v>
      </x:c>
      <x:c r="B1535" t="str">
        <x:v>browsing</x:v>
      </x:c>
      <x:c r="C1535" t="str">
        <x:v>medium</x:v>
      </x:c>
      <x:c r="D1535" s="17" t="str">
        <x:v>next ask before hit/override</x:v>
      </x:c>
      <x:c r="E1535" s="17" t="str">
        <x:v>material</x:v>
      </x:c>
      <x:c r="F1535" s="17" t="str">
        <x:v>no new constraint</x:v>
      </x:c>
      <x:c r="G1535" s="17" t="str"/>
      <x:c r="H1535" s="17" t="str">
        <x:v>I don't have an additional preference for material.</x:v>
      </x:c>
      <x:c r="I1535" s="17" t="str"/>
    </x:row>
    <x:row r="1536">
      <x:c r="A1536" t="str">
        <x:v>public_0134</x:v>
      </x:c>
      <x:c r="B1536" t="str">
        <x:v>browsing</x:v>
      </x:c>
      <x:c r="C1536" t="str">
        <x:v>medium</x:v>
      </x:c>
      <x:c r="D1536" s="17" t="str">
        <x:v>next ask before hit/override</x:v>
      </x:c>
      <x:c r="E1536" s="17" t="str">
        <x:v>color</x:v>
      </x:c>
      <x:c r="F1536" s="17" t="str">
        <x:v>constraint revealed</x:v>
      </x:c>
      <x:c r="G1536" s="17" t="str">
        <x:v>You will get 3 pairs fashion gem double flare screw-fit tunnels in same size, in same color | Material: Stainless Steel With Rhinestones, Look Nice, Light Weight, Smooth Polish Surface and Long Lasting Color</x:v>
      </x:c>
      <x:c r="H1536" s="17" t="str">
        <x:v>For that, what matters is: You will get 3 pairs fashion gem double flare screw-fit tunnels in same size, in same color; Material: Stainless Steel With Rhinestones, Look Nice, Light Weight, Smooth Polish Surface and Long Lasting Color.</x:v>
      </x:c>
      <x:c r="I1536" s="17" t="str"/>
    </x:row>
    <x:row r="1537">
      <x:c r="A1537" t="str">
        <x:v>public_0134</x:v>
      </x:c>
      <x:c r="B1537" t="str">
        <x:v>browsing</x:v>
      </x:c>
      <x:c r="C1537" t="str">
        <x:v>medium</x:v>
      </x:c>
      <x:c r="D1537" s="17" t="str">
        <x:v>next ask before hit/override</x:v>
      </x:c>
      <x:c r="E1537" s="17" t="str">
        <x:v>size</x:v>
      </x:c>
      <x:c r="F1537" s="17" t="str">
        <x:v>no new constraint</x:v>
      </x:c>
      <x:c r="G1537" s="17" t="str"/>
      <x:c r="H1537" s="17" t="str">
        <x:v>I don't have an additional preference for size.</x:v>
      </x:c>
      <x:c r="I1537" s="17" t="str"/>
    </x:row>
    <x:row r="1538">
      <x:c r="A1538" t="str">
        <x:v>public_0134</x:v>
      </x:c>
      <x:c r="B1538" t="str">
        <x:v>browsing</x:v>
      </x:c>
      <x:c r="C1538" t="str">
        <x:v>medium</x:v>
      </x:c>
      <x:c r="D1538" s="17" t="str">
        <x:v>next ask before hit/override</x:v>
      </x:c>
      <x:c r="E1538" s="17" t="str">
        <x:v>style</x:v>
      </x:c>
      <x:c r="F1538" s="17" t="str">
        <x:v>no new constraint</x:v>
      </x:c>
      <x:c r="G1538" s="17" t="str"/>
      <x:c r="H1538" s="17" t="str">
        <x:v>I don't have an additional preference for style.</x:v>
      </x:c>
      <x:c r="I1538" s="17" t="str"/>
    </x:row>
    <x:row r="1539">
      <x:c r="A1539" t="str">
        <x:v>public_0134</x:v>
      </x:c>
      <x:c r="B1539" t="str">
        <x:v>browsing</x:v>
      </x:c>
      <x:c r="C1539" t="str">
        <x:v>medium</x:v>
      </x:c>
      <x:c r="D1539" s="17" t="str">
        <x:v>next ask before hit/override</x:v>
      </x:c>
      <x:c r="E1539" s="17" t="str">
        <x:v>brand</x:v>
      </x:c>
      <x:c r="F1539" s="17" t="str">
        <x:v>no new constraint</x:v>
      </x:c>
      <x:c r="G1539" s="17" t="str"/>
      <x:c r="H1539" s="17" t="str">
        <x:v>I don't have an additional preference for brand.</x:v>
      </x:c>
      <x:c r="I1539" s="17" t="str"/>
    </x:row>
    <x:row r="1540">
      <x:c r="A1540" t="str">
        <x:v>public_0134</x:v>
      </x:c>
      <x:c r="B1540" t="str">
        <x:v>browsing</x:v>
      </x:c>
      <x:c r="C1540" t="str">
        <x:v>medium</x:v>
      </x:c>
      <x:c r="D1540" s="17" t="str">
        <x:v>next ask before hit/override</x:v>
      </x:c>
      <x:c r="E1540" s="17" t="str">
        <x:v>budget</x:v>
      </x:c>
      <x:c r="F1540" s="17" t="str">
        <x:v>no new constraint</x:v>
      </x:c>
      <x:c r="G1540" s="17" t="str"/>
      <x:c r="H1540" s="17" t="str">
        <x:v>I don't have an additional preference for budget.</x:v>
      </x:c>
      <x:c r="I1540" s="17" t="str"/>
    </x:row>
    <x:row r="1541">
      <x:c r="A1541" t="str">
        <x:v>public_0134</x:v>
      </x:c>
      <x:c r="B1541" t="str">
        <x:v>browsing</x:v>
      </x:c>
      <x:c r="C1541" t="str">
        <x:v>medium</x:v>
      </x:c>
      <x:c r="D1541" s="17" t="str">
        <x:v>next ask before hit/override</x:v>
      </x:c>
      <x:c r="E1541" s="17" t="str">
        <x:v>feature</x:v>
      </x:c>
      <x:c r="F1541" s="17" t="str">
        <x:v>constraint revealed</x:v>
      </x:c>
      <x:c r="G1541" s="17" t="str">
        <x:v>Gauge in Choice: 8g(3mm), 6g(4mm), 4g(5mm), 2g(6mm), 0g(8mm), 00g(10mm), 1/2"(12mm), 9/16"(14mm) | The screw-on method tunnels are pretty, you can twist on from one head, very easy to wear and take off. Fashion party and wedding body piercing jewelry</x:v>
      </x:c>
      <x:c r="H1541" s="17" t="str">
        <x:v>For that, what matters is: Gauge in Choice: 8g(3mm), 6g(4mm), 4g(5mm), 2g(6mm), 0g(8mm), 00g(10mm), 1/2"(12mm), 9/16"(14mm); The screw-on method tunnels are pretty, you can twist on from one head, very easy to wear and take off. Fashion party and wedding body piercing jewelry.</x:v>
      </x:c>
      <x:c r="I1541" s="17" t="str"/>
    </x:row>
    <x:row r="1542">
      <x:c r="A1542" t="str">
        <x:v>public_0134</x:v>
      </x:c>
      <x:c r="B1542" t="str">
        <x:v>browsing</x:v>
      </x:c>
      <x:c r="C1542" t="str">
        <x:v>medium</x:v>
      </x:c>
      <x:c r="D1542" s="17" t="str">
        <x:v>next ask before hit/override</x:v>
      </x:c>
      <x:c r="E1542" s="17" t="str">
        <x:v>use_case</x:v>
      </x:c>
      <x:c r="F1542" s="17" t="str">
        <x:v>no new constraint</x:v>
      </x:c>
      <x:c r="G1542" s="17" t="str"/>
      <x:c r="H1542" s="17" t="str">
        <x:v>I don't have an additional preference for use_case.</x:v>
      </x:c>
      <x:c r="I1542" s="17" t="str"/>
    </x:row>
    <x:row r="1543">
      <x:c r="A1543" t="str">
        <x:v>public_0134</x:v>
      </x:c>
      <x:c r="B1543" t="str">
        <x:v>browsing</x:v>
      </x:c>
      <x:c r="C1543" t="str">
        <x:v>medium</x:v>
      </x:c>
      <x:c r="D1543" s="17" t="str">
        <x:v>next ask before hit/override</x:v>
      </x:c>
      <x:c r="E1543" s="17" t="str">
        <x:v>other</x:v>
      </x:c>
      <x:c r="F1543" s="17" t="str">
        <x:v>constraint revealed</x:v>
      </x:c>
      <x:c r="G1543" s="17" t="str">
        <x:v>Gauge in Choice: 8g(3mm), 6g(4mm), 4g(5mm), 2g(6mm), 0g(8mm), 00g(10mm), 1/2"(12mm), 9/16"(14mm) | You will get 3 pairs fashion gem double flare screw-fit tunnels in same size, in same color</x:v>
      </x:c>
      <x:c r="H1543" s="17" t="str">
        <x:v>For that, what matters is: Gauge in Choice: 8g(3mm), 6g(4mm), 4g(5mm), 2g(6mm), 0g(8mm), 00g(10mm), 1/2"(12mm), 9/16"(14mm); You will get 3 pairs fashion gem double flare screw-fit tunnels in same size, in same color.</x:v>
      </x:c>
      <x:c r="I1543" s="17" t="str"/>
    </x:row>
    <x:row r="1544">
      <x:c r="A1544" t="str">
        <x:v>public_0134</x:v>
      </x:c>
      <x:c r="B1544" t="str">
        <x:v>browsing</x:v>
      </x:c>
      <x:c r="C1544" t="str">
        <x:v>medium</x:v>
      </x:c>
      <x:c r="D1544" s="17" t="str">
        <x:v>next ask before hit/override</x:v>
      </x:c>
      <x:c r="E1544" s="17" t="str">
        <x:v>(no ask_attribute)</x:v>
      </x:c>
      <x:c r="F1544" s="17" t="str">
        <x:v>agent did not ask</x:v>
      </x:c>
      <x:c r="G1544" s="17" t="str"/>
      <x:c r="H1544" s="17" t="str">
        <x:v>Those options are not quite right yet. Ask me about one specific attribute.</x:v>
      </x:c>
      <x:c r="I1544" s="17" t="str"/>
    </x:row>
    <x:row r="1545">
      <x:c r="A1545" t="str">
        <x:v>public_0135</x:v>
      </x:c>
      <x:c r="B1545" t="str">
        <x:v>buying</x:v>
      </x:c>
      <x:c r="C1545" t="str">
        <x:v>easy</x:v>
      </x:c>
      <x:c r="D1545" s="17" t="str">
        <x:v>next ask before hit/override</x:v>
      </x:c>
      <x:c r="E1545" s="17" t="str">
        <x:v>category</x:v>
      </x:c>
      <x:c r="F1545" s="17" t="str">
        <x:v>no new constraint</x:v>
      </x:c>
      <x:c r="G1545" s="17" t="str"/>
      <x:c r="H1545" s="17" t="str">
        <x:v>I don't have an additional preference for category.</x:v>
      </x:c>
      <x:c r="I1545" s="17" t="str"/>
    </x:row>
    <x:row r="1546">
      <x:c r="A1546" t="str">
        <x:v>public_0135</x:v>
      </x:c>
      <x:c r="B1546" t="str">
        <x:v>buying</x:v>
      </x:c>
      <x:c r="C1546" t="str">
        <x:v>easy</x:v>
      </x:c>
      <x:c r="D1546" s="17" t="str">
        <x:v>next ask before hit/override</x:v>
      </x:c>
      <x:c r="E1546" s="17" t="str">
        <x:v>material</x:v>
      </x:c>
      <x:c r="F1546" s="17" t="str">
        <x:v>constraint revealed</x:v>
      </x:c>
      <x:c r="G1546" s="17" t="str">
        <x:v>100% Polyester</x:v>
      </x:c>
      <x:c r="H1546" s="17" t="str">
        <x:v>For that, what matters is: 100% Polyester.</x:v>
      </x:c>
      <x:c r="I1546" s="17" t="str"/>
    </x:row>
    <x:row r="1547">
      <x:c r="A1547" t="str">
        <x:v>public_0135</x:v>
      </x:c>
      <x:c r="B1547" t="str">
        <x:v>buying</x:v>
      </x:c>
      <x:c r="C1547" t="str">
        <x:v>easy</x:v>
      </x:c>
      <x:c r="D1547" s="17" t="str">
        <x:v>next ask before hit/override</x:v>
      </x:c>
      <x:c r="E1547" s="17" t="str">
        <x:v>color</x:v>
      </x:c>
      <x:c r="F1547" s="17" t="str">
        <x:v>no new constraint</x:v>
      </x:c>
      <x:c r="G1547" s="17" t="str"/>
      <x:c r="H1547" s="17" t="str">
        <x:v>I don't have an additional preference for color.</x:v>
      </x:c>
      <x:c r="I1547" s="17" t="str"/>
    </x:row>
    <x:row r="1548">
      <x:c r="A1548" t="str">
        <x:v>public_0135</x:v>
      </x:c>
      <x:c r="B1548" t="str">
        <x:v>buying</x:v>
      </x:c>
      <x:c r="C1548" t="str">
        <x:v>easy</x:v>
      </x:c>
      <x:c r="D1548" s="17" t="str">
        <x:v>next ask before hit/override</x:v>
      </x:c>
      <x:c r="E1548" s="17" t="str">
        <x:v>size</x:v>
      </x:c>
      <x:c r="F1548" s="17" t="str">
        <x:v>no new constraint</x:v>
      </x:c>
      <x:c r="G1548" s="17" t="str"/>
      <x:c r="H1548" s="17" t="str">
        <x:v>I don't have an additional preference for size.</x:v>
      </x:c>
      <x:c r="I1548" s="17" t="str"/>
    </x:row>
    <x:row r="1549">
      <x:c r="A1549" t="str">
        <x:v>public_0135</x:v>
      </x:c>
      <x:c r="B1549" t="str">
        <x:v>buying</x:v>
      </x:c>
      <x:c r="C1549" t="str">
        <x:v>easy</x:v>
      </x:c>
      <x:c r="D1549" s="17" t="str">
        <x:v>next ask before hit/override</x:v>
      </x:c>
      <x:c r="E1549" s="17" t="str">
        <x:v>style</x:v>
      </x:c>
      <x:c r="F1549" s="17" t="str">
        <x:v>no new constraint</x:v>
      </x:c>
      <x:c r="G1549" s="17" t="str"/>
      <x:c r="H1549" s="17" t="str">
        <x:v>I don't have an additional preference for style.</x:v>
      </x:c>
      <x:c r="I1549" s="17" t="str"/>
    </x:row>
    <x:row r="1550">
      <x:c r="A1550" t="str">
        <x:v>public_0135</x:v>
      </x:c>
      <x:c r="B1550" t="str">
        <x:v>buying</x:v>
      </x:c>
      <x:c r="C1550" t="str">
        <x:v>easy</x:v>
      </x:c>
      <x:c r="D1550" s="17" t="str">
        <x:v>next ask before hit/override</x:v>
      </x:c>
      <x:c r="E1550" s="17" t="str">
        <x:v>brand</x:v>
      </x:c>
      <x:c r="F1550" s="17" t="str">
        <x:v>no new constraint</x:v>
      </x:c>
      <x:c r="G1550" s="17" t="str"/>
      <x:c r="H1550" s="17" t="str">
        <x:v>I don't have an additional preference for brand.</x:v>
      </x:c>
      <x:c r="I1550" s="17" t="str"/>
    </x:row>
    <x:row r="1551">
      <x:c r="A1551" t="str">
        <x:v>public_0135</x:v>
      </x:c>
      <x:c r="B1551" t="str">
        <x:v>buying</x:v>
      </x:c>
      <x:c r="C1551" t="str">
        <x:v>easy</x:v>
      </x:c>
      <x:c r="D1551" s="17" t="str">
        <x:v>next ask before hit/override</x:v>
      </x:c>
      <x:c r="E1551" s="17" t="str">
        <x:v>budget</x:v>
      </x:c>
      <x:c r="F1551" s="17" t="str">
        <x:v>no new constraint</x:v>
      </x:c>
      <x:c r="G1551" s="17" t="str"/>
      <x:c r="H1551" s="17" t="str">
        <x:v>I don't have an additional preference for budget.</x:v>
      </x:c>
      <x:c r="I1551" s="17" t="str"/>
    </x:row>
    <x:row r="1552">
      <x:c r="A1552" t="str">
        <x:v>public_0135</x:v>
      </x:c>
      <x:c r="B1552" t="str">
        <x:v>buying</x:v>
      </x:c>
      <x:c r="C1552" t="str">
        <x:v>easy</x:v>
      </x:c>
      <x:c r="D1552" s="17" t="str">
        <x:v>next ask before hit/override</x:v>
      </x:c>
      <x:c r="E1552" s="17" t="str">
        <x:v>feature</x:v>
      </x:c>
      <x:c r="F1552" s="17" t="str">
        <x:v>constraint revealed</x:v>
      </x:c>
      <x:c r="G1552" s="17" t="str">
        <x:v>Imported | Thermoplastic Elastomers sole</x:v>
      </x:c>
      <x:c r="H1552" s="17" t="str">
        <x:v>For that, what matters is: Imported; Thermoplastic Elastomers sole.</x:v>
      </x:c>
      <x:c r="I1552" s="17" t="str"/>
    </x:row>
    <x:row r="1553">
      <x:c r="A1553" t="str">
        <x:v>public_0135</x:v>
      </x:c>
      <x:c r="B1553" t="str">
        <x:v>buying</x:v>
      </x:c>
      <x:c r="C1553" t="str">
        <x:v>easy</x:v>
      </x:c>
      <x:c r="D1553" s="17" t="str">
        <x:v>next ask before hit/override</x:v>
      </x:c>
      <x:c r="E1553" s="17" t="str">
        <x:v>use_case</x:v>
      </x:c>
      <x:c r="F1553" s="17" t="str">
        <x:v>no new constraint</x:v>
      </x:c>
      <x:c r="G1553" s="17" t="str"/>
      <x:c r="H1553" s="17" t="str">
        <x:v>I don't have an additional preference for use_case.</x:v>
      </x:c>
      <x:c r="I1553" s="17" t="str"/>
    </x:row>
    <x:row r="1554">
      <x:c r="A1554" t="str">
        <x:v>public_0135</x:v>
      </x:c>
      <x:c r="B1554" t="str">
        <x:v>buying</x:v>
      </x:c>
      <x:c r="C1554" t="str">
        <x:v>easy</x:v>
      </x:c>
      <x:c r="D1554" s="17" t="str">
        <x:v>next ask before hit/override</x:v>
      </x:c>
      <x:c r="E1554" s="17" t="str">
        <x:v>other</x:v>
      </x:c>
      <x:c r="F1554" s="17" t="str">
        <x:v>constraint revealed</x:v>
      </x:c>
      <x:c r="G1554" s="17" t="str">
        <x:v>100% Polyester | Imported</x:v>
      </x:c>
      <x:c r="H1554" s="17" t="str">
        <x:v>For that, what matters is: 100% Polyester; Imported.</x:v>
      </x:c>
      <x:c r="I1554" s="17" t="str"/>
    </x:row>
    <x:row r="1555">
      <x:c r="A1555" t="str">
        <x:v>public_0135</x:v>
      </x:c>
      <x:c r="B1555" t="str">
        <x:v>buying</x:v>
      </x:c>
      <x:c r="C1555" t="str">
        <x:v>easy</x:v>
      </x:c>
      <x:c r="D1555" s="17" t="str">
        <x:v>next ask before hit/override</x:v>
      </x:c>
      <x:c r="E1555" s="17" t="str">
        <x:v>(no ask_attribute)</x:v>
      </x:c>
      <x:c r="F1555" s="17" t="str">
        <x:v>agent did not ask</x:v>
      </x:c>
      <x:c r="G1555" s="17" t="str"/>
      <x:c r="H1555" s="17" t="str">
        <x:v>Those options are not quite right yet. Ask me about one specific attribute.</x:v>
      </x:c>
      <x:c r="I1555" s="17" t="str"/>
    </x:row>
    <x:row r="1556">
      <x:c r="A1556" t="str">
        <x:v>public_0136</x:v>
      </x:c>
      <x:c r="B1556" t="str">
        <x:v>buying</x:v>
      </x:c>
      <x:c r="C1556" t="str">
        <x:v>easy</x:v>
      </x:c>
      <x:c r="D1556" s="17" t="str">
        <x:v>next ask before hit/override</x:v>
      </x:c>
      <x:c r="E1556" s="17" t="str">
        <x:v>category</x:v>
      </x:c>
      <x:c r="F1556" s="17" t="str">
        <x:v>no new constraint</x:v>
      </x:c>
      <x:c r="G1556" s="17" t="str"/>
      <x:c r="H1556" s="17" t="str">
        <x:v>I don't have an additional preference for category.</x:v>
      </x:c>
      <x:c r="I1556" s="17" t="str"/>
    </x:row>
    <x:row r="1557">
      <x:c r="A1557" t="str">
        <x:v>public_0136</x:v>
      </x:c>
      <x:c r="B1557" t="str">
        <x:v>buying</x:v>
      </x:c>
      <x:c r="C1557" t="str">
        <x:v>easy</x:v>
      </x:c>
      <x:c r="D1557" s="17" t="str">
        <x:v>next ask before hit/override</x:v>
      </x:c>
      <x:c r="E1557" s="17" t="str">
        <x:v>material</x:v>
      </x:c>
      <x:c r="F1557" s="17" t="str">
        <x:v>constraint revealed</x:v>
      </x:c>
      <x:c r="G1557" s="17" t="str">
        <x:v>92% Polyester, 8% Spandex</x:v>
      </x:c>
      <x:c r="H1557" s="17" t="str">
        <x:v>For that, what matters is: 92% Polyester, 8% Spandex.</x:v>
      </x:c>
      <x:c r="I1557" s="17" t="str"/>
    </x:row>
    <x:row r="1558">
      <x:c r="A1558" t="str">
        <x:v>public_0136</x:v>
      </x:c>
      <x:c r="B1558" t="str">
        <x:v>buying</x:v>
      </x:c>
      <x:c r="C1558" t="str">
        <x:v>easy</x:v>
      </x:c>
      <x:c r="D1558" s="17" t="str">
        <x:v>next ask before hit/override</x:v>
      </x:c>
      <x:c r="E1558" s="17" t="str">
        <x:v>color</x:v>
      </x:c>
      <x:c r="F1558" s="17" t="str">
        <x:v>no new constraint</x:v>
      </x:c>
      <x:c r="G1558" s="17" t="str"/>
      <x:c r="H1558" s="17" t="str">
        <x:v>I don't have an additional preference for color.</x:v>
      </x:c>
      <x:c r="I1558" s="17" t="str"/>
    </x:row>
    <x:row r="1559">
      <x:c r="A1559" t="str">
        <x:v>public_0136</x:v>
      </x:c>
      <x:c r="B1559" t="str">
        <x:v>buying</x:v>
      </x:c>
      <x:c r="C1559" t="str">
        <x:v>easy</x:v>
      </x:c>
      <x:c r="D1559" s="17" t="str">
        <x:v>next ask before hit/override</x:v>
      </x:c>
      <x:c r="E1559" s="17" t="str">
        <x:v>size</x:v>
      </x:c>
      <x:c r="F1559" s="17" t="str">
        <x:v>no new constraint</x:v>
      </x:c>
      <x:c r="G1559" s="17" t="str"/>
      <x:c r="H1559" s="17" t="str">
        <x:v>I don't have an additional preference for size.</x:v>
      </x:c>
      <x:c r="I1559" s="17" t="str"/>
    </x:row>
    <x:row r="1560">
      <x:c r="A1560" t="str">
        <x:v>public_0136</x:v>
      </x:c>
      <x:c r="B1560" t="str">
        <x:v>buying</x:v>
      </x:c>
      <x:c r="C1560" t="str">
        <x:v>easy</x:v>
      </x:c>
      <x:c r="D1560" s="17" t="str">
        <x:v>next ask before hit/override</x:v>
      </x:c>
      <x:c r="E1560" s="17" t="str">
        <x:v>style</x:v>
      </x:c>
      <x:c r="F1560" s="17" t="str">
        <x:v>no new constraint</x:v>
      </x:c>
      <x:c r="G1560" s="17" t="str"/>
      <x:c r="H1560" s="17" t="str">
        <x:v>I don't have an additional preference for style.</x:v>
      </x:c>
      <x:c r="I1560" s="17" t="str"/>
    </x:row>
    <x:row r="1561">
      <x:c r="A1561" t="str">
        <x:v>public_0136</x:v>
      </x:c>
      <x:c r="B1561" t="str">
        <x:v>buying</x:v>
      </x:c>
      <x:c r="C1561" t="str">
        <x:v>easy</x:v>
      </x:c>
      <x:c r="D1561" s="17" t="str">
        <x:v>next ask before hit/override</x:v>
      </x:c>
      <x:c r="E1561" s="17" t="str">
        <x:v>brand</x:v>
      </x:c>
      <x:c r="F1561" s="17" t="str">
        <x:v>no new constraint</x:v>
      </x:c>
      <x:c r="G1561" s="17" t="str"/>
      <x:c r="H1561" s="17" t="str">
        <x:v>I don't have an additional preference for brand.</x:v>
      </x:c>
      <x:c r="I1561" s="17" t="str"/>
    </x:row>
    <x:row r="1562">
      <x:c r="A1562" t="str">
        <x:v>public_0136</x:v>
      </x:c>
      <x:c r="B1562" t="str">
        <x:v>buying</x:v>
      </x:c>
      <x:c r="C1562" t="str">
        <x:v>easy</x:v>
      </x:c>
      <x:c r="D1562" s="17" t="str">
        <x:v>next ask before hit/override</x:v>
      </x:c>
      <x:c r="E1562" s="17" t="str">
        <x:v>budget</x:v>
      </x:c>
      <x:c r="F1562" s="17" t="str">
        <x:v>no new constraint</x:v>
      </x:c>
      <x:c r="G1562" s="17" t="str"/>
      <x:c r="H1562" s="17" t="str">
        <x:v>I don't have an additional preference for budget.</x:v>
      </x:c>
      <x:c r="I1562" s="17" t="str"/>
    </x:row>
    <x:row r="1563">
      <x:c r="A1563" t="str">
        <x:v>public_0136</x:v>
      </x:c>
      <x:c r="B1563" t="str">
        <x:v>buying</x:v>
      </x:c>
      <x:c r="C1563" t="str">
        <x:v>easy</x:v>
      </x:c>
      <x:c r="D1563" s="17" t="str">
        <x:v>next ask before hit/override</x:v>
      </x:c>
      <x:c r="E1563" s="17" t="str">
        <x:v>feature</x:v>
      </x:c>
      <x:c r="F1563" s="17" t="str">
        <x:v>constraint revealed</x:v>
      </x:c>
      <x:c r="G1563" s="17" t="str">
        <x:v>Imported | Elastic closure</x:v>
      </x:c>
      <x:c r="H1563" s="17" t="str">
        <x:v>For that, what matters is: Imported; Elastic closure.</x:v>
      </x:c>
      <x:c r="I1563" s="17" t="str"/>
    </x:row>
    <x:row r="1564">
      <x:c r="A1564" t="str">
        <x:v>public_0136</x:v>
      </x:c>
      <x:c r="B1564" t="str">
        <x:v>buying</x:v>
      </x:c>
      <x:c r="C1564" t="str">
        <x:v>easy</x:v>
      </x:c>
      <x:c r="D1564" s="17" t="str">
        <x:v>next ask before hit/override</x:v>
      </x:c>
      <x:c r="E1564" s="17" t="str">
        <x:v>use_case</x:v>
      </x:c>
      <x:c r="F1564" s="17" t="str">
        <x:v>no new constraint</x:v>
      </x:c>
      <x:c r="G1564" s="17" t="str"/>
      <x:c r="H1564" s="17" t="str">
        <x:v>I don't have an additional preference for use_case.</x:v>
      </x:c>
      <x:c r="I1564" s="17" t="str"/>
    </x:row>
    <x:row r="1565">
      <x:c r="A1565" t="str">
        <x:v>public_0136</x:v>
      </x:c>
      <x:c r="B1565" t="str">
        <x:v>buying</x:v>
      </x:c>
      <x:c r="C1565" t="str">
        <x:v>easy</x:v>
      </x:c>
      <x:c r="D1565" s="17" t="str">
        <x:v>next ask before hit/override</x:v>
      </x:c>
      <x:c r="E1565" s="17" t="str">
        <x:v>other</x:v>
      </x:c>
      <x:c r="F1565" s="17" t="str">
        <x:v>constraint revealed</x:v>
      </x:c>
      <x:c r="G1565" s="17" t="str">
        <x:v>92% Polyester, 8% Spandex | Imported</x:v>
      </x:c>
      <x:c r="H1565" s="17" t="str">
        <x:v>For that, what matters is: 92% Polyester, 8% Spandex; Imported.</x:v>
      </x:c>
      <x:c r="I1565" s="17" t="str"/>
    </x:row>
    <x:row r="1566">
      <x:c r="A1566" t="str">
        <x:v>public_0136</x:v>
      </x:c>
      <x:c r="B1566" t="str">
        <x:v>buying</x:v>
      </x:c>
      <x:c r="C1566" t="str">
        <x:v>easy</x:v>
      </x:c>
      <x:c r="D1566" s="17" t="str">
        <x:v>next ask before hit/override</x:v>
      </x:c>
      <x:c r="E1566" s="17" t="str">
        <x:v>(no ask_attribute)</x:v>
      </x:c>
      <x:c r="F1566" s="17" t="str">
        <x:v>agent did not ask</x:v>
      </x:c>
      <x:c r="G1566" s="17" t="str"/>
      <x:c r="H1566" s="17" t="str">
        <x:v>Those options are not quite right yet. Ask me about one specific attribute.</x:v>
      </x:c>
      <x:c r="I1566" s="17" t="str"/>
    </x:row>
    <x:row r="1567">
      <x:c r="A1567" t="str">
        <x:v>public_0137</x:v>
      </x:c>
      <x:c r="B1567" t="str">
        <x:v>browsing</x:v>
      </x:c>
      <x:c r="C1567" t="str">
        <x:v>medium</x:v>
      </x:c>
      <x:c r="D1567" s="17" t="str">
        <x:v>next ask before hit/override</x:v>
      </x:c>
      <x:c r="E1567" s="17" t="str">
        <x:v>category</x:v>
      </x:c>
      <x:c r="F1567" s="17" t="str">
        <x:v>no new constraint</x:v>
      </x:c>
      <x:c r="G1567" s="17" t="str"/>
      <x:c r="H1567" s="17" t="str">
        <x:v>I don't have an additional preference for category.</x:v>
      </x:c>
      <x:c r="I1567" s="17" t="str"/>
    </x:row>
    <x:row r="1568">
      <x:c r="A1568" t="str">
        <x:v>public_0137</x:v>
      </x:c>
      <x:c r="B1568" t="str">
        <x:v>browsing</x:v>
      </x:c>
      <x:c r="C1568" t="str">
        <x:v>medium</x:v>
      </x:c>
      <x:c r="D1568" s="17" t="str">
        <x:v>next ask before hit/override</x:v>
      </x:c>
      <x:c r="E1568" s="17" t="str">
        <x:v>material</x:v>
      </x:c>
      <x:c r="F1568" s="17" t="str">
        <x:v>constraint revealed</x:v>
      </x:c>
      <x:c r="G1568" s="17" t="str">
        <x:v>cotton | 60% Cotton, 40% Polyester</x:v>
      </x:c>
      <x:c r="H1568" s="17" t="str">
        <x:v>For that, what matters is: cotton; 60% Cotton, 40% Polyester.</x:v>
      </x:c>
      <x:c r="I1568" s="17" t="str"/>
    </x:row>
    <x:row r="1569">
      <x:c r="A1569" t="str">
        <x:v>public_0137</x:v>
      </x:c>
      <x:c r="B1569" t="str">
        <x:v>browsing</x:v>
      </x:c>
      <x:c r="C1569" t="str">
        <x:v>medium</x:v>
      </x:c>
      <x:c r="D1569" s="17" t="str">
        <x:v>next ask before hit/override</x:v>
      </x:c>
      <x:c r="E1569" s="17" t="str">
        <x:v>color</x:v>
      </x:c>
      <x:c r="F1569" s="17" t="str">
        <x:v>no new constraint</x:v>
      </x:c>
      <x:c r="G1569" s="17" t="str"/>
      <x:c r="H1569" s="17" t="str">
        <x:v>I don't have an additional preference for color.</x:v>
      </x:c>
      <x:c r="I1569" s="17" t="str"/>
    </x:row>
    <x:row r="1570">
      <x:c r="A1570" t="str">
        <x:v>public_0137</x:v>
      </x:c>
      <x:c r="B1570" t="str">
        <x:v>browsing</x:v>
      </x:c>
      <x:c r="C1570" t="str">
        <x:v>medium</x:v>
      </x:c>
      <x:c r="D1570" s="17" t="str">
        <x:v>next ask before hit/override</x:v>
      </x:c>
      <x:c r="E1570" s="17" t="str">
        <x:v>size</x:v>
      </x:c>
      <x:c r="F1570" s="17" t="str">
        <x:v>no new constraint</x:v>
      </x:c>
      <x:c r="G1570" s="17" t="str"/>
      <x:c r="H1570" s="17" t="str">
        <x:v>I don't have an additional preference for size.</x:v>
      </x:c>
      <x:c r="I1570" s="17" t="str"/>
    </x:row>
    <x:row r="1571">
      <x:c r="A1571" t="str">
        <x:v>public_0137</x:v>
      </x:c>
      <x:c r="B1571" t="str">
        <x:v>browsing</x:v>
      </x:c>
      <x:c r="C1571" t="str">
        <x:v>medium</x:v>
      </x:c>
      <x:c r="D1571" s="17" t="str">
        <x:v>next ask before hit/override</x:v>
      </x:c>
      <x:c r="E1571" s="17" t="str">
        <x:v>style</x:v>
      </x:c>
      <x:c r="F1571" s="17" t="str">
        <x:v>no new constraint</x:v>
      </x:c>
      <x:c r="G1571" s="17" t="str"/>
      <x:c r="H1571" s="17" t="str">
        <x:v>I don't have an additional preference for style.</x:v>
      </x:c>
      <x:c r="I1571" s="17" t="str"/>
    </x:row>
    <x:row r="1572">
      <x:c r="A1572" t="str">
        <x:v>public_0137</x:v>
      </x:c>
      <x:c r="B1572" t="str">
        <x:v>browsing</x:v>
      </x:c>
      <x:c r="C1572" t="str">
        <x:v>medium</x:v>
      </x:c>
      <x:c r="D1572" s="17" t="str">
        <x:v>next ask before hit/override</x:v>
      </x:c>
      <x:c r="E1572" s="17" t="str">
        <x:v>brand</x:v>
      </x:c>
      <x:c r="F1572" s="17" t="str">
        <x:v>no new constraint</x:v>
      </x:c>
      <x:c r="G1572" s="17" t="str"/>
      <x:c r="H1572" s="17" t="str">
        <x:v>I don't have an additional preference for brand.</x:v>
      </x:c>
      <x:c r="I1572" s="17" t="str"/>
    </x:row>
    <x:row r="1573">
      <x:c r="A1573" t="str">
        <x:v>public_0137</x:v>
      </x:c>
      <x:c r="B1573" t="str">
        <x:v>browsing</x:v>
      </x:c>
      <x:c r="C1573" t="str">
        <x:v>medium</x:v>
      </x:c>
      <x:c r="D1573" s="17" t="str">
        <x:v>next ask before hit/override</x:v>
      </x:c>
      <x:c r="E1573" s="17" t="str">
        <x:v>budget</x:v>
      </x:c>
      <x:c r="F1573" s="17" t="str">
        <x:v>no new constraint</x:v>
      </x:c>
      <x:c r="G1573" s="17" t="str"/>
      <x:c r="H1573" s="17" t="str">
        <x:v>I don't have an additional preference for budget.</x:v>
      </x:c>
      <x:c r="I1573" s="17" t="str"/>
    </x:row>
    <x:row r="1574">
      <x:c r="A1574" t="str">
        <x:v>public_0137</x:v>
      </x:c>
      <x:c r="B1574" t="str">
        <x:v>browsing</x:v>
      </x:c>
      <x:c r="C1574" t="str">
        <x:v>medium</x:v>
      </x:c>
      <x:c r="D1574" s="17" t="str">
        <x:v>next ask before hit/override</x:v>
      </x:c>
      <x:c r="E1574" s="17" t="str">
        <x:v>feature</x:v>
      </x:c>
      <x:c r="F1574" s="17" t="str">
        <x:v>constraint revealed</x:v>
      </x:c>
      <x:c r="G1574" s="17" t="str">
        <x:v>Zipper closure | Machine Wash</x:v>
      </x:c>
      <x:c r="H1574" s="17" t="str">
        <x:v>For that, what matters is: Zipper closure; Machine Wash.</x:v>
      </x:c>
      <x:c r="I1574" s="17" t="str"/>
    </x:row>
    <x:row r="1575">
      <x:c r="A1575" t="str">
        <x:v>public_0137</x:v>
      </x:c>
      <x:c r="B1575" t="str">
        <x:v>browsing</x:v>
      </x:c>
      <x:c r="C1575" t="str">
        <x:v>medium</x:v>
      </x:c>
      <x:c r="D1575" s="17" t="str">
        <x:v>next ask before hit/override</x:v>
      </x:c>
      <x:c r="E1575" s="17" t="str">
        <x:v>use_case</x:v>
      </x:c>
      <x:c r="F1575" s="17" t="str">
        <x:v>no new constraint</x:v>
      </x:c>
      <x:c r="G1575" s="17" t="str"/>
      <x:c r="H1575" s="17" t="str">
        <x:v>I don't have an additional preference for use_case.</x:v>
      </x:c>
      <x:c r="I1575" s="17" t="str"/>
    </x:row>
    <x:row r="1576">
      <x:c r="A1576" t="str">
        <x:v>public_0137</x:v>
      </x:c>
      <x:c r="B1576" t="str">
        <x:v>browsing</x:v>
      </x:c>
      <x:c r="C1576" t="str">
        <x:v>medium</x:v>
      </x:c>
      <x:c r="D1576" s="17" t="str">
        <x:v>next ask before hit/override</x:v>
      </x:c>
      <x:c r="E1576" s="17" t="str">
        <x:v>other</x:v>
      </x:c>
      <x:c r="F1576" s="17" t="str">
        <x:v>constraint revealed</x:v>
      </x:c>
      <x:c r="G1576" s="17" t="str">
        <x:v>cotton | 60% Cotton, 40% Polyester</x:v>
      </x:c>
      <x:c r="H1576" s="17" t="str">
        <x:v>For that, what matters is: cotton; 60% Cotton, 40% Polyester.</x:v>
      </x:c>
      <x:c r="I1576" s="17" t="str"/>
    </x:row>
    <x:row r="1577">
      <x:c r="A1577" t="str">
        <x:v>public_0137</x:v>
      </x:c>
      <x:c r="B1577" t="str">
        <x:v>browsing</x:v>
      </x:c>
      <x:c r="C1577" t="str">
        <x:v>medium</x:v>
      </x:c>
      <x:c r="D1577" s="17" t="str">
        <x:v>next ask before hit/override</x:v>
      </x:c>
      <x:c r="E1577" s="17" t="str">
        <x:v>(no ask_attribute)</x:v>
      </x:c>
      <x:c r="F1577" s="17" t="str">
        <x:v>agent did not ask</x:v>
      </x:c>
      <x:c r="G1577" s="17" t="str"/>
      <x:c r="H1577" s="17" t="str">
        <x:v>Those options are not quite right yet. Ask me about one specific attribute.</x:v>
      </x:c>
      <x:c r="I1577" s="17" t="str"/>
    </x:row>
    <x:row r="1578">
      <x:c r="A1578" t="str">
        <x:v>public_0138</x:v>
      </x:c>
      <x:c r="B1578" t="str">
        <x:v>browsing</x:v>
      </x:c>
      <x:c r="C1578" t="str">
        <x:v>medium</x:v>
      </x:c>
      <x:c r="D1578" s="17" t="str">
        <x:v>next ask before hit/override</x:v>
      </x:c>
      <x:c r="E1578" s="17" t="str">
        <x:v>category</x:v>
      </x:c>
      <x:c r="F1578" s="17" t="str">
        <x:v>no new constraint</x:v>
      </x:c>
      <x:c r="G1578" s="17" t="str"/>
      <x:c r="H1578" s="17" t="str">
        <x:v>I don't have an additional preference for category.</x:v>
      </x:c>
      <x:c r="I1578" s="17" t="str"/>
    </x:row>
    <x:row r="1579">
      <x:c r="A1579" t="str">
        <x:v>public_0138</x:v>
      </x:c>
      <x:c r="B1579" t="str">
        <x:v>browsing</x:v>
      </x:c>
      <x:c r="C1579" t="str">
        <x:v>medium</x:v>
      </x:c>
      <x:c r="D1579" s="17" t="str">
        <x:v>next ask before hit/override</x:v>
      </x:c>
      <x:c r="E1579" s="17" t="str">
        <x:v>material</x:v>
      </x:c>
      <x:c r="F1579" s="17" t="str">
        <x:v>constraint revealed</x:v>
      </x:c>
      <x:c r="G1579" s="17" t="str">
        <x:v>rayon | 95% Rayon, 5% Spandex</x:v>
      </x:c>
      <x:c r="H1579" s="17" t="str">
        <x:v>For that, what matters is: rayon; 95% Rayon, 5% Spandex.</x:v>
      </x:c>
      <x:c r="I1579" s="17" t="str"/>
    </x:row>
    <x:row r="1580">
      <x:c r="A1580" t="str">
        <x:v>public_0138</x:v>
      </x:c>
      <x:c r="B1580" t="str">
        <x:v>browsing</x:v>
      </x:c>
      <x:c r="C1580" t="str">
        <x:v>medium</x:v>
      </x:c>
      <x:c r="D1580" s="17" t="str">
        <x:v>next ask before hit/override</x:v>
      </x:c>
      <x:c r="E1580" s="17" t="str">
        <x:v>color</x:v>
      </x:c>
      <x:c r="F1580" s="17" t="str">
        <x:v>constraint revealed</x:v>
      </x:c>
      <x:c r="G1580" s="17" t="str">
        <x:v>Standard US Size: S(US 4-6), M(US 8-10), L(US 12-14), XL(US 16-18), XXL(US 20-22), 3XL(US 24-26). This women's casual loose dress is available in a variety of solid colors and prin</x:v>
      </x:c>
      <x:c r="H1580" s="17" t="str">
        <x:v>For that, what matters is: Standard US Size: S(US 4-6), M(US 8-10), L(US 12-14), XL(US 16-18), XXL(US 20-22), 3XL(US 24-26). This women's casual loose dress is available in a variety of solid colors and prin.</x:v>
      </x:c>
      <x:c r="I1580" s="17" t="str"/>
    </x:row>
    <x:row r="1581">
      <x:c r="A1581" t="str">
        <x:v>public_0138</x:v>
      </x:c>
      <x:c r="B1581" t="str">
        <x:v>browsing</x:v>
      </x:c>
      <x:c r="C1581" t="str">
        <x:v>medium</x:v>
      </x:c>
      <x:c r="D1581" s="17" t="str">
        <x:v>next ask before hit/override</x:v>
      </x:c>
      <x:c r="E1581" s="17" t="str">
        <x:v>size</x:v>
      </x:c>
      <x:c r="F1581" s="17" t="str">
        <x:v>no new constraint</x:v>
      </x:c>
      <x:c r="G1581" s="17" t="str"/>
      <x:c r="H1581" s="17" t="str">
        <x:v>I don't have an additional preference for size.</x:v>
      </x:c>
      <x:c r="I1581" s="17" t="str"/>
    </x:row>
    <x:row r="1582">
      <x:c r="A1582" t="str">
        <x:v>public_0138</x:v>
      </x:c>
      <x:c r="B1582" t="str">
        <x:v>browsing</x:v>
      </x:c>
      <x:c r="C1582" t="str">
        <x:v>medium</x:v>
      </x:c>
      <x:c r="D1582" s="17" t="str">
        <x:v>next ask before hit/override</x:v>
      </x:c>
      <x:c r="E1582" s="17" t="str">
        <x:v>style</x:v>
      </x:c>
      <x:c r="F1582" s="17" t="str">
        <x:v>no new constraint</x:v>
      </x:c>
      <x:c r="G1582" s="17" t="str"/>
      <x:c r="H1582" s="17" t="str">
        <x:v>I don't have an additional preference for style.</x:v>
      </x:c>
      <x:c r="I1582" s="17" t="str"/>
    </x:row>
    <x:row r="1583">
      <x:c r="A1583" t="str">
        <x:v>public_0138</x:v>
      </x:c>
      <x:c r="B1583" t="str">
        <x:v>browsing</x:v>
      </x:c>
      <x:c r="C1583" t="str">
        <x:v>medium</x:v>
      </x:c>
      <x:c r="D1583" s="17" t="str">
        <x:v>next ask before hit/override</x:v>
      </x:c>
      <x:c r="E1583" s="17" t="str">
        <x:v>brand</x:v>
      </x:c>
      <x:c r="F1583" s="17" t="str">
        <x:v>no new constraint</x:v>
      </x:c>
      <x:c r="G1583" s="17" t="str"/>
      <x:c r="H1583" s="17" t="str">
        <x:v>I don't have an additional preference for brand.</x:v>
      </x:c>
      <x:c r="I1583" s="17" t="str"/>
    </x:row>
    <x:row r="1584">
      <x:c r="A1584" t="str">
        <x:v>public_0138</x:v>
      </x:c>
      <x:c r="B1584" t="str">
        <x:v>browsing</x:v>
      </x:c>
      <x:c r="C1584" t="str">
        <x:v>medium</x:v>
      </x:c>
      <x:c r="D1584" s="17" t="str">
        <x:v>next ask before hit/override</x:v>
      </x:c>
      <x:c r="E1584" s="17" t="str">
        <x:v>budget</x:v>
      </x:c>
      <x:c r="F1584" s="17" t="str">
        <x:v>no new constraint</x:v>
      </x:c>
      <x:c r="G1584" s="17" t="str"/>
      <x:c r="H1584" s="17" t="str">
        <x:v>I don't have an additional preference for budget.</x:v>
      </x:c>
      <x:c r="I1584" s="17" t="str"/>
    </x:row>
    <x:row r="1585">
      <x:c r="A1585" t="str">
        <x:v>public_0138</x:v>
      </x:c>
      <x:c r="B1585" t="str">
        <x:v>browsing</x:v>
      </x:c>
      <x:c r="C1585" t="str">
        <x:v>medium</x:v>
      </x:c>
      <x:c r="D1585" s="17" t="str">
        <x:v>next ask before hit/override</x:v>
      </x:c>
      <x:c r="E1585" s="17" t="str">
        <x:v>feature</x:v>
      </x:c>
      <x:c r="F1585" s="17" t="str">
        <x:v>constraint revealed</x:v>
      </x:c>
      <x:c r="G1585" s="17" t="str">
        <x:v>Machine Wash</x:v>
      </x:c>
      <x:c r="H1585" s="17" t="str">
        <x:v>For that, what matters is: Machine Wash.</x:v>
      </x:c>
      <x:c r="I1585" s="17" t="str"/>
    </x:row>
    <x:row r="1586">
      <x:c r="A1586" t="str">
        <x:v>public_0138</x:v>
      </x:c>
      <x:c r="B1586" t="str">
        <x:v>browsing</x:v>
      </x:c>
      <x:c r="C1586" t="str">
        <x:v>medium</x:v>
      </x:c>
      <x:c r="D1586" s="17" t="str">
        <x:v>next ask before hit/override</x:v>
      </x:c>
      <x:c r="E1586" s="17" t="str">
        <x:v>use_case</x:v>
      </x:c>
      <x:c r="F1586" s="17" t="str">
        <x:v>no new constraint</x:v>
      </x:c>
      <x:c r="G1586" s="17" t="str"/>
      <x:c r="H1586" s="17" t="str">
        <x:v>I don't have an additional preference for use_case.</x:v>
      </x:c>
      <x:c r="I1586" s="17" t="str"/>
    </x:row>
    <x:row r="1587">
      <x:c r="A1587" t="str">
        <x:v>public_0138</x:v>
      </x:c>
      <x:c r="B1587" t="str">
        <x:v>browsing</x:v>
      </x:c>
      <x:c r="C1587" t="str">
        <x:v>medium</x:v>
      </x:c>
      <x:c r="D1587" s="17" t="str">
        <x:v>next ask before hit/override</x:v>
      </x:c>
      <x:c r="E1587" s="17" t="str">
        <x:v>other</x:v>
      </x:c>
      <x:c r="F1587" s="17" t="str">
        <x:v>constraint revealed</x:v>
      </x:c>
      <x:c r="G1587" s="17" t="str">
        <x:v>rayon | 95% Rayon, 5% Spandex</x:v>
      </x:c>
      <x:c r="H1587" s="17" t="str">
        <x:v>For that, what matters is: rayon; 95% Rayon, 5% Spandex.</x:v>
      </x:c>
      <x:c r="I1587" s="17" t="str"/>
    </x:row>
    <x:row r="1588">
      <x:c r="A1588" t="str">
        <x:v>public_0138</x:v>
      </x:c>
      <x:c r="B1588" t="str">
        <x:v>browsing</x:v>
      </x:c>
      <x:c r="C1588" t="str">
        <x:v>medium</x:v>
      </x:c>
      <x:c r="D1588" s="17" t="str">
        <x:v>next ask before hit/override</x:v>
      </x:c>
      <x:c r="E1588" s="17" t="str">
        <x:v>(no ask_attribute)</x:v>
      </x:c>
      <x:c r="F1588" s="17" t="str">
        <x:v>agent did not ask</x:v>
      </x:c>
      <x:c r="G1588" s="17" t="str"/>
      <x:c r="H1588" s="17" t="str">
        <x:v>Those options are not quite right yet. Ask me about one specific attribute.</x:v>
      </x:c>
      <x:c r="I1588" s="17" t="str"/>
    </x:row>
    <x:row r="1589">
      <x:c r="A1589" t="str">
        <x:v>public_0139</x:v>
      </x:c>
      <x:c r="B1589" t="str">
        <x:v>browsing</x:v>
      </x:c>
      <x:c r="C1589" t="str">
        <x:v>medium</x:v>
      </x:c>
      <x:c r="D1589" s="17" t="str">
        <x:v>next ask before hit/override</x:v>
      </x:c>
      <x:c r="E1589" s="17" t="str">
        <x:v>category</x:v>
      </x:c>
      <x:c r="F1589" s="17" t="str">
        <x:v>no new constraint</x:v>
      </x:c>
      <x:c r="G1589" s="17" t="str"/>
      <x:c r="H1589" s="17" t="str">
        <x:v>I don't have an additional preference for category.</x:v>
      </x:c>
      <x:c r="I1589" s="17" t="str"/>
    </x:row>
    <x:row r="1590">
      <x:c r="A1590" t="str">
        <x:v>public_0139</x:v>
      </x:c>
      <x:c r="B1590" t="str">
        <x:v>browsing</x:v>
      </x:c>
      <x:c r="C1590" t="str">
        <x:v>medium</x:v>
      </x:c>
      <x:c r="D1590" s="17" t="str">
        <x:v>next ask before hit/override</x:v>
      </x:c>
      <x:c r="E1590" s="17" t="str">
        <x:v>material</x:v>
      </x:c>
      <x:c r="F1590" s="17" t="str">
        <x:v>constraint revealed</x:v>
      </x:c>
      <x:c r="G1590" s="17" t="str">
        <x:v>fabric | Fabric: 35%Rayon,60% Polyester and 5% Spandex,very soft and comfortable for spring and summer</x:v>
      </x:c>
      <x:c r="H1590" s="17" t="str">
        <x:v>For that, what matters is: fabric; Fabric: 35%Rayon,60% Polyester and 5% Spandex,very soft and comfortable for spring and summer.</x:v>
      </x:c>
      <x:c r="I1590" s="17" t="str"/>
    </x:row>
    <x:row r="1591">
      <x:c r="A1591" t="str">
        <x:v>public_0139</x:v>
      </x:c>
      <x:c r="B1591" t="str">
        <x:v>browsing</x:v>
      </x:c>
      <x:c r="C1591" t="str">
        <x:v>medium</x:v>
      </x:c>
      <x:c r="D1591" s="17" t="str">
        <x:v>next ask before hit/override</x:v>
      </x:c>
      <x:c r="E1591" s="17" t="str">
        <x:v>color</x:v>
      </x:c>
      <x:c r="F1591" s="17" t="str">
        <x:v>no new constraint</x:v>
      </x:c>
      <x:c r="G1591" s="17" t="str"/>
      <x:c r="H1591" s="17" t="str">
        <x:v>I don't have an additional preference for color.</x:v>
      </x:c>
      <x:c r="I1591" s="17" t="str"/>
    </x:row>
    <x:row r="1592">
      <x:c r="A1592" t="str">
        <x:v>public_0139</x:v>
      </x:c>
      <x:c r="B1592" t="str">
        <x:v>browsing</x:v>
      </x:c>
      <x:c r="C1592" t="str">
        <x:v>medium</x:v>
      </x:c>
      <x:c r="D1592" s="17" t="str">
        <x:v>next ask before hit/override</x:v>
      </x:c>
      <x:c r="E1592" s="17" t="str">
        <x:v>size</x:v>
      </x:c>
      <x:c r="F1592" s="17" t="str">
        <x:v>no new constraint</x:v>
      </x:c>
      <x:c r="G1592" s="17" t="str"/>
      <x:c r="H1592" s="17" t="str">
        <x:v>I don't have an additional preference for size.</x:v>
      </x:c>
      <x:c r="I1592" s="17" t="str"/>
    </x:row>
    <x:row r="1593">
      <x:c r="A1593" t="str">
        <x:v>public_0139</x:v>
      </x:c>
      <x:c r="B1593" t="str">
        <x:v>browsing</x:v>
      </x:c>
      <x:c r="C1593" t="str">
        <x:v>medium</x:v>
      </x:c>
      <x:c r="D1593" s="17" t="str">
        <x:v>next ask before hit/override</x:v>
      </x:c>
      <x:c r="E1593" s="17" t="str">
        <x:v>style</x:v>
      </x:c>
      <x:c r="F1593" s="17" t="str">
        <x:v>constraint revealed</x:v>
      </x:c>
      <x:c r="G1593" s="17" t="str">
        <x:v>Cute ruffle sleeve tops for spring summer and fall, pull on and down closure</x:v>
      </x:c>
      <x:c r="H1593" s="17" t="str">
        <x:v>For that, what matters is: Cute ruffle sleeve tops for spring summer and fall, pull on and down closure.</x:v>
      </x:c>
      <x:c r="I1593" s="17" t="str"/>
    </x:row>
    <x:row r="1594">
      <x:c r="A1594" t="str">
        <x:v>public_0139</x:v>
      </x:c>
      <x:c r="B1594" t="str">
        <x:v>browsing</x:v>
      </x:c>
      <x:c r="C1594" t="str">
        <x:v>medium</x:v>
      </x:c>
      <x:c r="D1594" s="17" t="str">
        <x:v>next ask before hit/override</x:v>
      </x:c>
      <x:c r="E1594" s="17" t="str">
        <x:v>brand</x:v>
      </x:c>
      <x:c r="F1594" s="17" t="str">
        <x:v>no new constraint</x:v>
      </x:c>
      <x:c r="G1594" s="17" t="str"/>
      <x:c r="H1594" s="17" t="str">
        <x:v>I don't have an additional preference for brand.</x:v>
      </x:c>
      <x:c r="I1594" s="17" t="str"/>
    </x:row>
    <x:row r="1595">
      <x:c r="A1595" t="str">
        <x:v>public_0139</x:v>
      </x:c>
      <x:c r="B1595" t="str">
        <x:v>browsing</x:v>
      </x:c>
      <x:c r="C1595" t="str">
        <x:v>medium</x:v>
      </x:c>
      <x:c r="D1595" s="17" t="str">
        <x:v>next ask before hit/override</x:v>
      </x:c>
      <x:c r="E1595" s="17" t="str">
        <x:v>budget</x:v>
      </x:c>
      <x:c r="F1595" s="17" t="str">
        <x:v>no new constraint</x:v>
      </x:c>
      <x:c r="G1595" s="17" t="str"/>
      <x:c r="H1595" s="17" t="str">
        <x:v>I don't have an additional preference for budget.</x:v>
      </x:c>
      <x:c r="I1595" s="17" t="str"/>
    </x:row>
    <x:row r="1596">
      <x:c r="A1596" t="str">
        <x:v>public_0139</x:v>
      </x:c>
      <x:c r="B1596" t="str">
        <x:v>browsing</x:v>
      </x:c>
      <x:c r="C1596" t="str">
        <x:v>medium</x:v>
      </x:c>
      <x:c r="D1596" s="17" t="str">
        <x:v>next ask before hit/override</x:v>
      </x:c>
      <x:c r="E1596" s="17" t="str">
        <x:v>feature</x:v>
      </x:c>
      <x:c r="F1596" s="17" t="str">
        <x:v>constraint revealed</x:v>
      </x:c>
      <x:c r="G1596" s="17" t="str">
        <x:v>Care: Machine or hand wash in cold water, no bleach, no dry clean, hang or line dry, low iron if need</x:v>
      </x:c>
      <x:c r="H1596" s="17" t="str">
        <x:v>For that, what matters is: Care: Machine or hand wash in cold water, no bleach, no dry clean, hang or line dry, low iron if need.</x:v>
      </x:c>
      <x:c r="I1596" s="17" t="str"/>
    </x:row>
    <x:row r="1597">
      <x:c r="A1597" t="str">
        <x:v>public_0139</x:v>
      </x:c>
      <x:c r="B1597" t="str">
        <x:v>browsing</x:v>
      </x:c>
      <x:c r="C1597" t="str">
        <x:v>medium</x:v>
      </x:c>
      <x:c r="D1597" s="17" t="str">
        <x:v>next ask before hit/override</x:v>
      </x:c>
      <x:c r="E1597" s="17" t="str">
        <x:v>use_case</x:v>
      </x:c>
      <x:c r="F1597" s="17" t="str">
        <x:v>no new constraint</x:v>
      </x:c>
      <x:c r="G1597" s="17" t="str"/>
      <x:c r="H1597" s="17" t="str">
        <x:v>I don't have an additional preference for use_case.</x:v>
      </x:c>
      <x:c r="I1597" s="17" t="str"/>
    </x:row>
    <x:row r="1598">
      <x:c r="A1598" t="str">
        <x:v>public_0139</x:v>
      </x:c>
      <x:c r="B1598" t="str">
        <x:v>browsing</x:v>
      </x:c>
      <x:c r="C1598" t="str">
        <x:v>medium</x:v>
      </x:c>
      <x:c r="D1598" s="17" t="str">
        <x:v>next ask before hit/override</x:v>
      </x:c>
      <x:c r="E1598" s="17" t="str">
        <x:v>other</x:v>
      </x:c>
      <x:c r="F1598" s="17" t="str">
        <x:v>constraint revealed</x:v>
      </x:c>
      <x:c r="G1598" s="17" t="str">
        <x:v>fabric | Fabric: 35%Rayon,60% Polyester and 5% Spandex,very soft and comfortable for spring and summer</x:v>
      </x:c>
      <x:c r="H1598" s="17" t="str">
        <x:v>For that, what matters is: fabric; Fabric: 35%Rayon,60% Polyester and 5% Spandex,very soft and comfortable for spring and summer.</x:v>
      </x:c>
      <x:c r="I1598" s="17" t="str"/>
    </x:row>
    <x:row r="1599">
      <x:c r="A1599" t="str">
        <x:v>public_0139</x:v>
      </x:c>
      <x:c r="B1599" t="str">
        <x:v>browsing</x:v>
      </x:c>
      <x:c r="C1599" t="str">
        <x:v>medium</x:v>
      </x:c>
      <x:c r="D1599" s="17" t="str">
        <x:v>next ask before hit/override</x:v>
      </x:c>
      <x:c r="E1599" s="17" t="str">
        <x:v>(no ask_attribute)</x:v>
      </x:c>
      <x:c r="F1599" s="17" t="str">
        <x:v>agent did not ask</x:v>
      </x:c>
      <x:c r="G1599" s="17" t="str"/>
      <x:c r="H1599" s="17" t="str">
        <x:v>Those options are not quite right yet. Ask me about one specific attribute.</x:v>
      </x:c>
      <x:c r="I1599" s="17" t="str"/>
    </x:row>
    <x:row r="1600">
      <x:c r="A1600" t="str">
        <x:v>public_0140</x:v>
      </x:c>
      <x:c r="B1600" t="str">
        <x:v>browsing</x:v>
      </x:c>
      <x:c r="C1600" t="str">
        <x:v>medium</x:v>
      </x:c>
      <x:c r="D1600" s="17" t="str">
        <x:v>next ask before hit/override</x:v>
      </x:c>
      <x:c r="E1600" s="17" t="str">
        <x:v>category</x:v>
      </x:c>
      <x:c r="F1600" s="17" t="str">
        <x:v>no new constraint</x:v>
      </x:c>
      <x:c r="G1600" s="17" t="str"/>
      <x:c r="H1600" s="17" t="str">
        <x:v>I don't have an additional preference for category.</x:v>
      </x:c>
      <x:c r="I1600" s="17" t="str"/>
    </x:row>
    <x:row r="1601">
      <x:c r="A1601" t="str">
        <x:v>public_0140</x:v>
      </x:c>
      <x:c r="B1601" t="str">
        <x:v>browsing</x:v>
      </x:c>
      <x:c r="C1601" t="str">
        <x:v>medium</x:v>
      </x:c>
      <x:c r="D1601" s="17" t="str">
        <x:v>next ask before hit/override</x:v>
      </x:c>
      <x:c r="E1601" s="17" t="str">
        <x:v>material</x:v>
      </x:c>
      <x:c r="F1601" s="17" t="str">
        <x:v>constraint revealed</x:v>
      </x:c>
      <x:c r="G1601" s="17" t="str">
        <x:v>polyester | Polyester,Spandex</x:v>
      </x:c>
      <x:c r="H1601" s="17" t="str">
        <x:v>For that, what matters is: polyester; Polyester,Spandex.</x:v>
      </x:c>
      <x:c r="I1601" s="17" t="str"/>
    </x:row>
    <x:row r="1602">
      <x:c r="A1602" t="str">
        <x:v>public_0140</x:v>
      </x:c>
      <x:c r="B1602" t="str">
        <x:v>browsing</x:v>
      </x:c>
      <x:c r="C1602" t="str">
        <x:v>medium</x:v>
      </x:c>
      <x:c r="D1602" s="17" t="str">
        <x:v>next ask before hit/override</x:v>
      </x:c>
      <x:c r="E1602" s="17" t="str">
        <x:v>color</x:v>
      </x:c>
      <x:c r="F1602" s="17" t="str">
        <x:v>no new constraint</x:v>
      </x:c>
      <x:c r="G1602" s="17" t="str"/>
      <x:c r="H1602" s="17" t="str">
        <x:v>I don't have an additional preference for color.</x:v>
      </x:c>
      <x:c r="I1602" s="17" t="str"/>
    </x:row>
    <x:row r="1603">
      <x:c r="A1603" t="str">
        <x:v>public_0140</x:v>
      </x:c>
      <x:c r="B1603" t="str">
        <x:v>browsing</x:v>
      </x:c>
      <x:c r="C1603" t="str">
        <x:v>medium</x:v>
      </x:c>
      <x:c r="D1603" s="17" t="str">
        <x:v>next ask before hit/override</x:v>
      </x:c>
      <x:c r="E1603" s="17" t="str">
        <x:v>size</x:v>
      </x:c>
      <x:c r="F1603" s="17" t="str">
        <x:v>no new constraint</x:v>
      </x:c>
      <x:c r="G1603" s="17" t="str"/>
      <x:c r="H1603" s="17" t="str">
        <x:v>I don't have an additional preference for size.</x:v>
      </x:c>
      <x:c r="I1603" s="17" t="str"/>
    </x:row>
    <x:row r="1604">
      <x:c r="A1604" t="str">
        <x:v>public_0140</x:v>
      </x:c>
      <x:c r="B1604" t="str">
        <x:v>browsing</x:v>
      </x:c>
      <x:c r="C1604" t="str">
        <x:v>medium</x:v>
      </x:c>
      <x:c r="D1604" s="17" t="str">
        <x:v>next ask before hit/override</x:v>
      </x:c>
      <x:c r="E1604" s="17" t="str">
        <x:v>style</x:v>
      </x:c>
      <x:c r="F1604" s="17" t="str">
        <x:v>no new constraint</x:v>
      </x:c>
      <x:c r="G1604" s="17" t="str"/>
      <x:c r="H1604" s="17" t="str">
        <x:v>I don't have an additional preference for style.</x:v>
      </x:c>
      <x:c r="I1604" s="17" t="str"/>
    </x:row>
    <x:row r="1605">
      <x:c r="A1605" t="str">
        <x:v>public_0140</x:v>
      </x:c>
      <x:c r="B1605" t="str">
        <x:v>browsing</x:v>
      </x:c>
      <x:c r="C1605" t="str">
        <x:v>medium</x:v>
      </x:c>
      <x:c r="D1605" s="17" t="str">
        <x:v>next ask before hit/override</x:v>
      </x:c>
      <x:c r="E1605" s="17" t="str">
        <x:v>brand</x:v>
      </x:c>
      <x:c r="F1605" s="17" t="str">
        <x:v>no new constraint</x:v>
      </x:c>
      <x:c r="G1605" s="17" t="str"/>
      <x:c r="H1605" s="17" t="str">
        <x:v>I don't have an additional preference for brand.</x:v>
      </x:c>
      <x:c r="I1605" s="17" t="str"/>
    </x:row>
    <x:row r="1606">
      <x:c r="A1606" t="str">
        <x:v>public_0140</x:v>
      </x:c>
      <x:c r="B1606" t="str">
        <x:v>browsing</x:v>
      </x:c>
      <x:c r="C1606" t="str">
        <x:v>medium</x:v>
      </x:c>
      <x:c r="D1606" s="17" t="str">
        <x:v>next ask before hit/override</x:v>
      </x:c>
      <x:c r="E1606" s="17" t="str">
        <x:v>budget</x:v>
      </x:c>
      <x:c r="F1606" s="17" t="str">
        <x:v>no new constraint</x:v>
      </x:c>
      <x:c r="G1606" s="17" t="str"/>
      <x:c r="H1606" s="17" t="str">
        <x:v>I don't have an additional preference for budget.</x:v>
      </x:c>
      <x:c r="I1606" s="17" t="str"/>
    </x:row>
    <x:row r="1607">
      <x:c r="A1607" t="str">
        <x:v>public_0140</x:v>
      </x:c>
      <x:c r="B1607" t="str">
        <x:v>browsing</x:v>
      </x:c>
      <x:c r="C1607" t="str">
        <x:v>medium</x:v>
      </x:c>
      <x:c r="D1607" s="17" t="str">
        <x:v>next ask before hit/override</x:v>
      </x:c>
      <x:c r="E1607" s="17" t="str">
        <x:v>feature</x:v>
      </x:c>
      <x:c r="F1607" s="17" t="str">
        <x:v>constraint revealed</x:v>
      </x:c>
      <x:c r="G1607" s="17" t="str">
        <x:v>Button closure</x:v>
      </x:c>
      <x:c r="H1607" s="17" t="str">
        <x:v>For that, what matters is: Button closure.</x:v>
      </x:c>
      <x:c r="I1607" s="17" t="str"/>
    </x:row>
    <x:row r="1608">
      <x:c r="A1608" t="str">
        <x:v>public_0140</x:v>
      </x:c>
      <x:c r="B1608" t="str">
        <x:v>browsing</x:v>
      </x:c>
      <x:c r="C1608" t="str">
        <x:v>medium</x:v>
      </x:c>
      <x:c r="D1608" s="17" t="str">
        <x:v>next ask before hit/override</x:v>
      </x:c>
      <x:c r="E1608" s="17" t="str">
        <x:v>use_case</x:v>
      </x:c>
      <x:c r="F1608" s="17" t="str">
        <x:v>no new constraint</x:v>
      </x:c>
      <x:c r="G1608" s="17" t="str"/>
      <x:c r="H1608" s="17" t="str">
        <x:v>I don't have an additional preference for use_case.</x:v>
      </x:c>
      <x:c r="I1608" s="17" t="str"/>
    </x:row>
    <x:row r="1609">
      <x:c r="A1609" t="str">
        <x:v>public_0140</x:v>
      </x:c>
      <x:c r="B1609" t="str">
        <x:v>browsing</x:v>
      </x:c>
      <x:c r="C1609" t="str">
        <x:v>medium</x:v>
      </x:c>
      <x:c r="D1609" s="17" t="str">
        <x:v>next ask before hit/override</x:v>
      </x:c>
      <x:c r="E1609" s="17" t="str">
        <x:v>other</x:v>
      </x:c>
      <x:c r="F1609" s="17" t="str">
        <x:v>constraint revealed</x:v>
      </x:c>
      <x:c r="G1609" s="17" t="str">
        <x:v>polyester | Polyester,Spandex</x:v>
      </x:c>
      <x:c r="H1609" s="17" t="str">
        <x:v>For that, what matters is: polyester; Polyester,Spandex.</x:v>
      </x:c>
      <x:c r="I1609" s="17" t="str"/>
    </x:row>
    <x:row r="1610">
      <x:c r="A1610" t="str">
        <x:v>public_0140</x:v>
      </x:c>
      <x:c r="B1610" t="str">
        <x:v>browsing</x:v>
      </x:c>
      <x:c r="C1610" t="str">
        <x:v>medium</x:v>
      </x:c>
      <x:c r="D1610" s="17" t="str">
        <x:v>next ask before hit/override</x:v>
      </x:c>
      <x:c r="E1610" s="17" t="str">
        <x:v>(no ask_attribute)</x:v>
      </x:c>
      <x:c r="F1610" s="17" t="str">
        <x:v>agent did not ask</x:v>
      </x:c>
      <x:c r="G1610" s="17" t="str"/>
      <x:c r="H1610" s="17" t="str">
        <x:v>Those options are not quite right yet. Ask me about one specific attribute.</x:v>
      </x:c>
      <x:c r="I1610" s="17" t="str"/>
    </x:row>
    <x:row r="1611">
      <x:c r="A1611" t="str">
        <x:v>public_0141</x:v>
      </x:c>
      <x:c r="B1611" t="str">
        <x:v>browsing</x:v>
      </x:c>
      <x:c r="C1611" t="str">
        <x:v>medium</x:v>
      </x:c>
      <x:c r="D1611" s="17" t="str">
        <x:v>next ask before hit/override</x:v>
      </x:c>
      <x:c r="E1611" s="17" t="str">
        <x:v>category</x:v>
      </x:c>
      <x:c r="F1611" s="17" t="str">
        <x:v>no new constraint</x:v>
      </x:c>
      <x:c r="G1611" s="17" t="str"/>
      <x:c r="H1611" s="17" t="str">
        <x:v>I don't have an additional preference for category.</x:v>
      </x:c>
      <x:c r="I1611" s="17" t="str"/>
    </x:row>
    <x:row r="1612">
      <x:c r="A1612" t="str">
        <x:v>public_0141</x:v>
      </x:c>
      <x:c r="B1612" t="str">
        <x:v>browsing</x:v>
      </x:c>
      <x:c r="C1612" t="str">
        <x:v>medium</x:v>
      </x:c>
      <x:c r="D1612" s="17" t="str">
        <x:v>next ask before hit/override</x:v>
      </x:c>
      <x:c r="E1612" s="17" t="str">
        <x:v>material</x:v>
      </x:c>
      <x:c r="F1612" s="17" t="str">
        <x:v>no new constraint</x:v>
      </x:c>
      <x:c r="G1612" s="17" t="str"/>
      <x:c r="H1612" s="17" t="str">
        <x:v>I don't have an additional preference for material.</x:v>
      </x:c>
      <x:c r="I1612" s="17" t="str"/>
    </x:row>
    <x:row r="1613">
      <x:c r="A1613" t="str">
        <x:v>public_0141</x:v>
      </x:c>
      <x:c r="B1613" t="str">
        <x:v>browsing</x:v>
      </x:c>
      <x:c r="C1613" t="str">
        <x:v>medium</x:v>
      </x:c>
      <x:c r="D1613" s="17" t="str">
        <x:v>next ask before hit/override</x:v>
      </x:c>
      <x:c r="E1613" s="17" t="str">
        <x:v>color</x:v>
      </x:c>
      <x:c r="F1613" s="17" t="str">
        <x:v>constraint revealed</x:v>
      </x:c>
      <x:c r="G1613" s="17" t="str">
        <x:v>color: red</x:v>
      </x:c>
      <x:c r="H1613" s="17" t="str">
        <x:v>For that, what matters is: color: red.</x:v>
      </x:c>
      <x:c r="I1613" s="17" t="str"/>
    </x:row>
    <x:row r="1614">
      <x:c r="A1614" t="str">
        <x:v>public_0141</x:v>
      </x:c>
      <x:c r="B1614" t="str">
        <x:v>browsing</x:v>
      </x:c>
      <x:c r="C1614" t="str">
        <x:v>medium</x:v>
      </x:c>
      <x:c r="D1614" s="17" t="str">
        <x:v>next ask before hit/override</x:v>
      </x:c>
      <x:c r="E1614" s="17" t="str">
        <x:v>size</x:v>
      </x:c>
      <x:c r="F1614" s="17" t="str">
        <x:v>constraint revealed</x:v>
      </x:c>
      <x:c r="G1614" s="17" t="str">
        <x:v>Nose Rings Studs Size: 20 gauge (0.8mm), Pin Length: 7mm (9/32"), Round Cubic Zirconia Size: 2mm. Easy to Put In and Take Off, absolutely make you feel beautiful, comfortable, happ</x:v>
      </x:c>
      <x:c r="H1614" s="17" t="str">
        <x:v>For that, what matters is: Nose Rings Studs Size: 20 gauge (0.8mm), Pin Length: 7mm (9/32"), Round Cubic Zirconia Size: 2mm. Easy to Put In and Take Off, absolutely make you feel beautiful, comfortable, happ.</x:v>
      </x:c>
      <x:c r="I1614" s="17" t="str"/>
    </x:row>
    <x:row r="1615">
      <x:c r="A1615" t="str">
        <x:v>public_0141</x:v>
      </x:c>
      <x:c r="B1615" t="str">
        <x:v>browsing</x:v>
      </x:c>
      <x:c r="C1615" t="str">
        <x:v>medium</x:v>
      </x:c>
      <x:c r="D1615" s="17" t="str">
        <x:v>next ask before hit/override</x:v>
      </x:c>
      <x:c r="E1615" s="17" t="str">
        <x:v>style</x:v>
      </x:c>
      <x:c r="F1615" s="17" t="str">
        <x:v>no new constraint</x:v>
      </x:c>
      <x:c r="G1615" s="17" t="str"/>
      <x:c r="H1615" s="17" t="str">
        <x:v>I don't have an additional preference for style.</x:v>
      </x:c>
      <x:c r="I1615" s="17" t="str"/>
    </x:row>
    <x:row r="1616">
      <x:c r="A1616" t="str">
        <x:v>public_0141</x:v>
      </x:c>
      <x:c r="B1616" t="str">
        <x:v>browsing</x:v>
      </x:c>
      <x:c r="C1616" t="str">
        <x:v>medium</x:v>
      </x:c>
      <x:c r="D1616" s="17" t="str">
        <x:v>next ask before hit/override</x:v>
      </x:c>
      <x:c r="E1616" s="17" t="str">
        <x:v>brand</x:v>
      </x:c>
      <x:c r="F1616" s="17" t="str">
        <x:v>no new constraint</x:v>
      </x:c>
      <x:c r="G1616" s="17" t="str"/>
      <x:c r="H1616" s="17" t="str">
        <x:v>I don't have an additional preference for brand.</x:v>
      </x:c>
      <x:c r="I1616" s="17" t="str"/>
    </x:row>
    <x:row r="1617">
      <x:c r="A1617" t="str">
        <x:v>public_0141</x:v>
      </x:c>
      <x:c r="B1617" t="str">
        <x:v>browsing</x:v>
      </x:c>
      <x:c r="C1617" t="str">
        <x:v>medium</x:v>
      </x:c>
      <x:c r="D1617" s="17" t="str">
        <x:v>next ask before hit/override</x:v>
      </x:c>
      <x:c r="E1617" s="17" t="str">
        <x:v>budget</x:v>
      </x:c>
      <x:c r="F1617" s="17" t="str">
        <x:v>no new constraint</x:v>
      </x:c>
      <x:c r="G1617" s="17" t="str"/>
      <x:c r="H1617" s="17" t="str">
        <x:v>I don't have an additional preference for budget.</x:v>
      </x:c>
      <x:c r="I1617" s="17" t="str"/>
    </x:row>
    <x:row r="1618">
      <x:c r="A1618" t="str">
        <x:v>public_0141</x:v>
      </x:c>
      <x:c r="B1618" t="str">
        <x:v>browsing</x:v>
      </x:c>
      <x:c r="C1618" t="str">
        <x:v>medium</x:v>
      </x:c>
      <x:c r="D1618" s="17" t="str">
        <x:v>next ask before hit/override</x:v>
      </x:c>
      <x:c r="E1618" s="17" t="str">
        <x:v>feature</x:v>
      </x:c>
      <x:c r="F1618" s="17" t="str">
        <x:v>constraint revealed</x:v>
      </x:c>
      <x:c r="G1618" s="17" t="str">
        <x:v>You will receive 6 Pcs silver nose studs, coming with one free gift velvet bag. Can be used as nose rings, nose piercings, nose rings studs, nose piercing jewelry, nostril piercing | High quality 316L surgical stainless steel, hypoallergenic, nickel and lead free, never rust and tarnish resistance, lightweight. High-polished finishing and electroplating, super</x:v>
      </x:c>
      <x:c r="H1618" s="17" t="str">
        <x:v>For that, what matters is: You will receive 6 Pcs silver nose studs, coming with one free gift velvet bag. Can be used as nose rings, nose piercings, nose rings studs, nose piercing jewelry, nostril piercing; High quality 316L surgical stainless steel, hypoallergenic, nickel and lead free, never rust and tarnish resistance, lightweight. High-polished finishing and electroplating, super.</x:v>
      </x:c>
      <x:c r="I1618" s="17" t="str"/>
    </x:row>
    <x:row r="1619">
      <x:c r="A1619" t="str">
        <x:v>public_0141</x:v>
      </x:c>
      <x:c r="B1619" t="str">
        <x:v>browsing</x:v>
      </x:c>
      <x:c r="C1619" t="str">
        <x:v>medium</x:v>
      </x:c>
      <x:c r="D1619" s="17" t="str">
        <x:v>next ask before hit/override</x:v>
      </x:c>
      <x:c r="E1619" s="17" t="str">
        <x:v>use_case</x:v>
      </x:c>
      <x:c r="F1619" s="17" t="str">
        <x:v>no new constraint</x:v>
      </x:c>
      <x:c r="G1619" s="17" t="str"/>
      <x:c r="H1619" s="17" t="str">
        <x:v>I don't have an additional preference for use_case.</x:v>
      </x:c>
      <x:c r="I1619" s="17" t="str"/>
    </x:row>
    <x:row r="1620">
      <x:c r="A1620" t="str">
        <x:v>public_0141</x:v>
      </x:c>
      <x:c r="B1620" t="str">
        <x:v>browsing</x:v>
      </x:c>
      <x:c r="C1620" t="str">
        <x:v>medium</x:v>
      </x:c>
      <x:c r="D1620" s="17" t="str">
        <x:v>next ask before hit/override</x:v>
      </x:c>
      <x:c r="E1620" s="17" t="str">
        <x:v>other</x:v>
      </x:c>
      <x:c r="F1620" s="17" t="str">
        <x:v>constraint revealed</x:v>
      </x:c>
      <x:c r="G1620" s="17" t="str">
        <x:v>You will receive 6 Pcs silver nose studs, coming with one free gift velvet bag. Can be used as nose rings, nose piercings, nose rings studs, nose piercing jewelry, nostril piercing | color: red</x:v>
      </x:c>
      <x:c r="H1620" s="17" t="str">
        <x:v>For that, what matters is: You will receive 6 Pcs silver nose studs, coming with one free gift velvet bag. Can be used as nose rings, nose piercings, nose rings studs, nose piercing jewelry, nostril piercing; color: red.</x:v>
      </x:c>
      <x:c r="I1620" s="17" t="str"/>
    </x:row>
    <x:row r="1621">
      <x:c r="A1621" t="str">
        <x:v>public_0141</x:v>
      </x:c>
      <x:c r="B1621" t="str">
        <x:v>browsing</x:v>
      </x:c>
      <x:c r="C1621" t="str">
        <x:v>medium</x:v>
      </x:c>
      <x:c r="D1621" s="17" t="str">
        <x:v>next ask before hit/override</x:v>
      </x:c>
      <x:c r="E1621" s="17" t="str">
        <x:v>(no ask_attribute)</x:v>
      </x:c>
      <x:c r="F1621" s="17" t="str">
        <x:v>agent did not ask</x:v>
      </x:c>
      <x:c r="G1621" s="17" t="str"/>
      <x:c r="H1621" s="17" t="str">
        <x:v>Those options are not quite right yet. Ask me about one specific attribute.</x:v>
      </x:c>
      <x:c r="I1621" s="17" t="str"/>
    </x:row>
    <x:row r="1622">
      <x:c r="A1622" t="str">
        <x:v>public_0142</x:v>
      </x:c>
      <x:c r="B1622" t="str">
        <x:v>intent_override</x:v>
      </x:c>
      <x:c r="C1622" t="str">
        <x:v>hard</x:v>
      </x:c>
      <x:c r="D1622" s="17" t="str">
        <x:v>next ask before hit/override</x:v>
      </x:c>
      <x:c r="E1622" s="17" t="str">
        <x:v>category</x:v>
      </x:c>
      <x:c r="F1622" s="17" t="str">
        <x:v>no new constraint</x:v>
      </x:c>
      <x:c r="G1622" s="17" t="str"/>
      <x:c r="H1622" s="17" t="str">
        <x:v>I don't have an additional preference for category.</x:v>
      </x:c>
      <x:c r="I1622" s="17" t="str">
        <x:v>Override message occurs automatically on turn 3 or 4 before this reply when scheduled.</x:v>
      </x:c>
    </x:row>
    <x:row r="1623">
      <x:c r="A1623" t="str">
        <x:v>public_0142</x:v>
      </x:c>
      <x:c r="B1623" t="str">
        <x:v>intent_override</x:v>
      </x:c>
      <x:c r="C1623" t="str">
        <x:v>hard</x:v>
      </x:c>
      <x:c r="D1623" s="17" t="str">
        <x:v>next ask before hit/override</x:v>
      </x:c>
      <x:c r="E1623" s="17" t="str">
        <x:v>material</x:v>
      </x:c>
      <x:c r="F1623" s="17" t="str">
        <x:v>no new constraint</x:v>
      </x:c>
      <x:c r="G1623" s="17" t="str"/>
      <x:c r="H1623" s="17" t="str">
        <x:v>I don't have an additional preference for material.</x:v>
      </x:c>
      <x:c r="I1623" s="17" t="str">
        <x:v>Override message occurs automatically on turn 3 or 4 before this reply when scheduled.</x:v>
      </x:c>
    </x:row>
    <x:row r="1624">
      <x:c r="A1624" t="str">
        <x:v>public_0142</x:v>
      </x:c>
      <x:c r="B1624" t="str">
        <x:v>intent_override</x:v>
      </x:c>
      <x:c r="C1624" t="str">
        <x:v>hard</x:v>
      </x:c>
      <x:c r="D1624" s="17" t="str">
        <x:v>next ask before hit/override</x:v>
      </x:c>
      <x:c r="E1624" s="17" t="str">
        <x:v>color</x:v>
      </x:c>
      <x:c r="F1624" s="17" t="str">
        <x:v>constraint revealed</x:v>
      </x:c>
      <x:c r="G1624" s="17" t="str">
        <x:v>color: black | Unique Design: Inspire from Royal Knight, high polished bright chain links, with strong fold-over clasp, personalized colors match can highlights the low-key but noble quality and</x:v>
      </x:c>
      <x:c r="H1624" s="17" t="str">
        <x:v>For that, what matters is: color: black; Unique Design: Inspire from Royal Knight, high polished bright chain links, with strong fold-over clasp, personalized colors match can highlights the low-key but noble quality and.</x:v>
      </x:c>
      <x:c r="I1624" s="17" t="str">
        <x:v>Override message occurs automatically on turn 3 or 4 before this reply when scheduled.</x:v>
      </x:c>
    </x:row>
    <x:row r="1625">
      <x:c r="A1625" t="str">
        <x:v>public_0142</x:v>
      </x:c>
      <x:c r="B1625" t="str">
        <x:v>intent_override</x:v>
      </x:c>
      <x:c r="C1625" t="str">
        <x:v>hard</x:v>
      </x:c>
      <x:c r="D1625" s="17" t="str">
        <x:v>next ask before hit/override</x:v>
      </x:c>
      <x:c r="E1625" s="17" t="str">
        <x:v>size</x:v>
      </x:c>
      <x:c r="F1625" s="17" t="str">
        <x:v>constraint revealed</x:v>
      </x:c>
      <x:c r="G1625" s="17" t="str">
        <x:v>Bracelet Size: Length-8.34 inch, width-0.4 inch, weight: 54g. smooth chain, lightweight and comfortable to wear, perfect for bike enthusiasts etc</x:v>
      </x:c>
      <x:c r="H1625" s="17" t="str">
        <x:v>For that, what matters is: Bracelet Size: Length-8.34 inch, width-0.4 inch, weight: 54g. smooth chain, lightweight and comfortable to wear, perfect for bike enthusiasts etc.</x:v>
      </x:c>
      <x:c r="I1625" s="17" t="str">
        <x:v>Override message occurs automatically on turn 3 or 4 before this reply when scheduled.</x:v>
      </x:c>
    </x:row>
    <x:row r="1626">
      <x:c r="A1626" t="str">
        <x:v>public_0142</x:v>
      </x:c>
      <x:c r="B1626" t="str">
        <x:v>intent_override</x:v>
      </x:c>
      <x:c r="C1626" t="str">
        <x:v>hard</x:v>
      </x:c>
      <x:c r="D1626" s="17" t="str">
        <x:v>next ask before hit/override</x:v>
      </x:c>
      <x:c r="E1626" s="17" t="str">
        <x:v>style</x:v>
      </x:c>
      <x:c r="F1626" s="17" t="str">
        <x:v>no new constraint</x:v>
      </x:c>
      <x:c r="G1626" s="17" t="str"/>
      <x:c r="H1626" s="17" t="str">
        <x:v>I don't have an additional preference for style.</x:v>
      </x:c>
      <x:c r="I1626" s="17" t="str">
        <x:v>Override message occurs automatically on turn 3 or 4 before this reply when scheduled.</x:v>
      </x:c>
    </x:row>
    <x:row r="1627">
      <x:c r="A1627" t="str">
        <x:v>public_0142</x:v>
      </x:c>
      <x:c r="B1627" t="str">
        <x:v>intent_override</x:v>
      </x:c>
      <x:c r="C1627" t="str">
        <x:v>hard</x:v>
      </x:c>
      <x:c r="D1627" s="17" t="str">
        <x:v>next ask before hit/override</x:v>
      </x:c>
      <x:c r="E1627" s="17" t="str">
        <x:v>brand</x:v>
      </x:c>
      <x:c r="F1627" s="17" t="str">
        <x:v>no new constraint</x:v>
      </x:c>
      <x:c r="G1627" s="17" t="str"/>
      <x:c r="H1627" s="17" t="str">
        <x:v>I don't have an additional preference for brand.</x:v>
      </x:c>
      <x:c r="I1627" s="17" t="str">
        <x:v>Override message occurs automatically on turn 3 or 4 before this reply when scheduled.</x:v>
      </x:c>
    </x:row>
    <x:row r="1628">
      <x:c r="A1628" t="str">
        <x:v>public_0142</x:v>
      </x:c>
      <x:c r="B1628" t="str">
        <x:v>intent_override</x:v>
      </x:c>
      <x:c r="C1628" t="str">
        <x:v>hard</x:v>
      </x:c>
      <x:c r="D1628" s="17" t="str">
        <x:v>next ask before hit/override</x:v>
      </x:c>
      <x:c r="E1628" s="17" t="str">
        <x:v>budget</x:v>
      </x:c>
      <x:c r="F1628" s="17" t="str">
        <x:v>no new constraint</x:v>
      </x:c>
      <x:c r="G1628" s="17" t="str"/>
      <x:c r="H1628" s="17" t="str">
        <x:v>I don't have an additional preference for budget.</x:v>
      </x:c>
      <x:c r="I1628" s="17" t="str">
        <x:v>Override message occurs automatically on turn 3 or 4 before this reply when scheduled.</x:v>
      </x:c>
    </x:row>
    <x:row r="1629">
      <x:c r="A1629" t="str">
        <x:v>public_0142</x:v>
      </x:c>
      <x:c r="B1629" t="str">
        <x:v>intent_override</x:v>
      </x:c>
      <x:c r="C1629" t="str">
        <x:v>hard</x:v>
      </x:c>
      <x:c r="D1629" s="17" t="str">
        <x:v>next ask before hit/override</x:v>
      </x:c>
      <x:c r="E1629" s="17" t="str">
        <x:v>feature</x:v>
      </x:c>
      <x:c r="F1629" s="17" t="str">
        <x:v>constraint revealed</x:v>
      </x:c>
      <x:c r="G1629" s="17" t="str">
        <x:v>Stainless Steel Bike Bracelet: Handcrafted with high quality material, 100% HYPOALLERGENIC, Lead &amp; Nickel Free, Stronger and very LOW MAINTENANCE Metal, long lasting IP vacuum Plat</x:v>
      </x:c>
      <x:c r="H1629" s="17" t="str">
        <x:v>For that, what matters is: Stainless Steel Bike Bracelet: Handcrafted with high quality material, 100% HYPOALLERGENIC, Lead &amp; Nickel Free, Stronger and very LOW MAINTENANCE Metal, long lasting IP vacuum Plat.</x:v>
      </x:c>
      <x:c r="I1629" s="17" t="str">
        <x:v>Override message occurs automatically on turn 3 or 4 before this reply when scheduled.</x:v>
      </x:c>
    </x:row>
    <x:row r="1630">
      <x:c r="A1630" t="str">
        <x:v>public_0142</x:v>
      </x:c>
      <x:c r="B1630" t="str">
        <x:v>intent_override</x:v>
      </x:c>
      <x:c r="C1630" t="str">
        <x:v>hard</x:v>
      </x:c>
      <x:c r="D1630" s="17" t="str">
        <x:v>next ask before hit/override</x:v>
      </x:c>
      <x:c r="E1630" s="17" t="str">
        <x:v>use_case</x:v>
      </x:c>
      <x:c r="F1630" s="17" t="str">
        <x:v>no new constraint</x:v>
      </x:c>
      <x:c r="G1630" s="17" t="str"/>
      <x:c r="H1630" s="17" t="str">
        <x:v>I don't have an additional preference for use_case.</x:v>
      </x:c>
      <x:c r="I1630" s="17" t="str">
        <x:v>Override message occurs automatically on turn 3 or 4 before this reply when scheduled.</x:v>
      </x:c>
    </x:row>
    <x:row r="1631">
      <x:c r="A1631" t="str">
        <x:v>public_0142</x:v>
      </x:c>
      <x:c r="B1631" t="str">
        <x:v>intent_override</x:v>
      </x:c>
      <x:c r="C1631" t="str">
        <x:v>hard</x:v>
      </x:c>
      <x:c r="D1631" s="17" t="str">
        <x:v>next ask before hit/override</x:v>
      </x:c>
      <x:c r="E1631" s="17" t="str">
        <x:v>other</x:v>
      </x:c>
      <x:c r="F1631" s="17" t="str">
        <x:v>constraint revealed</x:v>
      </x:c>
      <x:c r="G1631" s="17" t="str">
        <x:v>Stainless Steel Bike Bracelet: Handcrafted with high quality material, 100% HYPOALLERGENIC, Lead &amp; Nickel Free, Stronger and very LOW MAINTENANCE Metal, long lasting IP vacuum Plat | color: black</x:v>
      </x:c>
      <x:c r="H1631" s="17" t="str">
        <x:v>For that, what matters is: Stainless Steel Bike Bracelet: Handcrafted with high quality material, 100% HYPOALLERGENIC, Lead &amp; Nickel Free, Stronger and very LOW MAINTENANCE Metal, long lasting IP vacuum Plat; color: black.</x:v>
      </x:c>
      <x:c r="I1631" s="17" t="str">
        <x:v>Override message occurs automatically on turn 3 or 4 before this reply when scheduled.</x:v>
      </x:c>
    </x:row>
    <x:row r="1632">
      <x:c r="A1632" t="str">
        <x:v>public_0142</x:v>
      </x:c>
      <x:c r="B1632" t="str">
        <x:v>intent_override</x:v>
      </x:c>
      <x:c r="C1632" t="str">
        <x:v>hard</x:v>
      </x:c>
      <x:c r="D1632" s="17" t="str">
        <x:v>next ask before hit/override</x:v>
      </x:c>
      <x:c r="E1632" s="17" t="str">
        <x:v>(no ask_attribute)</x:v>
      </x:c>
      <x:c r="F1632" s="17" t="str">
        <x:v>agent did not ask</x:v>
      </x:c>
      <x:c r="G1632" s="17" t="str"/>
      <x:c r="H1632" s="17" t="str">
        <x:v>Those options are not quite right yet. Ask me about one specific attribute.</x:v>
      </x:c>
      <x:c r="I1632" s="17" t="str">
        <x:v>Override message occurs automatically on turn 3 or 4 before this reply when scheduled.</x:v>
      </x:c>
    </x:row>
    <x:row r="1633">
      <x:c r="A1633" t="str">
        <x:v>public_0143</x:v>
      </x:c>
      <x:c r="B1633" t="str">
        <x:v>buying</x:v>
      </x:c>
      <x:c r="C1633" t="str">
        <x:v>easy</x:v>
      </x:c>
      <x:c r="D1633" s="17" t="str">
        <x:v>next ask before hit/override</x:v>
      </x:c>
      <x:c r="E1633" s="17" t="str">
        <x:v>category</x:v>
      </x:c>
      <x:c r="F1633" s="17" t="str">
        <x:v>no new constraint</x:v>
      </x:c>
      <x:c r="G1633" s="17" t="str"/>
      <x:c r="H1633" s="17" t="str">
        <x:v>I don't have an additional preference for category.</x:v>
      </x:c>
      <x:c r="I1633" s="17" t="str"/>
    </x:row>
    <x:row r="1634">
      <x:c r="A1634" t="str">
        <x:v>public_0143</x:v>
      </x:c>
      <x:c r="B1634" t="str">
        <x:v>buying</x:v>
      </x:c>
      <x:c r="C1634" t="str">
        <x:v>easy</x:v>
      </x:c>
      <x:c r="D1634" s="17" t="str">
        <x:v>next ask before hit/override</x:v>
      </x:c>
      <x:c r="E1634" s="17" t="str">
        <x:v>material</x:v>
      </x:c>
      <x:c r="F1634" s="17" t="str">
        <x:v>constraint revealed</x:v>
      </x:c>
      <x:c r="G1634" s="17" t="str">
        <x:v>65% Rayon, 30% Cotton, 5% Spandex</x:v>
      </x:c>
      <x:c r="H1634" s="17" t="str">
        <x:v>For that, what matters is: 65% Rayon, 30% Cotton, 5% Spandex.</x:v>
      </x:c>
      <x:c r="I1634" s="17" t="str"/>
    </x:row>
    <x:row r="1635">
      <x:c r="A1635" t="str">
        <x:v>public_0143</x:v>
      </x:c>
      <x:c r="B1635" t="str">
        <x:v>buying</x:v>
      </x:c>
      <x:c r="C1635" t="str">
        <x:v>easy</x:v>
      </x:c>
      <x:c r="D1635" s="17" t="str">
        <x:v>next ask before hit/override</x:v>
      </x:c>
      <x:c r="E1635" s="17" t="str">
        <x:v>color</x:v>
      </x:c>
      <x:c r="F1635" s="17" t="str">
        <x:v>no new constraint</x:v>
      </x:c>
      <x:c r="G1635" s="17" t="str"/>
      <x:c r="H1635" s="17" t="str">
        <x:v>I don't have an additional preference for color.</x:v>
      </x:c>
      <x:c r="I1635" s="17" t="str"/>
    </x:row>
    <x:row r="1636">
      <x:c r="A1636" t="str">
        <x:v>public_0143</x:v>
      </x:c>
      <x:c r="B1636" t="str">
        <x:v>buying</x:v>
      </x:c>
      <x:c r="C1636" t="str">
        <x:v>easy</x:v>
      </x:c>
      <x:c r="D1636" s="17" t="str">
        <x:v>next ask before hit/override</x:v>
      </x:c>
      <x:c r="E1636" s="17" t="str">
        <x:v>size</x:v>
      </x:c>
      <x:c r="F1636" s="17" t="str">
        <x:v>no new constraint</x:v>
      </x:c>
      <x:c r="G1636" s="17" t="str"/>
      <x:c r="H1636" s="17" t="str">
        <x:v>I don't have an additional preference for size.</x:v>
      </x:c>
      <x:c r="I1636" s="17" t="str"/>
    </x:row>
    <x:row r="1637">
      <x:c r="A1637" t="str">
        <x:v>public_0143</x:v>
      </x:c>
      <x:c r="B1637" t="str">
        <x:v>buying</x:v>
      </x:c>
      <x:c r="C1637" t="str">
        <x:v>easy</x:v>
      </x:c>
      <x:c r="D1637" s="17" t="str">
        <x:v>next ask before hit/override</x:v>
      </x:c>
      <x:c r="E1637" s="17" t="str">
        <x:v>style</x:v>
      </x:c>
      <x:c r="F1637" s="17" t="str">
        <x:v>no new constraint</x:v>
      </x:c>
      <x:c r="G1637" s="17" t="str"/>
      <x:c r="H1637" s="17" t="str">
        <x:v>I don't have an additional preference for style.</x:v>
      </x:c>
      <x:c r="I1637" s="17" t="str"/>
    </x:row>
    <x:row r="1638">
      <x:c r="A1638" t="str">
        <x:v>public_0143</x:v>
      </x:c>
      <x:c r="B1638" t="str">
        <x:v>buying</x:v>
      </x:c>
      <x:c r="C1638" t="str">
        <x:v>easy</x:v>
      </x:c>
      <x:c r="D1638" s="17" t="str">
        <x:v>next ask before hit/override</x:v>
      </x:c>
      <x:c r="E1638" s="17" t="str">
        <x:v>brand</x:v>
      </x:c>
      <x:c r="F1638" s="17" t="str">
        <x:v>no new constraint</x:v>
      </x:c>
      <x:c r="G1638" s="17" t="str"/>
      <x:c r="H1638" s="17" t="str">
        <x:v>I don't have an additional preference for brand.</x:v>
      </x:c>
      <x:c r="I1638" s="17" t="str"/>
    </x:row>
    <x:row r="1639">
      <x:c r="A1639" t="str">
        <x:v>public_0143</x:v>
      </x:c>
      <x:c r="B1639" t="str">
        <x:v>buying</x:v>
      </x:c>
      <x:c r="C1639" t="str">
        <x:v>easy</x:v>
      </x:c>
      <x:c r="D1639" s="17" t="str">
        <x:v>next ask before hit/override</x:v>
      </x:c>
      <x:c r="E1639" s="17" t="str">
        <x:v>budget</x:v>
      </x:c>
      <x:c r="F1639" s="17" t="str">
        <x:v>no new constraint</x:v>
      </x:c>
      <x:c r="G1639" s="17" t="str"/>
      <x:c r="H1639" s="17" t="str">
        <x:v>I don't have an additional preference for budget.</x:v>
      </x:c>
      <x:c r="I1639" s="17" t="str"/>
    </x:row>
    <x:row r="1640">
      <x:c r="A1640" t="str">
        <x:v>public_0143</x:v>
      </x:c>
      <x:c r="B1640" t="str">
        <x:v>buying</x:v>
      </x:c>
      <x:c r="C1640" t="str">
        <x:v>easy</x:v>
      </x:c>
      <x:c r="D1640" s="17" t="str">
        <x:v>next ask before hit/override</x:v>
      </x:c>
      <x:c r="E1640" s="17" t="str">
        <x:v>feature</x:v>
      </x:c>
      <x:c r="F1640" s="17" t="str">
        <x:v>constraint revealed</x:v>
      </x:c>
      <x:c r="G1640" s="17" t="str">
        <x:v>Imported | Zipper closure</x:v>
      </x:c>
      <x:c r="H1640" s="17" t="str">
        <x:v>For that, what matters is: Imported; Zipper closure.</x:v>
      </x:c>
      <x:c r="I1640" s="17" t="str"/>
    </x:row>
    <x:row r="1641">
      <x:c r="A1641" t="str">
        <x:v>public_0143</x:v>
      </x:c>
      <x:c r="B1641" t="str">
        <x:v>buying</x:v>
      </x:c>
      <x:c r="C1641" t="str">
        <x:v>easy</x:v>
      </x:c>
      <x:c r="D1641" s="17" t="str">
        <x:v>next ask before hit/override</x:v>
      </x:c>
      <x:c r="E1641" s="17" t="str">
        <x:v>use_case</x:v>
      </x:c>
      <x:c r="F1641" s="17" t="str">
        <x:v>no new constraint</x:v>
      </x:c>
      <x:c r="G1641" s="17" t="str"/>
      <x:c r="H1641" s="17" t="str">
        <x:v>I don't have an additional preference for use_case.</x:v>
      </x:c>
      <x:c r="I1641" s="17" t="str"/>
    </x:row>
    <x:row r="1642">
      <x:c r="A1642" t="str">
        <x:v>public_0143</x:v>
      </x:c>
      <x:c r="B1642" t="str">
        <x:v>buying</x:v>
      </x:c>
      <x:c r="C1642" t="str">
        <x:v>easy</x:v>
      </x:c>
      <x:c r="D1642" s="17" t="str">
        <x:v>next ask before hit/override</x:v>
      </x:c>
      <x:c r="E1642" s="17" t="str">
        <x:v>other</x:v>
      </x:c>
      <x:c r="F1642" s="17" t="str">
        <x:v>constraint revealed</x:v>
      </x:c>
      <x:c r="G1642" s="17" t="str">
        <x:v>65% Rayon, 30% Cotton, 5% Spandex | Imported</x:v>
      </x:c>
      <x:c r="H1642" s="17" t="str">
        <x:v>For that, what matters is: 65% Rayon, 30% Cotton, 5% Spandex; Imported.</x:v>
      </x:c>
      <x:c r="I1642" s="17" t="str"/>
    </x:row>
    <x:row r="1643">
      <x:c r="A1643" t="str">
        <x:v>public_0143</x:v>
      </x:c>
      <x:c r="B1643" t="str">
        <x:v>buying</x:v>
      </x:c>
      <x:c r="C1643" t="str">
        <x:v>easy</x:v>
      </x:c>
      <x:c r="D1643" s="17" t="str">
        <x:v>next ask before hit/override</x:v>
      </x:c>
      <x:c r="E1643" s="17" t="str">
        <x:v>(no ask_attribute)</x:v>
      </x:c>
      <x:c r="F1643" s="17" t="str">
        <x:v>agent did not ask</x:v>
      </x:c>
      <x:c r="G1643" s="17" t="str"/>
      <x:c r="H1643" s="17" t="str">
        <x:v>Those options are not quite right yet. Ask me about one specific attribute.</x:v>
      </x:c>
      <x:c r="I1643" s="17" t="str"/>
    </x:row>
    <x:row r="1644">
      <x:c r="A1644" t="str">
        <x:v>public_0144</x:v>
      </x:c>
      <x:c r="B1644" t="str">
        <x:v>intent_override</x:v>
      </x:c>
      <x:c r="C1644" t="str">
        <x:v>hard</x:v>
      </x:c>
      <x:c r="D1644" s="17" t="str">
        <x:v>next ask before hit/override</x:v>
      </x:c>
      <x:c r="E1644" s="17" t="str">
        <x:v>category</x:v>
      </x:c>
      <x:c r="F1644" s="17" t="str">
        <x:v>no new constraint</x:v>
      </x:c>
      <x:c r="G1644" s="17" t="str"/>
      <x:c r="H1644" s="17" t="str">
        <x:v>I don't have an additional preference for category.</x:v>
      </x:c>
      <x:c r="I1644" s="17" t="str">
        <x:v>Override message occurs automatically on turn 3 or 4 before this reply when scheduled.</x:v>
      </x:c>
    </x:row>
    <x:row r="1645">
      <x:c r="A1645" t="str">
        <x:v>public_0144</x:v>
      </x:c>
      <x:c r="B1645" t="str">
        <x:v>intent_override</x:v>
      </x:c>
      <x:c r="C1645" t="str">
        <x:v>hard</x:v>
      </x:c>
      <x:c r="D1645" s="17" t="str">
        <x:v>next ask before hit/override</x:v>
      </x:c>
      <x:c r="E1645" s="17" t="str">
        <x:v>material</x:v>
      </x:c>
      <x:c r="F1645" s="17" t="str">
        <x:v>constraint revealed</x:v>
      </x:c>
      <x:c r="G1645" s="17" t="str">
        <x:v>polyester | 100% Polyester</x:v>
      </x:c>
      <x:c r="H1645" s="17" t="str">
        <x:v>For that, what matters is: polyester; 100% Polyester.</x:v>
      </x:c>
      <x:c r="I1645" s="17" t="str">
        <x:v>Override message occurs automatically on turn 3 or 4 before this reply when scheduled.</x:v>
      </x:c>
    </x:row>
    <x:row r="1646">
      <x:c r="A1646" t="str">
        <x:v>public_0144</x:v>
      </x:c>
      <x:c r="B1646" t="str">
        <x:v>intent_override</x:v>
      </x:c>
      <x:c r="C1646" t="str">
        <x:v>hard</x:v>
      </x:c>
      <x:c r="D1646" s="17" t="str">
        <x:v>next ask before hit/override</x:v>
      </x:c>
      <x:c r="E1646" s="17" t="str">
        <x:v>color</x:v>
      </x:c>
      <x:c r="F1646" s="17" t="str">
        <x:v>no new constraint</x:v>
      </x:c>
      <x:c r="G1646" s="17" t="str"/>
      <x:c r="H1646" s="17" t="str">
        <x:v>I don't have an additional preference for color.</x:v>
      </x:c>
      <x:c r="I1646" s="17" t="str">
        <x:v>Override message occurs automatically on turn 3 or 4 before this reply when scheduled.</x:v>
      </x:c>
    </x:row>
    <x:row r="1647">
      <x:c r="A1647" t="str">
        <x:v>public_0144</x:v>
      </x:c>
      <x:c r="B1647" t="str">
        <x:v>intent_override</x:v>
      </x:c>
      <x:c r="C1647" t="str">
        <x:v>hard</x:v>
      </x:c>
      <x:c r="D1647" s="17" t="str">
        <x:v>next ask before hit/override</x:v>
      </x:c>
      <x:c r="E1647" s="17" t="str">
        <x:v>size</x:v>
      </x:c>
      <x:c r="F1647" s="17" t="str">
        <x:v>no new constraint</x:v>
      </x:c>
      <x:c r="G1647" s="17" t="str"/>
      <x:c r="H1647" s="17" t="str">
        <x:v>I don't have an additional preference for size.</x:v>
      </x:c>
      <x:c r="I1647" s="17" t="str">
        <x:v>Override message occurs automatically on turn 3 or 4 before this reply when scheduled.</x:v>
      </x:c>
    </x:row>
    <x:row r="1648">
      <x:c r="A1648" t="str">
        <x:v>public_0144</x:v>
      </x:c>
      <x:c r="B1648" t="str">
        <x:v>intent_override</x:v>
      </x:c>
      <x:c r="C1648" t="str">
        <x:v>hard</x:v>
      </x:c>
      <x:c r="D1648" s="17" t="str">
        <x:v>next ask before hit/override</x:v>
      </x:c>
      <x:c r="E1648" s="17" t="str">
        <x:v>style</x:v>
      </x:c>
      <x:c r="F1648" s="17" t="str">
        <x:v>no new constraint</x:v>
      </x:c>
      <x:c r="G1648" s="17" t="str"/>
      <x:c r="H1648" s="17" t="str">
        <x:v>I don't have an additional preference for style.</x:v>
      </x:c>
      <x:c r="I1648" s="17" t="str">
        <x:v>Override message occurs automatically on turn 3 or 4 before this reply when scheduled.</x:v>
      </x:c>
    </x:row>
    <x:row r="1649">
      <x:c r="A1649" t="str">
        <x:v>public_0144</x:v>
      </x:c>
      <x:c r="B1649" t="str">
        <x:v>intent_override</x:v>
      </x:c>
      <x:c r="C1649" t="str">
        <x:v>hard</x:v>
      </x:c>
      <x:c r="D1649" s="17" t="str">
        <x:v>next ask before hit/override</x:v>
      </x:c>
      <x:c r="E1649" s="17" t="str">
        <x:v>brand</x:v>
      </x:c>
      <x:c r="F1649" s="17" t="str">
        <x:v>no new constraint</x:v>
      </x:c>
      <x:c r="G1649" s="17" t="str"/>
      <x:c r="H1649" s="17" t="str">
        <x:v>I don't have an additional preference for brand.</x:v>
      </x:c>
      <x:c r="I1649" s="17" t="str">
        <x:v>Override message occurs automatically on turn 3 or 4 before this reply when scheduled.</x:v>
      </x:c>
    </x:row>
    <x:row r="1650">
      <x:c r="A1650" t="str">
        <x:v>public_0144</x:v>
      </x:c>
      <x:c r="B1650" t="str">
        <x:v>intent_override</x:v>
      </x:c>
      <x:c r="C1650" t="str">
        <x:v>hard</x:v>
      </x:c>
      <x:c r="D1650" s="17" t="str">
        <x:v>next ask before hit/override</x:v>
      </x:c>
      <x:c r="E1650" s="17" t="str">
        <x:v>budget</x:v>
      </x:c>
      <x:c r="F1650" s="17" t="str">
        <x:v>no new constraint</x:v>
      </x:c>
      <x:c r="G1650" s="17" t="str"/>
      <x:c r="H1650" s="17" t="str">
        <x:v>I don't have an additional preference for budget.</x:v>
      </x:c>
      <x:c r="I1650" s="17" t="str">
        <x:v>Override message occurs automatically on turn 3 or 4 before this reply when scheduled.</x:v>
      </x:c>
    </x:row>
    <x:row r="1651">
      <x:c r="A1651" t="str">
        <x:v>public_0144</x:v>
      </x:c>
      <x:c r="B1651" t="str">
        <x:v>intent_override</x:v>
      </x:c>
      <x:c r="C1651" t="str">
        <x:v>hard</x:v>
      </x:c>
      <x:c r="D1651" s="17" t="str">
        <x:v>next ask before hit/override</x:v>
      </x:c>
      <x:c r="E1651" s="17" t="str">
        <x:v>feature</x:v>
      </x:c>
      <x:c r="F1651" s="17" t="str">
        <x:v>constraint revealed</x:v>
      </x:c>
      <x:c r="G1651" s="17" t="str">
        <x:v>Imported | Zipper closure</x:v>
      </x:c>
      <x:c r="H1651" s="17" t="str">
        <x:v>For that, what matters is: Imported; Zipper closure.</x:v>
      </x:c>
      <x:c r="I1651" s="17" t="str">
        <x:v>Override message occurs automatically on turn 3 or 4 before this reply when scheduled.</x:v>
      </x:c>
    </x:row>
    <x:row r="1652">
      <x:c r="A1652" t="str">
        <x:v>public_0144</x:v>
      </x:c>
      <x:c r="B1652" t="str">
        <x:v>intent_override</x:v>
      </x:c>
      <x:c r="C1652" t="str">
        <x:v>hard</x:v>
      </x:c>
      <x:c r="D1652" s="17" t="str">
        <x:v>next ask before hit/override</x:v>
      </x:c>
      <x:c r="E1652" s="17" t="str">
        <x:v>use_case</x:v>
      </x:c>
      <x:c r="F1652" s="17" t="str">
        <x:v>no new constraint</x:v>
      </x:c>
      <x:c r="G1652" s="17" t="str"/>
      <x:c r="H1652" s="17" t="str">
        <x:v>I don't have an additional preference for use_case.</x:v>
      </x:c>
      <x:c r="I1652" s="17" t="str">
        <x:v>Override message occurs automatically on turn 3 or 4 before this reply when scheduled.</x:v>
      </x:c>
    </x:row>
    <x:row r="1653">
      <x:c r="A1653" t="str">
        <x:v>public_0144</x:v>
      </x:c>
      <x:c r="B1653" t="str">
        <x:v>intent_override</x:v>
      </x:c>
      <x:c r="C1653" t="str">
        <x:v>hard</x:v>
      </x:c>
      <x:c r="D1653" s="17" t="str">
        <x:v>next ask before hit/override</x:v>
      </x:c>
      <x:c r="E1653" s="17" t="str">
        <x:v>other</x:v>
      </x:c>
      <x:c r="F1653" s="17" t="str">
        <x:v>constraint revealed</x:v>
      </x:c>
      <x:c r="G1653" s="17" t="str">
        <x:v>polyester | 100% Polyester</x:v>
      </x:c>
      <x:c r="H1653" s="17" t="str">
        <x:v>For that, what matters is: polyester; 100% Polyester.</x:v>
      </x:c>
      <x:c r="I1653" s="17" t="str">
        <x:v>Override message occurs automatically on turn 3 or 4 before this reply when scheduled.</x:v>
      </x:c>
    </x:row>
    <x:row r="1654">
      <x:c r="A1654" t="str">
        <x:v>public_0144</x:v>
      </x:c>
      <x:c r="B1654" t="str">
        <x:v>intent_override</x:v>
      </x:c>
      <x:c r="C1654" t="str">
        <x:v>hard</x:v>
      </x:c>
      <x:c r="D1654" s="17" t="str">
        <x:v>next ask before hit/override</x:v>
      </x:c>
      <x:c r="E1654" s="17" t="str">
        <x:v>(no ask_attribute)</x:v>
      </x:c>
      <x:c r="F1654" s="17" t="str">
        <x:v>agent did not ask</x:v>
      </x:c>
      <x:c r="G1654" s="17" t="str"/>
      <x:c r="H1654" s="17" t="str">
        <x:v>Those options are not quite right yet. Ask me about one specific attribute.</x:v>
      </x:c>
      <x:c r="I1654" s="17" t="str">
        <x:v>Override message occurs automatically on turn 3 or 4 before this reply when scheduled.</x:v>
      </x:c>
    </x:row>
    <x:row r="1655">
      <x:c r="A1655" t="str">
        <x:v>public_0145</x:v>
      </x:c>
      <x:c r="B1655" t="str">
        <x:v>buying</x:v>
      </x:c>
      <x:c r="C1655" t="str">
        <x:v>easy</x:v>
      </x:c>
      <x:c r="D1655" s="17" t="str">
        <x:v>next ask before hit/override</x:v>
      </x:c>
      <x:c r="E1655" s="17" t="str">
        <x:v>category</x:v>
      </x:c>
      <x:c r="F1655" s="17" t="str">
        <x:v>no new constraint</x:v>
      </x:c>
      <x:c r="G1655" s="17" t="str"/>
      <x:c r="H1655" s="17" t="str">
        <x:v>I don't have an additional preference for category.</x:v>
      </x:c>
      <x:c r="I1655" s="17" t="str"/>
    </x:row>
    <x:row r="1656">
      <x:c r="A1656" t="str">
        <x:v>public_0145</x:v>
      </x:c>
      <x:c r="B1656" t="str">
        <x:v>buying</x:v>
      </x:c>
      <x:c r="C1656" t="str">
        <x:v>easy</x:v>
      </x:c>
      <x:c r="D1656" s="17" t="str">
        <x:v>next ask before hit/override</x:v>
      </x:c>
      <x:c r="E1656" s="17" t="str">
        <x:v>material</x:v>
      </x:c>
      <x:c r="F1656" s="17" t="str">
        <x:v>constraint revealed</x:v>
      </x:c>
      <x:c r="G1656" s="17" t="str">
        <x:v>Cotton</x:v>
      </x:c>
      <x:c r="H1656" s="17" t="str">
        <x:v>For that, what matters is: Cotton.</x:v>
      </x:c>
      <x:c r="I1656" s="17" t="str"/>
    </x:row>
    <x:row r="1657">
      <x:c r="A1657" t="str">
        <x:v>public_0145</x:v>
      </x:c>
      <x:c r="B1657" t="str">
        <x:v>buying</x:v>
      </x:c>
      <x:c r="C1657" t="str">
        <x:v>easy</x:v>
      </x:c>
      <x:c r="D1657" s="17" t="str">
        <x:v>next ask before hit/override</x:v>
      </x:c>
      <x:c r="E1657" s="17" t="str">
        <x:v>color</x:v>
      </x:c>
      <x:c r="F1657" s="17" t="str">
        <x:v>constraint revealed</x:v>
      </x:c>
      <x:c r="G1657" s="17" t="str">
        <x:v>color: black</x:v>
      </x:c>
      <x:c r="H1657" s="17" t="str">
        <x:v>For that, what matters is: color: black.</x:v>
      </x:c>
      <x:c r="I1657" s="17" t="str"/>
    </x:row>
    <x:row r="1658">
      <x:c r="A1658" t="str">
        <x:v>public_0145</x:v>
      </x:c>
      <x:c r="B1658" t="str">
        <x:v>buying</x:v>
      </x:c>
      <x:c r="C1658" t="str">
        <x:v>easy</x:v>
      </x:c>
      <x:c r="D1658" s="17" t="str">
        <x:v>next ask before hit/override</x:v>
      </x:c>
      <x:c r="E1658" s="17" t="str">
        <x:v>size</x:v>
      </x:c>
      <x:c r="F1658" s="17" t="str">
        <x:v>no new constraint</x:v>
      </x:c>
      <x:c r="G1658" s="17" t="str"/>
      <x:c r="H1658" s="17" t="str">
        <x:v>I don't have an additional preference for size.</x:v>
      </x:c>
      <x:c r="I1658" s="17" t="str"/>
    </x:row>
    <x:row r="1659">
      <x:c r="A1659" t="str">
        <x:v>public_0145</x:v>
      </x:c>
      <x:c r="B1659" t="str">
        <x:v>buying</x:v>
      </x:c>
      <x:c r="C1659" t="str">
        <x:v>easy</x:v>
      </x:c>
      <x:c r="D1659" s="17" t="str">
        <x:v>next ask before hit/override</x:v>
      </x:c>
      <x:c r="E1659" s="17" t="str">
        <x:v>style</x:v>
      </x:c>
      <x:c r="F1659" s="17" t="str">
        <x:v>no new constraint</x:v>
      </x:c>
      <x:c r="G1659" s="17" t="str"/>
      <x:c r="H1659" s="17" t="str">
        <x:v>I don't have an additional preference for style.</x:v>
      </x:c>
      <x:c r="I1659" s="17" t="str"/>
    </x:row>
    <x:row r="1660">
      <x:c r="A1660" t="str">
        <x:v>public_0145</x:v>
      </x:c>
      <x:c r="B1660" t="str">
        <x:v>buying</x:v>
      </x:c>
      <x:c r="C1660" t="str">
        <x:v>easy</x:v>
      </x:c>
      <x:c r="D1660" s="17" t="str">
        <x:v>next ask before hit/override</x:v>
      </x:c>
      <x:c r="E1660" s="17" t="str">
        <x:v>brand</x:v>
      </x:c>
      <x:c r="F1660" s="17" t="str">
        <x:v>no new constraint</x:v>
      </x:c>
      <x:c r="G1660" s="17" t="str"/>
      <x:c r="H1660" s="17" t="str">
        <x:v>I don't have an additional preference for brand.</x:v>
      </x:c>
      <x:c r="I1660" s="17" t="str"/>
    </x:row>
    <x:row r="1661">
      <x:c r="A1661" t="str">
        <x:v>public_0145</x:v>
      </x:c>
      <x:c r="B1661" t="str">
        <x:v>buying</x:v>
      </x:c>
      <x:c r="C1661" t="str">
        <x:v>easy</x:v>
      </x:c>
      <x:c r="D1661" s="17" t="str">
        <x:v>next ask before hit/override</x:v>
      </x:c>
      <x:c r="E1661" s="17" t="str">
        <x:v>budget</x:v>
      </x:c>
      <x:c r="F1661" s="17" t="str">
        <x:v>no new constraint</x:v>
      </x:c>
      <x:c r="G1661" s="17" t="str"/>
      <x:c r="H1661" s="17" t="str">
        <x:v>I don't have an additional preference for budget.</x:v>
      </x:c>
      <x:c r="I1661" s="17" t="str"/>
    </x:row>
    <x:row r="1662">
      <x:c r="A1662" t="str">
        <x:v>public_0145</x:v>
      </x:c>
      <x:c r="B1662" t="str">
        <x:v>buying</x:v>
      </x:c>
      <x:c r="C1662" t="str">
        <x:v>easy</x:v>
      </x:c>
      <x:c r="D1662" s="17" t="str">
        <x:v>next ask before hit/override</x:v>
      </x:c>
      <x:c r="E1662" s="17" t="str">
        <x:v>feature</x:v>
      </x:c>
      <x:c r="F1662" s="17" t="str">
        <x:v>constraint revealed</x:v>
      </x:c>
      <x:c r="G1662" s="17" t="str">
        <x:v>Imported</x:v>
      </x:c>
      <x:c r="H1662" s="17" t="str">
        <x:v>For that, what matters is: Imported.</x:v>
      </x:c>
      <x:c r="I1662" s="17" t="str"/>
    </x:row>
    <x:row r="1663">
      <x:c r="A1663" t="str">
        <x:v>public_0145</x:v>
      </x:c>
      <x:c r="B1663" t="str">
        <x:v>buying</x:v>
      </x:c>
      <x:c r="C1663" t="str">
        <x:v>easy</x:v>
      </x:c>
      <x:c r="D1663" s="17" t="str">
        <x:v>next ask before hit/override</x:v>
      </x:c>
      <x:c r="E1663" s="17" t="str">
        <x:v>use_case</x:v>
      </x:c>
      <x:c r="F1663" s="17" t="str">
        <x:v>no new constraint</x:v>
      </x:c>
      <x:c r="G1663" s="17" t="str"/>
      <x:c r="H1663" s="17" t="str">
        <x:v>I don't have an additional preference for use_case.</x:v>
      </x:c>
      <x:c r="I1663" s="17" t="str"/>
    </x:row>
    <x:row r="1664">
      <x:c r="A1664" t="str">
        <x:v>public_0145</x:v>
      </x:c>
      <x:c r="B1664" t="str">
        <x:v>buying</x:v>
      </x:c>
      <x:c r="C1664" t="str">
        <x:v>easy</x:v>
      </x:c>
      <x:c r="D1664" s="17" t="str">
        <x:v>next ask before hit/override</x:v>
      </x:c>
      <x:c r="E1664" s="17" t="str">
        <x:v>other</x:v>
      </x:c>
      <x:c r="F1664" s="17" t="str">
        <x:v>constraint revealed</x:v>
      </x:c>
      <x:c r="G1664" s="17" t="str">
        <x:v>color: black | Cotton</x:v>
      </x:c>
      <x:c r="H1664" s="17" t="str">
        <x:v>For that, what matters is: color: black; Cotton.</x:v>
      </x:c>
      <x:c r="I1664" s="17" t="str"/>
    </x:row>
    <x:row r="1665">
      <x:c r="A1665" t="str">
        <x:v>public_0145</x:v>
      </x:c>
      <x:c r="B1665" t="str">
        <x:v>buying</x:v>
      </x:c>
      <x:c r="C1665" t="str">
        <x:v>easy</x:v>
      </x:c>
      <x:c r="D1665" s="17" t="str">
        <x:v>next ask before hit/override</x:v>
      </x:c>
      <x:c r="E1665" s="17" t="str">
        <x:v>(no ask_attribute)</x:v>
      </x:c>
      <x:c r="F1665" s="17" t="str">
        <x:v>agent did not ask</x:v>
      </x:c>
      <x:c r="G1665" s="17" t="str"/>
      <x:c r="H1665" s="17" t="str">
        <x:v>Those options are not quite right yet. Ask me about one specific attribute.</x:v>
      </x:c>
      <x:c r="I1665" s="17" t="str"/>
    </x:row>
    <x:row r="1666">
      <x:c r="A1666" t="str">
        <x:v>public_0146</x:v>
      </x:c>
      <x:c r="B1666" t="str">
        <x:v>buying</x:v>
      </x:c>
      <x:c r="C1666" t="str">
        <x:v>easy</x:v>
      </x:c>
      <x:c r="D1666" s="17" t="str">
        <x:v>next ask before hit/override</x:v>
      </x:c>
      <x:c r="E1666" s="17" t="str">
        <x:v>category</x:v>
      </x:c>
      <x:c r="F1666" s="17" t="str">
        <x:v>no new constraint</x:v>
      </x:c>
      <x:c r="G1666" s="17" t="str"/>
      <x:c r="H1666" s="17" t="str">
        <x:v>I don't have an additional preference for category.</x:v>
      </x:c>
      <x:c r="I1666" s="17" t="str"/>
    </x:row>
    <x:row r="1667">
      <x:c r="A1667" t="str">
        <x:v>public_0146</x:v>
      </x:c>
      <x:c r="B1667" t="str">
        <x:v>buying</x:v>
      </x:c>
      <x:c r="C1667" t="str">
        <x:v>easy</x:v>
      </x:c>
      <x:c r="D1667" s="17" t="str">
        <x:v>next ask before hit/override</x:v>
      </x:c>
      <x:c r="E1667" s="17" t="str">
        <x:v>material</x:v>
      </x:c>
      <x:c r="F1667" s="17" t="str">
        <x:v>constraint revealed</x:v>
      </x:c>
      <x:c r="G1667" s="17" t="str">
        <x:v>50%Rayon+45%Polyester+5%Spandex</x:v>
      </x:c>
      <x:c r="H1667" s="17" t="str">
        <x:v>For that, what matters is: 50%Rayon+45%Polyester+5%Spandex.</x:v>
      </x:c>
      <x:c r="I1667" s="17" t="str"/>
    </x:row>
    <x:row r="1668">
      <x:c r="A1668" t="str">
        <x:v>public_0146</x:v>
      </x:c>
      <x:c r="B1668" t="str">
        <x:v>buying</x:v>
      </x:c>
      <x:c r="C1668" t="str">
        <x:v>easy</x:v>
      </x:c>
      <x:c r="D1668" s="17" t="str">
        <x:v>next ask before hit/override</x:v>
      </x:c>
      <x:c r="E1668" s="17" t="str">
        <x:v>color</x:v>
      </x:c>
      <x:c r="F1668" s="17" t="str">
        <x:v>no new constraint</x:v>
      </x:c>
      <x:c r="G1668" s="17" t="str"/>
      <x:c r="H1668" s="17" t="str">
        <x:v>I don't have an additional preference for color.</x:v>
      </x:c>
      <x:c r="I1668" s="17" t="str"/>
    </x:row>
    <x:row r="1669">
      <x:c r="A1669" t="str">
        <x:v>public_0146</x:v>
      </x:c>
      <x:c r="B1669" t="str">
        <x:v>buying</x:v>
      </x:c>
      <x:c r="C1669" t="str">
        <x:v>easy</x:v>
      </x:c>
      <x:c r="D1669" s="17" t="str">
        <x:v>next ask before hit/override</x:v>
      </x:c>
      <x:c r="E1669" s="17" t="str">
        <x:v>size</x:v>
      </x:c>
      <x:c r="F1669" s="17" t="str">
        <x:v>no new constraint</x:v>
      </x:c>
      <x:c r="G1669" s="17" t="str"/>
      <x:c r="H1669" s="17" t="str">
        <x:v>I don't have an additional preference for size.</x:v>
      </x:c>
      <x:c r="I1669" s="17" t="str"/>
    </x:row>
    <x:row r="1670">
      <x:c r="A1670" t="str">
        <x:v>public_0146</x:v>
      </x:c>
      <x:c r="B1670" t="str">
        <x:v>buying</x:v>
      </x:c>
      <x:c r="C1670" t="str">
        <x:v>easy</x:v>
      </x:c>
      <x:c r="D1670" s="17" t="str">
        <x:v>next ask before hit/override</x:v>
      </x:c>
      <x:c r="E1670" s="17" t="str">
        <x:v>style</x:v>
      </x:c>
      <x:c r="F1670" s="17" t="str">
        <x:v>no new constraint</x:v>
      </x:c>
      <x:c r="G1670" s="17" t="str"/>
      <x:c r="H1670" s="17" t="str">
        <x:v>I don't have an additional preference for style.</x:v>
      </x:c>
      <x:c r="I1670" s="17" t="str"/>
    </x:row>
    <x:row r="1671">
      <x:c r="A1671" t="str">
        <x:v>public_0146</x:v>
      </x:c>
      <x:c r="B1671" t="str">
        <x:v>buying</x:v>
      </x:c>
      <x:c r="C1671" t="str">
        <x:v>easy</x:v>
      </x:c>
      <x:c r="D1671" s="17" t="str">
        <x:v>next ask before hit/override</x:v>
      </x:c>
      <x:c r="E1671" s="17" t="str">
        <x:v>brand</x:v>
      </x:c>
      <x:c r="F1671" s="17" t="str">
        <x:v>no new constraint</x:v>
      </x:c>
      <x:c r="G1671" s="17" t="str"/>
      <x:c r="H1671" s="17" t="str">
        <x:v>I don't have an additional preference for brand.</x:v>
      </x:c>
      <x:c r="I1671" s="17" t="str"/>
    </x:row>
    <x:row r="1672">
      <x:c r="A1672" t="str">
        <x:v>public_0146</x:v>
      </x:c>
      <x:c r="B1672" t="str">
        <x:v>buying</x:v>
      </x:c>
      <x:c r="C1672" t="str">
        <x:v>easy</x:v>
      </x:c>
      <x:c r="D1672" s="17" t="str">
        <x:v>next ask before hit/override</x:v>
      </x:c>
      <x:c r="E1672" s="17" t="str">
        <x:v>budget</x:v>
      </x:c>
      <x:c r="F1672" s="17" t="str">
        <x:v>no new constraint</x:v>
      </x:c>
      <x:c r="G1672" s="17" t="str"/>
      <x:c r="H1672" s="17" t="str">
        <x:v>I don't have an additional preference for budget.</x:v>
      </x:c>
      <x:c r="I1672" s="17" t="str"/>
    </x:row>
    <x:row r="1673">
      <x:c r="A1673" t="str">
        <x:v>public_0146</x:v>
      </x:c>
      <x:c r="B1673" t="str">
        <x:v>buying</x:v>
      </x:c>
      <x:c r="C1673" t="str">
        <x:v>easy</x:v>
      </x:c>
      <x:c r="D1673" s="17" t="str">
        <x:v>next ask before hit/override</x:v>
      </x:c>
      <x:c r="E1673" s="17" t="str">
        <x:v>feature</x:v>
      </x:c>
      <x:c r="F1673" s="17" t="str">
        <x:v>constraint revealed</x:v>
      </x:c>
      <x:c r="G1673" s="17" t="str">
        <x:v>Imported | Zipper closure</x:v>
      </x:c>
      <x:c r="H1673" s="17" t="str">
        <x:v>For that, what matters is: Imported; Zipper closure.</x:v>
      </x:c>
      <x:c r="I1673" s="17" t="str"/>
    </x:row>
    <x:row r="1674">
      <x:c r="A1674" t="str">
        <x:v>public_0146</x:v>
      </x:c>
      <x:c r="B1674" t="str">
        <x:v>buying</x:v>
      </x:c>
      <x:c r="C1674" t="str">
        <x:v>easy</x:v>
      </x:c>
      <x:c r="D1674" s="17" t="str">
        <x:v>next ask before hit/override</x:v>
      </x:c>
      <x:c r="E1674" s="17" t="str">
        <x:v>use_case</x:v>
      </x:c>
      <x:c r="F1674" s="17" t="str">
        <x:v>no new constraint</x:v>
      </x:c>
      <x:c r="G1674" s="17" t="str"/>
      <x:c r="H1674" s="17" t="str">
        <x:v>I don't have an additional preference for use_case.</x:v>
      </x:c>
      <x:c r="I1674" s="17" t="str"/>
    </x:row>
    <x:row r="1675">
      <x:c r="A1675" t="str">
        <x:v>public_0146</x:v>
      </x:c>
      <x:c r="B1675" t="str">
        <x:v>buying</x:v>
      </x:c>
      <x:c r="C1675" t="str">
        <x:v>easy</x:v>
      </x:c>
      <x:c r="D1675" s="17" t="str">
        <x:v>next ask before hit/override</x:v>
      </x:c>
      <x:c r="E1675" s="17" t="str">
        <x:v>other</x:v>
      </x:c>
      <x:c r="F1675" s="17" t="str">
        <x:v>constraint revealed</x:v>
      </x:c>
      <x:c r="G1675" s="17" t="str">
        <x:v>50%Rayon+45%Polyester+5%Spandex | Imported</x:v>
      </x:c>
      <x:c r="H1675" s="17" t="str">
        <x:v>For that, what matters is: 50%Rayon+45%Polyester+5%Spandex; Imported.</x:v>
      </x:c>
      <x:c r="I1675" s="17" t="str"/>
    </x:row>
    <x:row r="1676">
      <x:c r="A1676" t="str">
        <x:v>public_0146</x:v>
      </x:c>
      <x:c r="B1676" t="str">
        <x:v>buying</x:v>
      </x:c>
      <x:c r="C1676" t="str">
        <x:v>easy</x:v>
      </x:c>
      <x:c r="D1676" s="17" t="str">
        <x:v>next ask before hit/override</x:v>
      </x:c>
      <x:c r="E1676" s="17" t="str">
        <x:v>(no ask_attribute)</x:v>
      </x:c>
      <x:c r="F1676" s="17" t="str">
        <x:v>agent did not ask</x:v>
      </x:c>
      <x:c r="G1676" s="17" t="str"/>
      <x:c r="H1676" s="17" t="str">
        <x:v>Those options are not quite right yet. Ask me about one specific attribute.</x:v>
      </x:c>
      <x:c r="I1676" s="17" t="str"/>
    </x:row>
    <x:row r="1677">
      <x:c r="A1677" t="str">
        <x:v>public_0147</x:v>
      </x:c>
      <x:c r="B1677" t="str">
        <x:v>browsing</x:v>
      </x:c>
      <x:c r="C1677" t="str">
        <x:v>medium</x:v>
      </x:c>
      <x:c r="D1677" s="17" t="str">
        <x:v>next ask before hit/override</x:v>
      </x:c>
      <x:c r="E1677" s="17" t="str">
        <x:v>category</x:v>
      </x:c>
      <x:c r="F1677" s="17" t="str">
        <x:v>no new constraint</x:v>
      </x:c>
      <x:c r="G1677" s="17" t="str"/>
      <x:c r="H1677" s="17" t="str">
        <x:v>I don't have an additional preference for category.</x:v>
      </x:c>
      <x:c r="I1677" s="17" t="str"/>
    </x:row>
    <x:row r="1678">
      <x:c r="A1678" t="str">
        <x:v>public_0147</x:v>
      </x:c>
      <x:c r="B1678" t="str">
        <x:v>browsing</x:v>
      </x:c>
      <x:c r="C1678" t="str">
        <x:v>medium</x:v>
      </x:c>
      <x:c r="D1678" s="17" t="str">
        <x:v>next ask before hit/override</x:v>
      </x:c>
      <x:c r="E1678" s="17" t="str">
        <x:v>material</x:v>
      </x:c>
      <x:c r="F1678" s="17" t="str">
        <x:v>constraint revealed</x:v>
      </x:c>
      <x:c r="G1678" s="17" t="str">
        <x:v>cotton | 95% Combed Cotton, 5% Spandex of Women's 4-PACK High Waisted Underwear. Machine Wash with laundry bag (30°C)</x:v>
      </x:c>
      <x:c r="H1678" s="17" t="str">
        <x:v>For that, what matters is: cotton; 95% Combed Cotton, 5% Spandex of Women's 4-PACK High Waisted Underwear. Machine Wash with laundry bag (30°C).</x:v>
      </x:c>
      <x:c r="I1678" s="17" t="str"/>
    </x:row>
    <x:row r="1679">
      <x:c r="A1679" t="str">
        <x:v>public_0147</x:v>
      </x:c>
      <x:c r="B1679" t="str">
        <x:v>browsing</x:v>
      </x:c>
      <x:c r="C1679" t="str">
        <x:v>medium</x:v>
      </x:c>
      <x:c r="D1679" s="17" t="str">
        <x:v>next ask before hit/override</x:v>
      </x:c>
      <x:c r="E1679" s="17" t="str">
        <x:v>color</x:v>
      </x:c>
      <x:c r="F1679" s="17" t="str">
        <x:v>no new constraint</x:v>
      </x:c>
      <x:c r="G1679" s="17" t="str"/>
      <x:c r="H1679" s="17" t="str">
        <x:v>I don't have an additional preference for color.</x:v>
      </x:c>
      <x:c r="I1679" s="17" t="str"/>
    </x:row>
    <x:row r="1680">
      <x:c r="A1680" t="str">
        <x:v>public_0147</x:v>
      </x:c>
      <x:c r="B1680" t="str">
        <x:v>browsing</x:v>
      </x:c>
      <x:c r="C1680" t="str">
        <x:v>medium</x:v>
      </x:c>
      <x:c r="D1680" s="17" t="str">
        <x:v>next ask before hit/override</x:v>
      </x:c>
      <x:c r="E1680" s="17" t="str">
        <x:v>size</x:v>
      </x:c>
      <x:c r="F1680" s="17" t="str">
        <x:v>no new constraint</x:v>
      </x:c>
      <x:c r="G1680" s="17" t="str"/>
      <x:c r="H1680" s="17" t="str">
        <x:v>I don't have an additional preference for size.</x:v>
      </x:c>
      <x:c r="I1680" s="17" t="str"/>
    </x:row>
    <x:row r="1681">
      <x:c r="A1681" t="str">
        <x:v>public_0147</x:v>
      </x:c>
      <x:c r="B1681" t="str">
        <x:v>browsing</x:v>
      </x:c>
      <x:c r="C1681" t="str">
        <x:v>medium</x:v>
      </x:c>
      <x:c r="D1681" s="17" t="str">
        <x:v>next ask before hit/override</x:v>
      </x:c>
      <x:c r="E1681" s="17" t="str">
        <x:v>style</x:v>
      </x:c>
      <x:c r="F1681" s="17" t="str">
        <x:v>no new constraint</x:v>
      </x:c>
      <x:c r="G1681" s="17" t="str"/>
      <x:c r="H1681" s="17" t="str">
        <x:v>I don't have an additional preference for style.</x:v>
      </x:c>
      <x:c r="I1681" s="17" t="str"/>
    </x:row>
    <x:row r="1682">
      <x:c r="A1682" t="str">
        <x:v>public_0147</x:v>
      </x:c>
      <x:c r="B1682" t="str">
        <x:v>browsing</x:v>
      </x:c>
      <x:c r="C1682" t="str">
        <x:v>medium</x:v>
      </x:c>
      <x:c r="D1682" s="17" t="str">
        <x:v>next ask before hit/override</x:v>
      </x:c>
      <x:c r="E1682" s="17" t="str">
        <x:v>brand</x:v>
      </x:c>
      <x:c r="F1682" s="17" t="str">
        <x:v>no new constraint</x:v>
      </x:c>
      <x:c r="G1682" s="17" t="str"/>
      <x:c r="H1682" s="17" t="str">
        <x:v>I don't have an additional preference for brand.</x:v>
      </x:c>
      <x:c r="I1682" s="17" t="str"/>
    </x:row>
    <x:row r="1683">
      <x:c r="A1683" t="str">
        <x:v>public_0147</x:v>
      </x:c>
      <x:c r="B1683" t="str">
        <x:v>browsing</x:v>
      </x:c>
      <x:c r="C1683" t="str">
        <x:v>medium</x:v>
      </x:c>
      <x:c r="D1683" s="17" t="str">
        <x:v>next ask before hit/override</x:v>
      </x:c>
      <x:c r="E1683" s="17" t="str">
        <x:v>budget</x:v>
      </x:c>
      <x:c r="F1683" s="17" t="str">
        <x:v>no new constraint</x:v>
      </x:c>
      <x:c r="G1683" s="17" t="str"/>
      <x:c r="H1683" s="17" t="str">
        <x:v>I don't have an additional preference for budget.</x:v>
      </x:c>
      <x:c r="I1683" s="17" t="str"/>
    </x:row>
    <x:row r="1684">
      <x:c r="A1684" t="str">
        <x:v>public_0147</x:v>
      </x:c>
      <x:c r="B1684" t="str">
        <x:v>browsing</x:v>
      </x:c>
      <x:c r="C1684" t="str">
        <x:v>medium</x:v>
      </x:c>
      <x:c r="D1684" s="17" t="str">
        <x:v>next ask before hit/override</x:v>
      </x:c>
      <x:c r="E1684" s="17" t="str">
        <x:v>feature</x:v>
      </x:c>
      <x:c r="F1684" s="17" t="str">
        <x:v>constraint revealed</x:v>
      </x:c>
      <x:c r="G1684" s="17" t="str">
        <x:v>Hand Wash Only</x:v>
      </x:c>
      <x:c r="H1684" s="17" t="str">
        <x:v>For that, what matters is: Hand Wash Only.</x:v>
      </x:c>
      <x:c r="I1684" s="17" t="str"/>
    </x:row>
    <x:row r="1685">
      <x:c r="A1685" t="str">
        <x:v>public_0147</x:v>
      </x:c>
      <x:c r="B1685" t="str">
        <x:v>browsing</x:v>
      </x:c>
      <x:c r="C1685" t="str">
        <x:v>medium</x:v>
      </x:c>
      <x:c r="D1685" s="17" t="str">
        <x:v>next ask before hit/override</x:v>
      </x:c>
      <x:c r="E1685" s="17" t="str">
        <x:v>use_case</x:v>
      </x:c>
      <x:c r="F1685" s="17" t="str">
        <x:v>no new constraint</x:v>
      </x:c>
      <x:c r="G1685" s="17" t="str"/>
      <x:c r="H1685" s="17" t="str">
        <x:v>I don't have an additional preference for use_case.</x:v>
      </x:c>
      <x:c r="I1685" s="17" t="str"/>
    </x:row>
    <x:row r="1686">
      <x:c r="A1686" t="str">
        <x:v>public_0147</x:v>
      </x:c>
      <x:c r="B1686" t="str">
        <x:v>browsing</x:v>
      </x:c>
      <x:c r="C1686" t="str">
        <x:v>medium</x:v>
      </x:c>
      <x:c r="D1686" s="17" t="str">
        <x:v>next ask before hit/override</x:v>
      </x:c>
      <x:c r="E1686" s="17" t="str">
        <x:v>other</x:v>
      </x:c>
      <x:c r="F1686" s="17" t="str">
        <x:v>constraint revealed</x:v>
      </x:c>
      <x:c r="G1686" s="17" t="str">
        <x:v>cotton | 95% Combed Cotton, 5% Spandex of Women's 4-PACK High Waisted Underwear. Machine Wash with laundry bag (30°C)</x:v>
      </x:c>
      <x:c r="H1686" s="17" t="str">
        <x:v>For that, what matters is: cotton; 95% Combed Cotton, 5% Spandex of Women's 4-PACK High Waisted Underwear. Machine Wash with laundry bag (30°C).</x:v>
      </x:c>
      <x:c r="I1686" s="17" t="str"/>
    </x:row>
    <x:row r="1687">
      <x:c r="A1687" t="str">
        <x:v>public_0147</x:v>
      </x:c>
      <x:c r="B1687" t="str">
        <x:v>browsing</x:v>
      </x:c>
      <x:c r="C1687" t="str">
        <x:v>medium</x:v>
      </x:c>
      <x:c r="D1687" s="17" t="str">
        <x:v>next ask before hit/override</x:v>
      </x:c>
      <x:c r="E1687" s="17" t="str">
        <x:v>(no ask_attribute)</x:v>
      </x:c>
      <x:c r="F1687" s="17" t="str">
        <x:v>agent did not ask</x:v>
      </x:c>
      <x:c r="G1687" s="17" t="str"/>
      <x:c r="H1687" s="17" t="str">
        <x:v>Those options are not quite right yet. Ask me about one specific attribute.</x:v>
      </x:c>
      <x:c r="I1687" s="17" t="str"/>
    </x:row>
    <x:row r="1688">
      <x:c r="A1688" t="str">
        <x:v>public_0148</x:v>
      </x:c>
      <x:c r="B1688" t="str">
        <x:v>buying</x:v>
      </x:c>
      <x:c r="C1688" t="str">
        <x:v>easy</x:v>
      </x:c>
      <x:c r="D1688" s="17" t="str">
        <x:v>next ask before hit/override</x:v>
      </x:c>
      <x:c r="E1688" s="17" t="str">
        <x:v>category</x:v>
      </x:c>
      <x:c r="F1688" s="17" t="str">
        <x:v>no new constraint</x:v>
      </x:c>
      <x:c r="G1688" s="17" t="str"/>
      <x:c r="H1688" s="17" t="str">
        <x:v>I don't have an additional preference for category.</x:v>
      </x:c>
      <x:c r="I1688" s="17" t="str"/>
    </x:row>
    <x:row r="1689">
      <x:c r="A1689" t="str">
        <x:v>public_0148</x:v>
      </x:c>
      <x:c r="B1689" t="str">
        <x:v>buying</x:v>
      </x:c>
      <x:c r="C1689" t="str">
        <x:v>easy</x:v>
      </x:c>
      <x:c r="D1689" s="17" t="str">
        <x:v>next ask before hit/override</x:v>
      </x:c>
      <x:c r="E1689" s="17" t="str">
        <x:v>material</x:v>
      </x:c>
      <x:c r="F1689" s="17" t="str">
        <x:v>constraint revealed</x:v>
      </x:c>
      <x:c r="G1689" s="17" t="str">
        <x:v>50% Cotton, 50% Polyester</x:v>
      </x:c>
      <x:c r="H1689" s="17" t="str">
        <x:v>For that, what matters is: 50% Cotton, 50% Polyester.</x:v>
      </x:c>
      <x:c r="I1689" s="17" t="str"/>
    </x:row>
    <x:row r="1690">
      <x:c r="A1690" t="str">
        <x:v>public_0148</x:v>
      </x:c>
      <x:c r="B1690" t="str">
        <x:v>buying</x:v>
      </x:c>
      <x:c r="C1690" t="str">
        <x:v>easy</x:v>
      </x:c>
      <x:c r="D1690" s="17" t="str">
        <x:v>next ask before hit/override</x:v>
      </x:c>
      <x:c r="E1690" s="17" t="str">
        <x:v>color</x:v>
      </x:c>
      <x:c r="F1690" s="17" t="str">
        <x:v>no new constraint</x:v>
      </x:c>
      <x:c r="G1690" s="17" t="str"/>
      <x:c r="H1690" s="17" t="str">
        <x:v>I don't have an additional preference for color.</x:v>
      </x:c>
      <x:c r="I1690" s="17" t="str"/>
    </x:row>
    <x:row r="1691">
      <x:c r="A1691" t="str">
        <x:v>public_0148</x:v>
      </x:c>
      <x:c r="B1691" t="str">
        <x:v>buying</x:v>
      </x:c>
      <x:c r="C1691" t="str">
        <x:v>easy</x:v>
      </x:c>
      <x:c r="D1691" s="17" t="str">
        <x:v>next ask before hit/override</x:v>
      </x:c>
      <x:c r="E1691" s="17" t="str">
        <x:v>size</x:v>
      </x:c>
      <x:c r="F1691" s="17" t="str">
        <x:v>no new constraint</x:v>
      </x:c>
      <x:c r="G1691" s="17" t="str"/>
      <x:c r="H1691" s="17" t="str">
        <x:v>I don't have an additional preference for size.</x:v>
      </x:c>
      <x:c r="I1691" s="17" t="str"/>
    </x:row>
    <x:row r="1692">
      <x:c r="A1692" t="str">
        <x:v>public_0148</x:v>
      </x:c>
      <x:c r="B1692" t="str">
        <x:v>buying</x:v>
      </x:c>
      <x:c r="C1692" t="str">
        <x:v>easy</x:v>
      </x:c>
      <x:c r="D1692" s="17" t="str">
        <x:v>next ask before hit/override</x:v>
      </x:c>
      <x:c r="E1692" s="17" t="str">
        <x:v>style</x:v>
      </x:c>
      <x:c r="F1692" s="17" t="str">
        <x:v>no new constraint</x:v>
      </x:c>
      <x:c r="G1692" s="17" t="str"/>
      <x:c r="H1692" s="17" t="str">
        <x:v>I don't have an additional preference for style.</x:v>
      </x:c>
      <x:c r="I1692" s="17" t="str"/>
    </x:row>
    <x:row r="1693">
      <x:c r="A1693" t="str">
        <x:v>public_0148</x:v>
      </x:c>
      <x:c r="B1693" t="str">
        <x:v>buying</x:v>
      </x:c>
      <x:c r="C1693" t="str">
        <x:v>easy</x:v>
      </x:c>
      <x:c r="D1693" s="17" t="str">
        <x:v>next ask before hit/override</x:v>
      </x:c>
      <x:c r="E1693" s="17" t="str">
        <x:v>brand</x:v>
      </x:c>
      <x:c r="F1693" s="17" t="str">
        <x:v>no new constraint</x:v>
      </x:c>
      <x:c r="G1693" s="17" t="str"/>
      <x:c r="H1693" s="17" t="str">
        <x:v>I don't have an additional preference for brand.</x:v>
      </x:c>
      <x:c r="I1693" s="17" t="str"/>
    </x:row>
    <x:row r="1694">
      <x:c r="A1694" t="str">
        <x:v>public_0148</x:v>
      </x:c>
      <x:c r="B1694" t="str">
        <x:v>buying</x:v>
      </x:c>
      <x:c r="C1694" t="str">
        <x:v>easy</x:v>
      </x:c>
      <x:c r="D1694" s="17" t="str">
        <x:v>next ask before hit/override</x:v>
      </x:c>
      <x:c r="E1694" s="17" t="str">
        <x:v>budget</x:v>
      </x:c>
      <x:c r="F1694" s="17" t="str">
        <x:v>no new constraint</x:v>
      </x:c>
      <x:c r="G1694" s="17" t="str"/>
      <x:c r="H1694" s="17" t="str">
        <x:v>I don't have an additional preference for budget.</x:v>
      </x:c>
      <x:c r="I1694" s="17" t="str"/>
    </x:row>
    <x:row r="1695">
      <x:c r="A1695" t="str">
        <x:v>public_0148</x:v>
      </x:c>
      <x:c r="B1695" t="str">
        <x:v>buying</x:v>
      </x:c>
      <x:c r="C1695" t="str">
        <x:v>easy</x:v>
      </x:c>
      <x:c r="D1695" s="17" t="str">
        <x:v>next ask before hit/override</x:v>
      </x:c>
      <x:c r="E1695" s="17" t="str">
        <x:v>feature</x:v>
      </x:c>
      <x:c r="F1695" s="17" t="str">
        <x:v>constraint revealed</x:v>
      </x:c>
      <x:c r="G1695" s="17" t="str">
        <x:v>Imported | Pull On closure</x:v>
      </x:c>
      <x:c r="H1695" s="17" t="str">
        <x:v>For that, what matters is: Imported; Pull On closure.</x:v>
      </x:c>
      <x:c r="I1695" s="17" t="str"/>
    </x:row>
    <x:row r="1696">
      <x:c r="A1696" t="str">
        <x:v>public_0148</x:v>
      </x:c>
      <x:c r="B1696" t="str">
        <x:v>buying</x:v>
      </x:c>
      <x:c r="C1696" t="str">
        <x:v>easy</x:v>
      </x:c>
      <x:c r="D1696" s="17" t="str">
        <x:v>next ask before hit/override</x:v>
      </x:c>
      <x:c r="E1696" s="17" t="str">
        <x:v>use_case</x:v>
      </x:c>
      <x:c r="F1696" s="17" t="str">
        <x:v>no new constraint</x:v>
      </x:c>
      <x:c r="G1696" s="17" t="str"/>
      <x:c r="H1696" s="17" t="str">
        <x:v>I don't have an additional preference for use_case.</x:v>
      </x:c>
      <x:c r="I1696" s="17" t="str"/>
    </x:row>
    <x:row r="1697">
      <x:c r="A1697" t="str">
        <x:v>public_0148</x:v>
      </x:c>
      <x:c r="B1697" t="str">
        <x:v>buying</x:v>
      </x:c>
      <x:c r="C1697" t="str">
        <x:v>easy</x:v>
      </x:c>
      <x:c r="D1697" s="17" t="str">
        <x:v>next ask before hit/override</x:v>
      </x:c>
      <x:c r="E1697" s="17" t="str">
        <x:v>other</x:v>
      </x:c>
      <x:c r="F1697" s="17" t="str">
        <x:v>constraint revealed</x:v>
      </x:c>
      <x:c r="G1697" s="17" t="str">
        <x:v>50% Cotton, 50% Polyester | Imported</x:v>
      </x:c>
      <x:c r="H1697" s="17" t="str">
        <x:v>For that, what matters is: 50% Cotton, 50% Polyester; Imported.</x:v>
      </x:c>
      <x:c r="I1697" s="17" t="str"/>
    </x:row>
    <x:row r="1698">
      <x:c r="A1698" t="str">
        <x:v>public_0148</x:v>
      </x:c>
      <x:c r="B1698" t="str">
        <x:v>buying</x:v>
      </x:c>
      <x:c r="C1698" t="str">
        <x:v>easy</x:v>
      </x:c>
      <x:c r="D1698" s="17" t="str">
        <x:v>next ask before hit/override</x:v>
      </x:c>
      <x:c r="E1698" s="17" t="str">
        <x:v>(no ask_attribute)</x:v>
      </x:c>
      <x:c r="F1698" s="17" t="str">
        <x:v>agent did not ask</x:v>
      </x:c>
      <x:c r="G1698" s="17" t="str"/>
      <x:c r="H1698" s="17" t="str">
        <x:v>Those options are not quite right yet. Ask me about one specific attribute.</x:v>
      </x:c>
      <x:c r="I1698" s="17" t="str"/>
    </x:row>
    <x:row r="1699">
      <x:c r="A1699" t="str">
        <x:v>public_0149</x:v>
      </x:c>
      <x:c r="B1699" t="str">
        <x:v>buying</x:v>
      </x:c>
      <x:c r="C1699" t="str">
        <x:v>easy</x:v>
      </x:c>
      <x:c r="D1699" s="17" t="str">
        <x:v>next ask before hit/override</x:v>
      </x:c>
      <x:c r="E1699" s="17" t="str">
        <x:v>category</x:v>
      </x:c>
      <x:c r="F1699" s="17" t="str">
        <x:v>no new constraint</x:v>
      </x:c>
      <x:c r="G1699" s="17" t="str"/>
      <x:c r="H1699" s="17" t="str">
        <x:v>I don't have an additional preference for category.</x:v>
      </x:c>
      <x:c r="I1699" s="17" t="str"/>
    </x:row>
    <x:row r="1700">
      <x:c r="A1700" t="str">
        <x:v>public_0149</x:v>
      </x:c>
      <x:c r="B1700" t="str">
        <x:v>buying</x:v>
      </x:c>
      <x:c r="C1700" t="str">
        <x:v>easy</x:v>
      </x:c>
      <x:c r="D1700" s="17" t="str">
        <x:v>next ask before hit/override</x:v>
      </x:c>
      <x:c r="E1700" s="17" t="str">
        <x:v>material</x:v>
      </x:c>
      <x:c r="F1700" s="17" t="str">
        <x:v>no new constraint</x:v>
      </x:c>
      <x:c r="G1700" s="17" t="str"/>
      <x:c r="H1700" s="17" t="str">
        <x:v>I don't have an additional preference for material.</x:v>
      </x:c>
      <x:c r="I1700" s="17" t="str"/>
    </x:row>
    <x:row r="1701">
      <x:c r="A1701" t="str">
        <x:v>public_0149</x:v>
      </x:c>
      <x:c r="B1701" t="str">
        <x:v>buying</x:v>
      </x:c>
      <x:c r="C1701" t="str">
        <x:v>easy</x:v>
      </x:c>
      <x:c r="D1701" s="17" t="str">
        <x:v>next ask before hit/override</x:v>
      </x:c>
      <x:c r="E1701" s="17" t="str">
        <x:v>color</x:v>
      </x:c>
      <x:c r="F1701" s="17" t="str">
        <x:v>constraint revealed</x:v>
      </x:c>
      <x:c r="G1701" s="17" t="str">
        <x:v>color: black</x:v>
      </x:c>
      <x:c r="H1701" s="17" t="str">
        <x:v>For that, what matters is: color: black.</x:v>
      </x:c>
      <x:c r="I1701" s="17" t="str"/>
    </x:row>
    <x:row r="1702">
      <x:c r="A1702" t="str">
        <x:v>public_0149</x:v>
      </x:c>
      <x:c r="B1702" t="str">
        <x:v>buying</x:v>
      </x:c>
      <x:c r="C1702" t="str">
        <x:v>easy</x:v>
      </x:c>
      <x:c r="D1702" s="17" t="str">
        <x:v>next ask before hit/override</x:v>
      </x:c>
      <x:c r="E1702" s="17" t="str">
        <x:v>size</x:v>
      </x:c>
      <x:c r="F1702" s="17" t="str">
        <x:v>no new constraint</x:v>
      </x:c>
      <x:c r="G1702" s="17" t="str"/>
      <x:c r="H1702" s="17" t="str">
        <x:v>I don't have an additional preference for size.</x:v>
      </x:c>
      <x:c r="I1702" s="17" t="str"/>
    </x:row>
    <x:row r="1703">
      <x:c r="A1703" t="str">
        <x:v>public_0149</x:v>
      </x:c>
      <x:c r="B1703" t="str">
        <x:v>buying</x:v>
      </x:c>
      <x:c r="C1703" t="str">
        <x:v>easy</x:v>
      </x:c>
      <x:c r="D1703" s="17" t="str">
        <x:v>next ask before hit/override</x:v>
      </x:c>
      <x:c r="E1703" s="17" t="str">
        <x:v>style</x:v>
      </x:c>
      <x:c r="F1703" s="17" t="str">
        <x:v>no new constraint</x:v>
      </x:c>
      <x:c r="G1703" s="17" t="str"/>
      <x:c r="H1703" s="17" t="str">
        <x:v>I don't have an additional preference for style.</x:v>
      </x:c>
      <x:c r="I1703" s="17" t="str"/>
    </x:row>
    <x:row r="1704">
      <x:c r="A1704" t="str">
        <x:v>public_0149</x:v>
      </x:c>
      <x:c r="B1704" t="str">
        <x:v>buying</x:v>
      </x:c>
      <x:c r="C1704" t="str">
        <x:v>easy</x:v>
      </x:c>
      <x:c r="D1704" s="17" t="str">
        <x:v>next ask before hit/override</x:v>
      </x:c>
      <x:c r="E1704" s="17" t="str">
        <x:v>brand</x:v>
      </x:c>
      <x:c r="F1704" s="17" t="str">
        <x:v>no new constraint</x:v>
      </x:c>
      <x:c r="G1704" s="17" t="str"/>
      <x:c r="H1704" s="17" t="str">
        <x:v>I don't have an additional preference for brand.</x:v>
      </x:c>
      <x:c r="I1704" s="17" t="str"/>
    </x:row>
    <x:row r="1705">
      <x:c r="A1705" t="str">
        <x:v>public_0149</x:v>
      </x:c>
      <x:c r="B1705" t="str">
        <x:v>buying</x:v>
      </x:c>
      <x:c r="C1705" t="str">
        <x:v>easy</x:v>
      </x:c>
      <x:c r="D1705" s="17" t="str">
        <x:v>next ask before hit/override</x:v>
      </x:c>
      <x:c r="E1705" s="17" t="str">
        <x:v>budget</x:v>
      </x:c>
      <x:c r="F1705" s="17" t="str">
        <x:v>no new constraint</x:v>
      </x:c>
      <x:c r="G1705" s="17" t="str"/>
      <x:c r="H1705" s="17" t="str">
        <x:v>I don't have an additional preference for budget.</x:v>
      </x:c>
      <x:c r="I1705" s="17" t="str"/>
    </x:row>
    <x:row r="1706">
      <x:c r="A1706" t="str">
        <x:v>public_0149</x:v>
      </x:c>
      <x:c r="B1706" t="str">
        <x:v>buying</x:v>
      </x:c>
      <x:c r="C1706" t="str">
        <x:v>easy</x:v>
      </x:c>
      <x:c r="D1706" s="17" t="str">
        <x:v>next ask before hit/override</x:v>
      </x:c>
      <x:c r="E1706" s="17" t="str">
        <x:v>feature</x:v>
      </x:c>
      <x:c r="F1706" s="17" t="str">
        <x:v>constraint revealed</x:v>
      </x:c>
      <x:c r="G1706" s="17" t="str">
        <x:v>PU | 进口</x:v>
      </x:c>
      <x:c r="H1706" s="17" t="str">
        <x:v>For that, what matters is: PU; 进口.</x:v>
      </x:c>
      <x:c r="I1706" s="17" t="str"/>
    </x:row>
    <x:row r="1707">
      <x:c r="A1707" t="str">
        <x:v>public_0149</x:v>
      </x:c>
      <x:c r="B1707" t="str">
        <x:v>buying</x:v>
      </x:c>
      <x:c r="C1707" t="str">
        <x:v>easy</x:v>
      </x:c>
      <x:c r="D1707" s="17" t="str">
        <x:v>next ask before hit/override</x:v>
      </x:c>
      <x:c r="E1707" s="17" t="str">
        <x:v>use_case</x:v>
      </x:c>
      <x:c r="F1707" s="17" t="str">
        <x:v>no new constraint</x:v>
      </x:c>
      <x:c r="G1707" s="17" t="str"/>
      <x:c r="H1707" s="17" t="str">
        <x:v>I don't have an additional preference for use_case.</x:v>
      </x:c>
      <x:c r="I1707" s="17" t="str"/>
    </x:row>
    <x:row r="1708">
      <x:c r="A1708" t="str">
        <x:v>public_0149</x:v>
      </x:c>
      <x:c r="B1708" t="str">
        <x:v>buying</x:v>
      </x:c>
      <x:c r="C1708" t="str">
        <x:v>easy</x:v>
      </x:c>
      <x:c r="D1708" s="17" t="str">
        <x:v>next ask before hit/override</x:v>
      </x:c>
      <x:c r="E1708" s="17" t="str">
        <x:v>other</x:v>
      </x:c>
      <x:c r="F1708" s="17" t="str">
        <x:v>constraint revealed</x:v>
      </x:c>
      <x:c r="G1708" s="17" t="str">
        <x:v>color: black | PU</x:v>
      </x:c>
      <x:c r="H1708" s="17" t="str">
        <x:v>For that, what matters is: color: black; PU.</x:v>
      </x:c>
      <x:c r="I1708" s="17" t="str"/>
    </x:row>
    <x:row r="1709">
      <x:c r="A1709" t="str">
        <x:v>public_0149</x:v>
      </x:c>
      <x:c r="B1709" t="str">
        <x:v>buying</x:v>
      </x:c>
      <x:c r="C1709" t="str">
        <x:v>easy</x:v>
      </x:c>
      <x:c r="D1709" s="17" t="str">
        <x:v>next ask before hit/override</x:v>
      </x:c>
      <x:c r="E1709" s="17" t="str">
        <x:v>(no ask_attribute)</x:v>
      </x:c>
      <x:c r="F1709" s="17" t="str">
        <x:v>agent did not ask</x:v>
      </x:c>
      <x:c r="G1709" s="17" t="str"/>
      <x:c r="H1709" s="17" t="str">
        <x:v>Those options are not quite right yet. Ask me about one specific attribute.</x:v>
      </x:c>
      <x:c r="I1709" s="17" t="str"/>
    </x:row>
    <x:row r="1710">
      <x:c r="A1710" t="str">
        <x:v>public_0150</x:v>
      </x:c>
      <x:c r="B1710" t="str">
        <x:v>browsing</x:v>
      </x:c>
      <x:c r="C1710" t="str">
        <x:v>medium</x:v>
      </x:c>
      <x:c r="D1710" s="17" t="str">
        <x:v>next ask before hit/override</x:v>
      </x:c>
      <x:c r="E1710" s="17" t="str">
        <x:v>category</x:v>
      </x:c>
      <x:c r="F1710" s="17" t="str">
        <x:v>no new constraint</x:v>
      </x:c>
      <x:c r="G1710" s="17" t="str"/>
      <x:c r="H1710" s="17" t="str">
        <x:v>I don't have an additional preference for category.</x:v>
      </x:c>
      <x:c r="I1710" s="17" t="str"/>
    </x:row>
    <x:row r="1711">
      <x:c r="A1711" t="str">
        <x:v>public_0150</x:v>
      </x:c>
      <x:c r="B1711" t="str">
        <x:v>browsing</x:v>
      </x:c>
      <x:c r="C1711" t="str">
        <x:v>medium</x:v>
      </x:c>
      <x:c r="D1711" s="17" t="str">
        <x:v>next ask before hit/override</x:v>
      </x:c>
      <x:c r="E1711" s="17" t="str">
        <x:v>material</x:v>
      </x:c>
      <x:c r="F1711" s="17" t="str">
        <x:v>constraint revealed</x:v>
      </x:c>
      <x:c r="G1711" s="17" t="str">
        <x:v>polyester | 65% Polyester, 35% Cotton</x:v>
      </x:c>
      <x:c r="H1711" s="17" t="str">
        <x:v>For that, what matters is: polyester; 65% Polyester, 35% Cotton.</x:v>
      </x:c>
      <x:c r="I1711" s="17" t="str"/>
    </x:row>
    <x:row r="1712">
      <x:c r="A1712" t="str">
        <x:v>public_0150</x:v>
      </x:c>
      <x:c r="B1712" t="str">
        <x:v>browsing</x:v>
      </x:c>
      <x:c r="C1712" t="str">
        <x:v>medium</x:v>
      </x:c>
      <x:c r="D1712" s="17" t="str">
        <x:v>next ask before hit/override</x:v>
      </x:c>
      <x:c r="E1712" s="17" t="str">
        <x:v>color</x:v>
      </x:c>
      <x:c r="F1712" s="17" t="str">
        <x:v>no new constraint</x:v>
      </x:c>
      <x:c r="G1712" s="17" t="str"/>
      <x:c r="H1712" s="17" t="str">
        <x:v>I don't have an additional preference for color.</x:v>
      </x:c>
      <x:c r="I1712" s="17" t="str"/>
    </x:row>
    <x:row r="1713">
      <x:c r="A1713" t="str">
        <x:v>public_0150</x:v>
      </x:c>
      <x:c r="B1713" t="str">
        <x:v>browsing</x:v>
      </x:c>
      <x:c r="C1713" t="str">
        <x:v>medium</x:v>
      </x:c>
      <x:c r="D1713" s="17" t="str">
        <x:v>next ask before hit/override</x:v>
      </x:c>
      <x:c r="E1713" s="17" t="str">
        <x:v>size</x:v>
      </x:c>
      <x:c r="F1713" s="17" t="str">
        <x:v>no new constraint</x:v>
      </x:c>
      <x:c r="G1713" s="17" t="str"/>
      <x:c r="H1713" s="17" t="str">
        <x:v>I don't have an additional preference for size.</x:v>
      </x:c>
      <x:c r="I1713" s="17" t="str"/>
    </x:row>
    <x:row r="1714">
      <x:c r="A1714" t="str">
        <x:v>public_0150</x:v>
      </x:c>
      <x:c r="B1714" t="str">
        <x:v>browsing</x:v>
      </x:c>
      <x:c r="C1714" t="str">
        <x:v>medium</x:v>
      </x:c>
      <x:c r="D1714" s="17" t="str">
        <x:v>next ask before hit/override</x:v>
      </x:c>
      <x:c r="E1714" s="17" t="str">
        <x:v>style</x:v>
      </x:c>
      <x:c r="F1714" s="17" t="str">
        <x:v>no new constraint</x:v>
      </x:c>
      <x:c r="G1714" s="17" t="str"/>
      <x:c r="H1714" s="17" t="str">
        <x:v>I don't have an additional preference for style.</x:v>
      </x:c>
      <x:c r="I1714" s="17" t="str"/>
    </x:row>
    <x:row r="1715">
      <x:c r="A1715" t="str">
        <x:v>public_0150</x:v>
      </x:c>
      <x:c r="B1715" t="str">
        <x:v>browsing</x:v>
      </x:c>
      <x:c r="C1715" t="str">
        <x:v>medium</x:v>
      </x:c>
      <x:c r="D1715" s="17" t="str">
        <x:v>next ask before hit/override</x:v>
      </x:c>
      <x:c r="E1715" s="17" t="str">
        <x:v>brand</x:v>
      </x:c>
      <x:c r="F1715" s="17" t="str">
        <x:v>no new constraint</x:v>
      </x:c>
      <x:c r="G1715" s="17" t="str"/>
      <x:c r="H1715" s="17" t="str">
        <x:v>I don't have an additional preference for brand.</x:v>
      </x:c>
      <x:c r="I1715" s="17" t="str"/>
    </x:row>
    <x:row r="1716">
      <x:c r="A1716" t="str">
        <x:v>public_0150</x:v>
      </x:c>
      <x:c r="B1716" t="str">
        <x:v>browsing</x:v>
      </x:c>
      <x:c r="C1716" t="str">
        <x:v>medium</x:v>
      </x:c>
      <x:c r="D1716" s="17" t="str">
        <x:v>next ask before hit/override</x:v>
      </x:c>
      <x:c r="E1716" s="17" t="str">
        <x:v>budget</x:v>
      </x:c>
      <x:c r="F1716" s="17" t="str">
        <x:v>no new constraint</x:v>
      </x:c>
      <x:c r="G1716" s="17" t="str"/>
      <x:c r="H1716" s="17" t="str">
        <x:v>I don't have an additional preference for budget.</x:v>
      </x:c>
      <x:c r="I1716" s="17" t="str"/>
    </x:row>
    <x:row r="1717">
      <x:c r="A1717" t="str">
        <x:v>public_0150</x:v>
      </x:c>
      <x:c r="B1717" t="str">
        <x:v>browsing</x:v>
      </x:c>
      <x:c r="C1717" t="str">
        <x:v>medium</x:v>
      </x:c>
      <x:c r="D1717" s="17" t="str">
        <x:v>next ask before hit/override</x:v>
      </x:c>
      <x:c r="E1717" s="17" t="str">
        <x:v>feature</x:v>
      </x:c>
      <x:c r="F1717" s="17" t="str">
        <x:v>constraint revealed</x:v>
      </x:c>
      <x:c r="G1717" s="17" t="str">
        <x:v>CLOSURE: Zip Front closure | Hand Wash Only</x:v>
      </x:c>
      <x:c r="H1717" s="17" t="str">
        <x:v>For that, what matters is: CLOSURE: Zip Front closure; Hand Wash Only.</x:v>
      </x:c>
      <x:c r="I1717" s="17" t="str"/>
    </x:row>
    <x:row r="1718">
      <x:c r="A1718" t="str">
        <x:v>public_0150</x:v>
      </x:c>
      <x:c r="B1718" t="str">
        <x:v>browsing</x:v>
      </x:c>
      <x:c r="C1718" t="str">
        <x:v>medium</x:v>
      </x:c>
      <x:c r="D1718" s="17" t="str">
        <x:v>next ask before hit/override</x:v>
      </x:c>
      <x:c r="E1718" s="17" t="str">
        <x:v>use_case</x:v>
      </x:c>
      <x:c r="F1718" s="17" t="str">
        <x:v>no new constraint</x:v>
      </x:c>
      <x:c r="G1718" s="17" t="str"/>
      <x:c r="H1718" s="17" t="str">
        <x:v>I don't have an additional preference for use_case.</x:v>
      </x:c>
      <x:c r="I1718" s="17" t="str"/>
    </x:row>
    <x:row r="1719">
      <x:c r="A1719" t="str">
        <x:v>public_0150</x:v>
      </x:c>
      <x:c r="B1719" t="str">
        <x:v>browsing</x:v>
      </x:c>
      <x:c r="C1719" t="str">
        <x:v>medium</x:v>
      </x:c>
      <x:c r="D1719" s="17" t="str">
        <x:v>next ask before hit/override</x:v>
      </x:c>
      <x:c r="E1719" s="17" t="str">
        <x:v>other</x:v>
      </x:c>
      <x:c r="F1719" s="17" t="str">
        <x:v>constraint revealed</x:v>
      </x:c>
      <x:c r="G1719" s="17" t="str">
        <x:v>polyester | 65% Polyester, 35% Cotton</x:v>
      </x:c>
      <x:c r="H1719" s="17" t="str">
        <x:v>For that, what matters is: polyester; 65% Polyester, 35% Cotton.</x:v>
      </x:c>
      <x:c r="I1719" s="17" t="str"/>
    </x:row>
    <x:row r="1720">
      <x:c r="A1720" t="str">
        <x:v>public_0150</x:v>
      </x:c>
      <x:c r="B1720" t="str">
        <x:v>browsing</x:v>
      </x:c>
      <x:c r="C1720" t="str">
        <x:v>medium</x:v>
      </x:c>
      <x:c r="D1720" s="17" t="str">
        <x:v>next ask before hit/override</x:v>
      </x:c>
      <x:c r="E1720" s="17" t="str">
        <x:v>(no ask_attribute)</x:v>
      </x:c>
      <x:c r="F1720" s="17" t="str">
        <x:v>agent did not ask</x:v>
      </x:c>
      <x:c r="G1720" s="17" t="str"/>
      <x:c r="H1720" s="17" t="str">
        <x:v>Those options are not quite right yet. Ask me about one specific attribute.</x:v>
      </x:c>
      <x:c r="I1720" s="17" t="str"/>
    </x:row>
    <x:row r="1721">
      <x:c r="A1721" t="str">
        <x:v>public_0151</x:v>
      </x:c>
      <x:c r="B1721" t="str">
        <x:v>browsing</x:v>
      </x:c>
      <x:c r="C1721" t="str">
        <x:v>medium</x:v>
      </x:c>
      <x:c r="D1721" s="17" t="str">
        <x:v>next ask before hit/override</x:v>
      </x:c>
      <x:c r="E1721" s="17" t="str">
        <x:v>category</x:v>
      </x:c>
      <x:c r="F1721" s="17" t="str">
        <x:v>no new constraint</x:v>
      </x:c>
      <x:c r="G1721" s="17" t="str"/>
      <x:c r="H1721" s="17" t="str">
        <x:v>I don't have an additional preference for category.</x:v>
      </x:c>
      <x:c r="I1721" s="17" t="str"/>
    </x:row>
    <x:row r="1722">
      <x:c r="A1722" t="str">
        <x:v>public_0151</x:v>
      </x:c>
      <x:c r="B1722" t="str">
        <x:v>browsing</x:v>
      </x:c>
      <x:c r="C1722" t="str">
        <x:v>medium</x:v>
      </x:c>
      <x:c r="D1722" s="17" t="str">
        <x:v>next ask before hit/override</x:v>
      </x:c>
      <x:c r="E1722" s="17" t="str">
        <x:v>material</x:v>
      </x:c>
      <x:c r="F1722" s="17" t="str">
        <x:v>constraint revealed</x:v>
      </x:c>
      <x:c r="G1722" s="17" t="str">
        <x:v>leather</x:v>
      </x:c>
      <x:c r="H1722" s="17" t="str">
        <x:v>For that, what matters is: leather.</x:v>
      </x:c>
      <x:c r="I1722" s="17" t="str"/>
    </x:row>
    <x:row r="1723">
      <x:c r="A1723" t="str">
        <x:v>public_0151</x:v>
      </x:c>
      <x:c r="B1723" t="str">
        <x:v>browsing</x:v>
      </x:c>
      <x:c r="C1723" t="str">
        <x:v>medium</x:v>
      </x:c>
      <x:c r="D1723" s="17" t="str">
        <x:v>next ask before hit/override</x:v>
      </x:c>
      <x:c r="E1723" s="17" t="str">
        <x:v>color</x:v>
      </x:c>
      <x:c r="F1723" s="17" t="str">
        <x:v>no new constraint</x:v>
      </x:c>
      <x:c r="G1723" s="17" t="str"/>
      <x:c r="H1723" s="17" t="str">
        <x:v>I don't have an additional preference for color.</x:v>
      </x:c>
      <x:c r="I1723" s="17" t="str"/>
    </x:row>
    <x:row r="1724">
      <x:c r="A1724" t="str">
        <x:v>public_0151</x:v>
      </x:c>
      <x:c r="B1724" t="str">
        <x:v>browsing</x:v>
      </x:c>
      <x:c r="C1724" t="str">
        <x:v>medium</x:v>
      </x:c>
      <x:c r="D1724" s="17" t="str">
        <x:v>next ask before hit/override</x:v>
      </x:c>
      <x:c r="E1724" s="17" t="str">
        <x:v>size</x:v>
      </x:c>
      <x:c r="F1724" s="17" t="str">
        <x:v>no new constraint</x:v>
      </x:c>
      <x:c r="G1724" s="17" t="str"/>
      <x:c r="H1724" s="17" t="str">
        <x:v>I don't have an additional preference for size.</x:v>
      </x:c>
      <x:c r="I1724" s="17" t="str"/>
    </x:row>
    <x:row r="1725">
      <x:c r="A1725" t="str">
        <x:v>public_0151</x:v>
      </x:c>
      <x:c r="B1725" t="str">
        <x:v>browsing</x:v>
      </x:c>
      <x:c r="C1725" t="str">
        <x:v>medium</x:v>
      </x:c>
      <x:c r="D1725" s="17" t="str">
        <x:v>next ask before hit/override</x:v>
      </x:c>
      <x:c r="E1725" s="17" t="str">
        <x:v>style</x:v>
      </x:c>
      <x:c r="F1725" s="17" t="str">
        <x:v>no new constraint</x:v>
      </x:c>
      <x:c r="G1725" s="17" t="str"/>
      <x:c r="H1725" s="17" t="str">
        <x:v>I don't have an additional preference for style.</x:v>
      </x:c>
      <x:c r="I1725" s="17" t="str"/>
    </x:row>
    <x:row r="1726">
      <x:c r="A1726" t="str">
        <x:v>public_0151</x:v>
      </x:c>
      <x:c r="B1726" t="str">
        <x:v>browsing</x:v>
      </x:c>
      <x:c r="C1726" t="str">
        <x:v>medium</x:v>
      </x:c>
      <x:c r="D1726" s="17" t="str">
        <x:v>next ask before hit/override</x:v>
      </x:c>
      <x:c r="E1726" s="17" t="str">
        <x:v>brand</x:v>
      </x:c>
      <x:c r="F1726" s="17" t="str">
        <x:v>no new constraint</x:v>
      </x:c>
      <x:c r="G1726" s="17" t="str"/>
      <x:c r="H1726" s="17" t="str">
        <x:v>I don't have an additional preference for brand.</x:v>
      </x:c>
      <x:c r="I1726" s="17" t="str"/>
    </x:row>
    <x:row r="1727">
      <x:c r="A1727" t="str">
        <x:v>public_0151</x:v>
      </x:c>
      <x:c r="B1727" t="str">
        <x:v>browsing</x:v>
      </x:c>
      <x:c r="C1727" t="str">
        <x:v>medium</x:v>
      </x:c>
      <x:c r="D1727" s="17" t="str">
        <x:v>next ask before hit/override</x:v>
      </x:c>
      <x:c r="E1727" s="17" t="str">
        <x:v>budget</x:v>
      </x:c>
      <x:c r="F1727" s="17" t="str">
        <x:v>no new constraint</x:v>
      </x:c>
      <x:c r="G1727" s="17" t="str"/>
      <x:c r="H1727" s="17" t="str">
        <x:v>I don't have an additional preference for budget.</x:v>
      </x:c>
      <x:c r="I1727" s="17" t="str"/>
    </x:row>
    <x:row r="1728">
      <x:c r="A1728" t="str">
        <x:v>public_0151</x:v>
      </x:c>
      <x:c r="B1728" t="str">
        <x:v>browsing</x:v>
      </x:c>
      <x:c r="C1728" t="str">
        <x:v>medium</x:v>
      </x:c>
      <x:c r="D1728" s="17" t="str">
        <x:v>next ask before hit/override</x:v>
      </x:c>
      <x:c r="E1728" s="17" t="str">
        <x:v>feature</x:v>
      </x:c>
      <x:c r="F1728" s="17" t="str">
        <x:v>constraint revealed</x:v>
      </x:c>
      <x:c r="G1728" s="17" t="str">
        <x:v>Imported | Rubber sole</x:v>
      </x:c>
      <x:c r="H1728" s="17" t="str">
        <x:v>For that, what matters is: Imported; Rubber sole.</x:v>
      </x:c>
      <x:c r="I1728" s="17" t="str"/>
    </x:row>
    <x:row r="1729">
      <x:c r="A1729" t="str">
        <x:v>public_0151</x:v>
      </x:c>
      <x:c r="B1729" t="str">
        <x:v>browsing</x:v>
      </x:c>
      <x:c r="C1729" t="str">
        <x:v>medium</x:v>
      </x:c>
      <x:c r="D1729" s="17" t="str">
        <x:v>next ask before hit/override</x:v>
      </x:c>
      <x:c r="E1729" s="17" t="str">
        <x:v>use_case</x:v>
      </x:c>
      <x:c r="F1729" s="17" t="str">
        <x:v>no new constraint</x:v>
      </x:c>
      <x:c r="G1729" s="17" t="str"/>
      <x:c r="H1729" s="17" t="str">
        <x:v>I don't have an additional preference for use_case.</x:v>
      </x:c>
      <x:c r="I1729" s="17" t="str"/>
    </x:row>
    <x:row r="1730">
      <x:c r="A1730" t="str">
        <x:v>public_0151</x:v>
      </x:c>
      <x:c r="B1730" t="str">
        <x:v>browsing</x:v>
      </x:c>
      <x:c r="C1730" t="str">
        <x:v>medium</x:v>
      </x:c>
      <x:c r="D1730" s="17" t="str">
        <x:v>next ask before hit/override</x:v>
      </x:c>
      <x:c r="E1730" s="17" t="str">
        <x:v>other</x:v>
      </x:c>
      <x:c r="F1730" s="17" t="str">
        <x:v>constraint revealed</x:v>
      </x:c>
      <x:c r="G1730" s="17" t="str">
        <x:v>leather | Imported</x:v>
      </x:c>
      <x:c r="H1730" s="17" t="str">
        <x:v>For that, what matters is: leather; Imported.</x:v>
      </x:c>
      <x:c r="I1730" s="17" t="str"/>
    </x:row>
    <x:row r="1731">
      <x:c r="A1731" t="str">
        <x:v>public_0151</x:v>
      </x:c>
      <x:c r="B1731" t="str">
        <x:v>browsing</x:v>
      </x:c>
      <x:c r="C1731" t="str">
        <x:v>medium</x:v>
      </x:c>
      <x:c r="D1731" s="17" t="str">
        <x:v>next ask before hit/override</x:v>
      </x:c>
      <x:c r="E1731" s="17" t="str">
        <x:v>(no ask_attribute)</x:v>
      </x:c>
      <x:c r="F1731" s="17" t="str">
        <x:v>agent did not ask</x:v>
      </x:c>
      <x:c r="G1731" s="17" t="str"/>
      <x:c r="H1731" s="17" t="str">
        <x:v>Those options are not quite right yet. Ask me about one specific attribute.</x:v>
      </x:c>
      <x:c r="I1731" s="17" t="str"/>
    </x:row>
    <x:row r="1732">
      <x:c r="A1732" t="str">
        <x:v>public_0152</x:v>
      </x:c>
      <x:c r="B1732" t="str">
        <x:v>buying</x:v>
      </x:c>
      <x:c r="C1732" t="str">
        <x:v>easy</x:v>
      </x:c>
      <x:c r="D1732" s="17" t="str">
        <x:v>next ask before hit/override</x:v>
      </x:c>
      <x:c r="E1732" s="17" t="str">
        <x:v>category</x:v>
      </x:c>
      <x:c r="F1732" s="17" t="str">
        <x:v>no new constraint</x:v>
      </x:c>
      <x:c r="G1732" s="17" t="str"/>
      <x:c r="H1732" s="17" t="str">
        <x:v>I don't have an additional preference for category.</x:v>
      </x:c>
      <x:c r="I1732" s="17" t="str"/>
    </x:row>
    <x:row r="1733">
      <x:c r="A1733" t="str">
        <x:v>public_0152</x:v>
      </x:c>
      <x:c r="B1733" t="str">
        <x:v>buying</x:v>
      </x:c>
      <x:c r="C1733" t="str">
        <x:v>easy</x:v>
      </x:c>
      <x:c r="D1733" s="17" t="str">
        <x:v>next ask before hit/override</x:v>
      </x:c>
      <x:c r="E1733" s="17" t="str">
        <x:v>material</x:v>
      </x:c>
      <x:c r="F1733" s="17" t="str">
        <x:v>constraint revealed</x:v>
      </x:c>
      <x:c r="G1733" s="17" t="str">
        <x:v>Gold-tone watch in stainless steel featuring black two-step dial with date window at 3 o'clock and croco-embossed leather band. Case diameter : 36 mm</x:v>
      </x:c>
      <x:c r="H1733" s="17" t="str">
        <x:v>For that, what matters is: Gold-tone watch in stainless steel featuring black two-step dial with date window at 3 o'clock and croco-embossed leather band. Case diameter : 36 mm.</x:v>
      </x:c>
      <x:c r="I1733" s="17" t="str"/>
    </x:row>
    <x:row r="1734">
      <x:c r="A1734" t="str">
        <x:v>public_0152</x:v>
      </x:c>
      <x:c r="B1734" t="str">
        <x:v>buying</x:v>
      </x:c>
      <x:c r="C1734" t="str">
        <x:v>easy</x:v>
      </x:c>
      <x:c r="D1734" s="17" t="str">
        <x:v>next ask before hit/override</x:v>
      </x:c>
      <x:c r="E1734" s="17" t="str">
        <x:v>color</x:v>
      </x:c>
      <x:c r="F1734" s="17" t="str">
        <x:v>constraint revealed</x:v>
      </x:c>
      <x:c r="G1734" s="17" t="str">
        <x:v>color: brown</x:v>
      </x:c>
      <x:c r="H1734" s="17" t="str">
        <x:v>For that, what matters is: color: brown.</x:v>
      </x:c>
      <x:c r="I1734" s="17" t="str"/>
    </x:row>
    <x:row r="1735">
      <x:c r="A1735" t="str">
        <x:v>public_0152</x:v>
      </x:c>
      <x:c r="B1735" t="str">
        <x:v>buying</x:v>
      </x:c>
      <x:c r="C1735" t="str">
        <x:v>easy</x:v>
      </x:c>
      <x:c r="D1735" s="17" t="str">
        <x:v>next ask before hit/override</x:v>
      </x:c>
      <x:c r="E1735" s="17" t="str">
        <x:v>size</x:v>
      </x:c>
      <x:c r="F1735" s="17" t="str">
        <x:v>no new constraint</x:v>
      </x:c>
      <x:c r="G1735" s="17" t="str"/>
      <x:c r="H1735" s="17" t="str">
        <x:v>I don't have an additional preference for size.</x:v>
      </x:c>
      <x:c r="I1735" s="17" t="str"/>
    </x:row>
    <x:row r="1736">
      <x:c r="A1736" t="str">
        <x:v>public_0152</x:v>
      </x:c>
      <x:c r="B1736" t="str">
        <x:v>buying</x:v>
      </x:c>
      <x:c r="C1736" t="str">
        <x:v>easy</x:v>
      </x:c>
      <x:c r="D1736" s="17" t="str">
        <x:v>next ask before hit/override</x:v>
      </x:c>
      <x:c r="E1736" s="17" t="str">
        <x:v>style</x:v>
      </x:c>
      <x:c r="F1736" s="17" t="str">
        <x:v>no new constraint</x:v>
      </x:c>
      <x:c r="G1736" s="17" t="str"/>
      <x:c r="H1736" s="17" t="str">
        <x:v>I don't have an additional preference for style.</x:v>
      </x:c>
      <x:c r="I1736" s="17" t="str"/>
    </x:row>
    <x:row r="1737">
      <x:c r="A1737" t="str">
        <x:v>public_0152</x:v>
      </x:c>
      <x:c r="B1737" t="str">
        <x:v>buying</x:v>
      </x:c>
      <x:c r="C1737" t="str">
        <x:v>easy</x:v>
      </x:c>
      <x:c r="D1737" s="17" t="str">
        <x:v>next ask before hit/override</x:v>
      </x:c>
      <x:c r="E1737" s="17" t="str">
        <x:v>brand</x:v>
      </x:c>
      <x:c r="F1737" s="17" t="str">
        <x:v>no new constraint</x:v>
      </x:c>
      <x:c r="G1737" s="17" t="str"/>
      <x:c r="H1737" s="17" t="str">
        <x:v>I don't have an additional preference for brand.</x:v>
      </x:c>
      <x:c r="I1737" s="17" t="str"/>
    </x:row>
    <x:row r="1738">
      <x:c r="A1738" t="str">
        <x:v>public_0152</x:v>
      </x:c>
      <x:c r="B1738" t="str">
        <x:v>buying</x:v>
      </x:c>
      <x:c r="C1738" t="str">
        <x:v>easy</x:v>
      </x:c>
      <x:c r="D1738" s="17" t="str">
        <x:v>next ask before hit/override</x:v>
      </x:c>
      <x:c r="E1738" s="17" t="str">
        <x:v>budget</x:v>
      </x:c>
      <x:c r="F1738" s="17" t="str">
        <x:v>no new constraint</x:v>
      </x:c>
      <x:c r="G1738" s="17" t="str"/>
      <x:c r="H1738" s="17" t="str">
        <x:v>I don't have an additional preference for budget.</x:v>
      </x:c>
      <x:c r="I1738" s="17" t="str"/>
    </x:row>
    <x:row r="1739">
      <x:c r="A1739" t="str">
        <x:v>public_0152</x:v>
      </x:c>
      <x:c r="B1739" t="str">
        <x:v>buying</x:v>
      </x:c>
      <x:c r="C1739" t="str">
        <x:v>easy</x:v>
      </x:c>
      <x:c r="D1739" s="17" t="str">
        <x:v>next ask before hit/override</x:v>
      </x:c>
      <x:c r="E1739" s="17" t="str">
        <x:v>feature</x:v>
      </x:c>
      <x:c r="F1739" s="17" t="str">
        <x:v>constraint revealed</x:v>
      </x:c>
      <x:c r="G1739" s="17" t="str">
        <x:v>Japanese quartz movement with analog display</x:v>
      </x:c>
      <x:c r="H1739" s="17" t="str">
        <x:v>For that, what matters is: Japanese quartz movement with analog display.</x:v>
      </x:c>
      <x:c r="I1739" s="17" t="str"/>
    </x:row>
    <x:row r="1740">
      <x:c r="A1740" t="str">
        <x:v>public_0152</x:v>
      </x:c>
      <x:c r="B1740" t="str">
        <x:v>buying</x:v>
      </x:c>
      <x:c r="C1740" t="str">
        <x:v>easy</x:v>
      </x:c>
      <x:c r="D1740" s="17" t="str">
        <x:v>next ask before hit/override</x:v>
      </x:c>
      <x:c r="E1740" s="17" t="str">
        <x:v>use_case</x:v>
      </x:c>
      <x:c r="F1740" s="17" t="str">
        <x:v>no new constraint</x:v>
      </x:c>
      <x:c r="G1740" s="17" t="str"/>
      <x:c r="H1740" s="17" t="str">
        <x:v>I don't have an additional preference for use_case.</x:v>
      </x:c>
      <x:c r="I1740" s="17" t="str"/>
    </x:row>
    <x:row r="1741">
      <x:c r="A1741" t="str">
        <x:v>public_0152</x:v>
      </x:c>
      <x:c r="B1741" t="str">
        <x:v>buying</x:v>
      </x:c>
      <x:c r="C1741" t="str">
        <x:v>easy</x:v>
      </x:c>
      <x:c r="D1741" s="17" t="str">
        <x:v>next ask before hit/override</x:v>
      </x:c>
      <x:c r="E1741" s="17" t="str">
        <x:v>other</x:v>
      </x:c>
      <x:c r="F1741" s="17" t="str">
        <x:v>constraint revealed</x:v>
      </x:c>
      <x:c r="G1741" s="17" t="str">
        <x:v>color: brown | Gold-tone watch in stainless steel featuring black two-step dial with date window at 3 o'clock and croco-embossed leather band. Case diameter : 36 mm</x:v>
      </x:c>
      <x:c r="H1741" s="17" t="str">
        <x:v>For that, what matters is: color: brown; Gold-tone watch in stainless steel featuring black two-step dial with date window at 3 o'clock and croco-embossed leather band. Case diameter : 36 mm.</x:v>
      </x:c>
      <x:c r="I1741" s="17" t="str"/>
    </x:row>
    <x:row r="1742">
      <x:c r="A1742" t="str">
        <x:v>public_0152</x:v>
      </x:c>
      <x:c r="B1742" t="str">
        <x:v>buying</x:v>
      </x:c>
      <x:c r="C1742" t="str">
        <x:v>easy</x:v>
      </x:c>
      <x:c r="D1742" s="17" t="str">
        <x:v>next ask before hit/override</x:v>
      </x:c>
      <x:c r="E1742" s="17" t="str">
        <x:v>(no ask_attribute)</x:v>
      </x:c>
      <x:c r="F1742" s="17" t="str">
        <x:v>agent did not ask</x:v>
      </x:c>
      <x:c r="G1742" s="17" t="str"/>
      <x:c r="H1742" s="17" t="str">
        <x:v>Those options are not quite right yet. Ask me about one specific attribute.</x:v>
      </x:c>
      <x:c r="I1742" s="17" t="str"/>
    </x:row>
    <x:row r="1743">
      <x:c r="A1743" t="str">
        <x:v>public_0153</x:v>
      </x:c>
      <x:c r="B1743" t="str">
        <x:v>browsing</x:v>
      </x:c>
      <x:c r="C1743" t="str">
        <x:v>medium</x:v>
      </x:c>
      <x:c r="D1743" s="17" t="str">
        <x:v>next ask before hit/override</x:v>
      </x:c>
      <x:c r="E1743" s="17" t="str">
        <x:v>category</x:v>
      </x:c>
      <x:c r="F1743" s="17" t="str">
        <x:v>no new constraint</x:v>
      </x:c>
      <x:c r="G1743" s="17" t="str"/>
      <x:c r="H1743" s="17" t="str">
        <x:v>I don't have an additional preference for category.</x:v>
      </x:c>
      <x:c r="I1743" s="17" t="str"/>
    </x:row>
    <x:row r="1744">
      <x:c r="A1744" t="str">
        <x:v>public_0153</x:v>
      </x:c>
      <x:c r="B1744" t="str">
        <x:v>browsing</x:v>
      </x:c>
      <x:c r="C1744" t="str">
        <x:v>medium</x:v>
      </x:c>
      <x:c r="D1744" s="17" t="str">
        <x:v>next ask before hit/override</x:v>
      </x:c>
      <x:c r="E1744" s="17" t="str">
        <x:v>material</x:v>
      </x:c>
      <x:c r="F1744" s="17" t="str">
        <x:v>constraint revealed</x:v>
      </x:c>
      <x:c r="G1744" s="17" t="str">
        <x:v>leather | PU Leather</x:v>
      </x:c>
      <x:c r="H1744" s="17" t="str">
        <x:v>For that, what matters is: leather; PU Leather.</x:v>
      </x:c>
      <x:c r="I1744" s="17" t="str"/>
    </x:row>
    <x:row r="1745">
      <x:c r="A1745" t="str">
        <x:v>public_0153</x:v>
      </x:c>
      <x:c r="B1745" t="str">
        <x:v>browsing</x:v>
      </x:c>
      <x:c r="C1745" t="str">
        <x:v>medium</x:v>
      </x:c>
      <x:c r="D1745" s="17" t="str">
        <x:v>next ask before hit/override</x:v>
      </x:c>
      <x:c r="E1745" s="17" t="str">
        <x:v>color</x:v>
      </x:c>
      <x:c r="F1745" s="17" t="str">
        <x:v>no new constraint</x:v>
      </x:c>
      <x:c r="G1745" s="17" t="str"/>
      <x:c r="H1745" s="17" t="str">
        <x:v>I don't have an additional preference for color.</x:v>
      </x:c>
      <x:c r="I1745" s="17" t="str"/>
    </x:row>
    <x:row r="1746">
      <x:c r="A1746" t="str">
        <x:v>public_0153</x:v>
      </x:c>
      <x:c r="B1746" t="str">
        <x:v>browsing</x:v>
      </x:c>
      <x:c r="C1746" t="str">
        <x:v>medium</x:v>
      </x:c>
      <x:c r="D1746" s="17" t="str">
        <x:v>next ask before hit/override</x:v>
      </x:c>
      <x:c r="E1746" s="17" t="str">
        <x:v>size</x:v>
      </x:c>
      <x:c r="F1746" s="17" t="str">
        <x:v>no new constraint</x:v>
      </x:c>
      <x:c r="G1746" s="17" t="str"/>
      <x:c r="H1746" s="17" t="str">
        <x:v>I don't have an additional preference for size.</x:v>
      </x:c>
      <x:c r="I1746" s="17" t="str"/>
    </x:row>
    <x:row r="1747">
      <x:c r="A1747" t="str">
        <x:v>public_0153</x:v>
      </x:c>
      <x:c r="B1747" t="str">
        <x:v>browsing</x:v>
      </x:c>
      <x:c r="C1747" t="str">
        <x:v>medium</x:v>
      </x:c>
      <x:c r="D1747" s="17" t="str">
        <x:v>next ask before hit/override</x:v>
      </x:c>
      <x:c r="E1747" s="17" t="str">
        <x:v>style</x:v>
      </x:c>
      <x:c r="F1747" s="17" t="str">
        <x:v>no new constraint</x:v>
      </x:c>
      <x:c r="G1747" s="17" t="str"/>
      <x:c r="H1747" s="17" t="str">
        <x:v>I don't have an additional preference for style.</x:v>
      </x:c>
      <x:c r="I1747" s="17" t="str"/>
    </x:row>
    <x:row r="1748">
      <x:c r="A1748" t="str">
        <x:v>public_0153</x:v>
      </x:c>
      <x:c r="B1748" t="str">
        <x:v>browsing</x:v>
      </x:c>
      <x:c r="C1748" t="str">
        <x:v>medium</x:v>
      </x:c>
      <x:c r="D1748" s="17" t="str">
        <x:v>next ask before hit/override</x:v>
      </x:c>
      <x:c r="E1748" s="17" t="str">
        <x:v>brand</x:v>
      </x:c>
      <x:c r="F1748" s="17" t="str">
        <x:v>no new constraint</x:v>
      </x:c>
      <x:c r="G1748" s="17" t="str"/>
      <x:c r="H1748" s="17" t="str">
        <x:v>I don't have an additional preference for brand.</x:v>
      </x:c>
      <x:c r="I1748" s="17" t="str"/>
    </x:row>
    <x:row r="1749">
      <x:c r="A1749" t="str">
        <x:v>public_0153</x:v>
      </x:c>
      <x:c r="B1749" t="str">
        <x:v>browsing</x:v>
      </x:c>
      <x:c r="C1749" t="str">
        <x:v>medium</x:v>
      </x:c>
      <x:c r="D1749" s="17" t="str">
        <x:v>next ask before hit/override</x:v>
      </x:c>
      <x:c r="E1749" s="17" t="str">
        <x:v>budget</x:v>
      </x:c>
      <x:c r="F1749" s="17" t="str">
        <x:v>no new constraint</x:v>
      </x:c>
      <x:c r="G1749" s="17" t="str"/>
      <x:c r="H1749" s="17" t="str">
        <x:v>I don't have an additional preference for budget.</x:v>
      </x:c>
      <x:c r="I1749" s="17" t="str"/>
    </x:row>
    <x:row r="1750">
      <x:c r="A1750" t="str">
        <x:v>public_0153</x:v>
      </x:c>
      <x:c r="B1750" t="str">
        <x:v>browsing</x:v>
      </x:c>
      <x:c r="C1750" t="str">
        <x:v>medium</x:v>
      </x:c>
      <x:c r="D1750" s="17" t="str">
        <x:v>next ask before hit/override</x:v>
      </x:c>
      <x:c r="E1750" s="17" t="str">
        <x:v>feature</x:v>
      </x:c>
      <x:c r="F1750" s="17" t="str">
        <x:v>constraint revealed</x:v>
      </x:c>
      <x:c r="G1750" s="17" t="str">
        <x:v>Rubber sole | Shaft measures approximately Ankle from arch</x:v>
      </x:c>
      <x:c r="H1750" s="17" t="str">
        <x:v>For that, what matters is: Rubber sole; Shaft measures approximately Ankle from arch.</x:v>
      </x:c>
      <x:c r="I1750" s="17" t="str"/>
    </x:row>
    <x:row r="1751">
      <x:c r="A1751" t="str">
        <x:v>public_0153</x:v>
      </x:c>
      <x:c r="B1751" t="str">
        <x:v>browsing</x:v>
      </x:c>
      <x:c r="C1751" t="str">
        <x:v>medium</x:v>
      </x:c>
      <x:c r="D1751" s="17" t="str">
        <x:v>next ask before hit/override</x:v>
      </x:c>
      <x:c r="E1751" s="17" t="str">
        <x:v>use_case</x:v>
      </x:c>
      <x:c r="F1751" s="17" t="str">
        <x:v>no new constraint</x:v>
      </x:c>
      <x:c r="G1751" s="17" t="str"/>
      <x:c r="H1751" s="17" t="str">
        <x:v>I don't have an additional preference for use_case.</x:v>
      </x:c>
      <x:c r="I1751" s="17" t="str"/>
    </x:row>
    <x:row r="1752">
      <x:c r="A1752" t="str">
        <x:v>public_0153</x:v>
      </x:c>
      <x:c r="B1752" t="str">
        <x:v>browsing</x:v>
      </x:c>
      <x:c r="C1752" t="str">
        <x:v>medium</x:v>
      </x:c>
      <x:c r="D1752" s="17" t="str">
        <x:v>next ask before hit/override</x:v>
      </x:c>
      <x:c r="E1752" s="17" t="str">
        <x:v>other</x:v>
      </x:c>
      <x:c r="F1752" s="17" t="str">
        <x:v>constraint revealed</x:v>
      </x:c>
      <x:c r="G1752" s="17" t="str">
        <x:v>leather | PU Leather</x:v>
      </x:c>
      <x:c r="H1752" s="17" t="str">
        <x:v>For that, what matters is: leather; PU Leather.</x:v>
      </x:c>
      <x:c r="I1752" s="17" t="str"/>
    </x:row>
    <x:row r="1753">
      <x:c r="A1753" t="str">
        <x:v>public_0153</x:v>
      </x:c>
      <x:c r="B1753" t="str">
        <x:v>browsing</x:v>
      </x:c>
      <x:c r="C1753" t="str">
        <x:v>medium</x:v>
      </x:c>
      <x:c r="D1753" s="17" t="str">
        <x:v>next ask before hit/override</x:v>
      </x:c>
      <x:c r="E1753" s="17" t="str">
        <x:v>(no ask_attribute)</x:v>
      </x:c>
      <x:c r="F1753" s="17" t="str">
        <x:v>agent did not ask</x:v>
      </x:c>
      <x:c r="G1753" s="17" t="str"/>
      <x:c r="H1753" s="17" t="str">
        <x:v>Those options are not quite right yet. Ask me about one specific attribute.</x:v>
      </x:c>
      <x:c r="I1753" s="17" t="str"/>
    </x:row>
    <x:row r="1754">
      <x:c r="A1754" t="str">
        <x:v>public_0154</x:v>
      </x:c>
      <x:c r="B1754" t="str">
        <x:v>buying</x:v>
      </x:c>
      <x:c r="C1754" t="str">
        <x:v>easy</x:v>
      </x:c>
      <x:c r="D1754" s="17" t="str">
        <x:v>next ask before hit/override</x:v>
      </x:c>
      <x:c r="E1754" s="17" t="str">
        <x:v>category</x:v>
      </x:c>
      <x:c r="F1754" s="17" t="str">
        <x:v>no new constraint</x:v>
      </x:c>
      <x:c r="G1754" s="17" t="str"/>
      <x:c r="H1754" s="17" t="str">
        <x:v>I don't have an additional preference for category.</x:v>
      </x:c>
      <x:c r="I1754" s="17" t="str"/>
    </x:row>
    <x:row r="1755">
      <x:c r="A1755" t="str">
        <x:v>public_0154</x:v>
      </x:c>
      <x:c r="B1755" t="str">
        <x:v>buying</x:v>
      </x:c>
      <x:c r="C1755" t="str">
        <x:v>easy</x:v>
      </x:c>
      <x:c r="D1755" s="17" t="str">
        <x:v>next ask before hit/override</x:v>
      </x:c>
      <x:c r="E1755" s="17" t="str">
        <x:v>material</x:v>
      </x:c>
      <x:c r="F1755" s="17" t="str">
        <x:v>no new constraint</x:v>
      </x:c>
      <x:c r="G1755" s="17" t="str"/>
      <x:c r="H1755" s="17" t="str">
        <x:v>I don't have an additional preference for material.</x:v>
      </x:c>
      <x:c r="I1755" s="17" t="str"/>
    </x:row>
    <x:row r="1756">
      <x:c r="A1756" t="str">
        <x:v>public_0154</x:v>
      </x:c>
      <x:c r="B1756" t="str">
        <x:v>buying</x:v>
      </x:c>
      <x:c r="C1756" t="str">
        <x:v>easy</x:v>
      </x:c>
      <x:c r="D1756" s="17" t="str">
        <x:v>next ask before hit/override</x:v>
      </x:c>
      <x:c r="E1756" s="17" t="str">
        <x:v>color</x:v>
      </x:c>
      <x:c r="F1756" s="17" t="str">
        <x:v>constraint revealed</x:v>
      </x:c>
      <x:c r="G1756" s="17" t="str">
        <x:v>color: white</x:v>
      </x:c>
      <x:c r="H1756" s="17" t="str">
        <x:v>For that, what matters is: color: white.</x:v>
      </x:c>
      <x:c r="I1756" s="17" t="str"/>
    </x:row>
    <x:row r="1757">
      <x:c r="A1757" t="str">
        <x:v>public_0154</x:v>
      </x:c>
      <x:c r="B1757" t="str">
        <x:v>buying</x:v>
      </x:c>
      <x:c r="C1757" t="str">
        <x:v>easy</x:v>
      </x:c>
      <x:c r="D1757" s="17" t="str">
        <x:v>next ask before hit/override</x:v>
      </x:c>
      <x:c r="E1757" s="17" t="str">
        <x:v>size</x:v>
      </x:c>
      <x:c r="F1757" s="17" t="str">
        <x:v>no new constraint</x:v>
      </x:c>
      <x:c r="G1757" s="17" t="str"/>
      <x:c r="H1757" s="17" t="str">
        <x:v>I don't have an additional preference for size.</x:v>
      </x:c>
      <x:c r="I1757" s="17" t="str"/>
    </x:row>
    <x:row r="1758">
      <x:c r="A1758" t="str">
        <x:v>public_0154</x:v>
      </x:c>
      <x:c r="B1758" t="str">
        <x:v>buying</x:v>
      </x:c>
      <x:c r="C1758" t="str">
        <x:v>easy</x:v>
      </x:c>
      <x:c r="D1758" s="17" t="str">
        <x:v>next ask before hit/override</x:v>
      </x:c>
      <x:c r="E1758" s="17" t="str">
        <x:v>style</x:v>
      </x:c>
      <x:c r="F1758" s="17" t="str">
        <x:v>no new constraint</x:v>
      </x:c>
      <x:c r="G1758" s="17" t="str"/>
      <x:c r="H1758" s="17" t="str">
        <x:v>I don't have an additional preference for style.</x:v>
      </x:c>
      <x:c r="I1758" s="17" t="str"/>
    </x:row>
    <x:row r="1759">
      <x:c r="A1759" t="str">
        <x:v>public_0154</x:v>
      </x:c>
      <x:c r="B1759" t="str">
        <x:v>buying</x:v>
      </x:c>
      <x:c r="C1759" t="str">
        <x:v>easy</x:v>
      </x:c>
      <x:c r="D1759" s="17" t="str">
        <x:v>next ask before hit/override</x:v>
      </x:c>
      <x:c r="E1759" s="17" t="str">
        <x:v>brand</x:v>
      </x:c>
      <x:c r="F1759" s="17" t="str">
        <x:v>no new constraint</x:v>
      </x:c>
      <x:c r="G1759" s="17" t="str"/>
      <x:c r="H1759" s="17" t="str">
        <x:v>I don't have an additional preference for brand.</x:v>
      </x:c>
      <x:c r="I1759" s="17" t="str"/>
    </x:row>
    <x:row r="1760">
      <x:c r="A1760" t="str">
        <x:v>public_0154</x:v>
      </x:c>
      <x:c r="B1760" t="str">
        <x:v>buying</x:v>
      </x:c>
      <x:c r="C1760" t="str">
        <x:v>easy</x:v>
      </x:c>
      <x:c r="D1760" s="17" t="str">
        <x:v>next ask before hit/override</x:v>
      </x:c>
      <x:c r="E1760" s="17" t="str">
        <x:v>budget</x:v>
      </x:c>
      <x:c r="F1760" s="17" t="str">
        <x:v>no new constraint</x:v>
      </x:c>
      <x:c r="G1760" s="17" t="str"/>
      <x:c r="H1760" s="17" t="str">
        <x:v>I don't have an additional preference for budget.</x:v>
      </x:c>
      <x:c r="I1760" s="17" t="str"/>
    </x:row>
    <x:row r="1761">
      <x:c r="A1761" t="str">
        <x:v>public_0154</x:v>
      </x:c>
      <x:c r="B1761" t="str">
        <x:v>buying</x:v>
      </x:c>
      <x:c r="C1761" t="str">
        <x:v>easy</x:v>
      </x:c>
      <x:c r="D1761" s="17" t="str">
        <x:v>next ask before hit/override</x:v>
      </x:c>
      <x:c r="E1761" s="17" t="str">
        <x:v>feature</x:v>
      </x:c>
      <x:c r="F1761" s="17" t="str">
        <x:v>constraint revealed</x:v>
      </x:c>
      <x:c r="G1761" s="17" t="str">
        <x:v>Hand Wash Only | Item model number: 5006715</x:v>
      </x:c>
      <x:c r="H1761" s="17" t="str">
        <x:v>For that, what matters is: Hand Wash Only; Item model number: 5006715.</x:v>
      </x:c>
      <x:c r="I1761" s="17" t="str"/>
    </x:row>
    <x:row r="1762">
      <x:c r="A1762" t="str">
        <x:v>public_0154</x:v>
      </x:c>
      <x:c r="B1762" t="str">
        <x:v>buying</x:v>
      </x:c>
      <x:c r="C1762" t="str">
        <x:v>easy</x:v>
      </x:c>
      <x:c r="D1762" s="17" t="str">
        <x:v>next ask before hit/override</x:v>
      </x:c>
      <x:c r="E1762" s="17" t="str">
        <x:v>use_case</x:v>
      </x:c>
      <x:c r="F1762" s="17" t="str">
        <x:v>no new constraint</x:v>
      </x:c>
      <x:c r="G1762" s="17" t="str"/>
      <x:c r="H1762" s="17" t="str">
        <x:v>I don't have an additional preference for use_case.</x:v>
      </x:c>
      <x:c r="I1762" s="17" t="str"/>
    </x:row>
    <x:row r="1763">
      <x:c r="A1763" t="str">
        <x:v>public_0154</x:v>
      </x:c>
      <x:c r="B1763" t="str">
        <x:v>buying</x:v>
      </x:c>
      <x:c r="C1763" t="str">
        <x:v>easy</x:v>
      </x:c>
      <x:c r="D1763" s="17" t="str">
        <x:v>next ask before hit/override</x:v>
      </x:c>
      <x:c r="E1763" s="17" t="str">
        <x:v>other</x:v>
      </x:c>
      <x:c r="F1763" s="17" t="str">
        <x:v>constraint revealed</x:v>
      </x:c>
      <x:c r="G1763" s="17" t="str">
        <x:v>color: white | Hand Wash Only</x:v>
      </x:c>
      <x:c r="H1763" s="17" t="str">
        <x:v>For that, what matters is: color: white; Hand Wash Only.</x:v>
      </x:c>
      <x:c r="I1763" s="17" t="str"/>
    </x:row>
    <x:row r="1764">
      <x:c r="A1764" t="str">
        <x:v>public_0154</x:v>
      </x:c>
      <x:c r="B1764" t="str">
        <x:v>buying</x:v>
      </x:c>
      <x:c r="C1764" t="str">
        <x:v>easy</x:v>
      </x:c>
      <x:c r="D1764" s="17" t="str">
        <x:v>next ask before hit/override</x:v>
      </x:c>
      <x:c r="E1764" s="17" t="str">
        <x:v>(no ask_attribute)</x:v>
      </x:c>
      <x:c r="F1764" s="17" t="str">
        <x:v>agent did not ask</x:v>
      </x:c>
      <x:c r="G1764" s="17" t="str"/>
      <x:c r="H1764" s="17" t="str">
        <x:v>Those options are not quite right yet. Ask me about one specific attribute.</x:v>
      </x:c>
      <x:c r="I1764" s="17" t="str"/>
    </x:row>
    <x:row r="1765">
      <x:c r="A1765" t="str">
        <x:v>public_0155</x:v>
      </x:c>
      <x:c r="B1765" t="str">
        <x:v>buying</x:v>
      </x:c>
      <x:c r="C1765" t="str">
        <x:v>easy</x:v>
      </x:c>
      <x:c r="D1765" s="17" t="str">
        <x:v>next ask before hit/override</x:v>
      </x:c>
      <x:c r="E1765" s="17" t="str">
        <x:v>category</x:v>
      </x:c>
      <x:c r="F1765" s="17" t="str">
        <x:v>no new constraint</x:v>
      </x:c>
      <x:c r="G1765" s="17" t="str"/>
      <x:c r="H1765" s="17" t="str">
        <x:v>I don't have an additional preference for category.</x:v>
      </x:c>
      <x:c r="I1765" s="17" t="str"/>
    </x:row>
    <x:row r="1766">
      <x:c r="A1766" t="str">
        <x:v>public_0155</x:v>
      </x:c>
      <x:c r="B1766" t="str">
        <x:v>buying</x:v>
      </x:c>
      <x:c r="C1766" t="str">
        <x:v>easy</x:v>
      </x:c>
      <x:c r="D1766" s="17" t="str">
        <x:v>next ask before hit/override</x:v>
      </x:c>
      <x:c r="E1766" s="17" t="str">
        <x:v>material</x:v>
      </x:c>
      <x:c r="F1766" s="17" t="str">
        <x:v>constraint revealed</x:v>
      </x:c>
      <x:c r="G1766" s="17" t="str">
        <x:v>100% Polyester</x:v>
      </x:c>
      <x:c r="H1766" s="17" t="str">
        <x:v>For that, what matters is: 100% Polyester.</x:v>
      </x:c>
      <x:c r="I1766" s="17" t="str"/>
    </x:row>
    <x:row r="1767">
      <x:c r="A1767" t="str">
        <x:v>public_0155</x:v>
      </x:c>
      <x:c r="B1767" t="str">
        <x:v>buying</x:v>
      </x:c>
      <x:c r="C1767" t="str">
        <x:v>easy</x:v>
      </x:c>
      <x:c r="D1767" s="17" t="str">
        <x:v>next ask before hit/override</x:v>
      </x:c>
      <x:c r="E1767" s="17" t="str">
        <x:v>color</x:v>
      </x:c>
      <x:c r="F1767" s="17" t="str">
        <x:v>no new constraint</x:v>
      </x:c>
      <x:c r="G1767" s="17" t="str"/>
      <x:c r="H1767" s="17" t="str">
        <x:v>I don't have an additional preference for color.</x:v>
      </x:c>
      <x:c r="I1767" s="17" t="str"/>
    </x:row>
    <x:row r="1768">
      <x:c r="A1768" t="str">
        <x:v>public_0155</x:v>
      </x:c>
      <x:c r="B1768" t="str">
        <x:v>buying</x:v>
      </x:c>
      <x:c r="C1768" t="str">
        <x:v>easy</x:v>
      </x:c>
      <x:c r="D1768" s="17" t="str">
        <x:v>next ask before hit/override</x:v>
      </x:c>
      <x:c r="E1768" s="17" t="str">
        <x:v>size</x:v>
      </x:c>
      <x:c r="F1768" s="17" t="str">
        <x:v>no new constraint</x:v>
      </x:c>
      <x:c r="G1768" s="17" t="str"/>
      <x:c r="H1768" s="17" t="str">
        <x:v>I don't have an additional preference for size.</x:v>
      </x:c>
      <x:c r="I1768" s="17" t="str"/>
    </x:row>
    <x:row r="1769">
      <x:c r="A1769" t="str">
        <x:v>public_0155</x:v>
      </x:c>
      <x:c r="B1769" t="str">
        <x:v>buying</x:v>
      </x:c>
      <x:c r="C1769" t="str">
        <x:v>easy</x:v>
      </x:c>
      <x:c r="D1769" s="17" t="str">
        <x:v>next ask before hit/override</x:v>
      </x:c>
      <x:c r="E1769" s="17" t="str">
        <x:v>style</x:v>
      </x:c>
      <x:c r="F1769" s="17" t="str">
        <x:v>no new constraint</x:v>
      </x:c>
      <x:c r="G1769" s="17" t="str"/>
      <x:c r="H1769" s="17" t="str">
        <x:v>I don't have an additional preference for style.</x:v>
      </x:c>
      <x:c r="I1769" s="17" t="str"/>
    </x:row>
    <x:row r="1770">
      <x:c r="A1770" t="str">
        <x:v>public_0155</x:v>
      </x:c>
      <x:c r="B1770" t="str">
        <x:v>buying</x:v>
      </x:c>
      <x:c r="C1770" t="str">
        <x:v>easy</x:v>
      </x:c>
      <x:c r="D1770" s="17" t="str">
        <x:v>next ask before hit/override</x:v>
      </x:c>
      <x:c r="E1770" s="17" t="str">
        <x:v>brand</x:v>
      </x:c>
      <x:c r="F1770" s="17" t="str">
        <x:v>no new constraint</x:v>
      </x:c>
      <x:c r="G1770" s="17" t="str"/>
      <x:c r="H1770" s="17" t="str">
        <x:v>I don't have an additional preference for brand.</x:v>
      </x:c>
      <x:c r="I1770" s="17" t="str"/>
    </x:row>
    <x:row r="1771">
      <x:c r="A1771" t="str">
        <x:v>public_0155</x:v>
      </x:c>
      <x:c r="B1771" t="str">
        <x:v>buying</x:v>
      </x:c>
      <x:c r="C1771" t="str">
        <x:v>easy</x:v>
      </x:c>
      <x:c r="D1771" s="17" t="str">
        <x:v>next ask before hit/override</x:v>
      </x:c>
      <x:c r="E1771" s="17" t="str">
        <x:v>budget</x:v>
      </x:c>
      <x:c r="F1771" s="17" t="str">
        <x:v>no new constraint</x:v>
      </x:c>
      <x:c r="G1771" s="17" t="str"/>
      <x:c r="H1771" s="17" t="str">
        <x:v>I don't have an additional preference for budget.</x:v>
      </x:c>
      <x:c r="I1771" s="17" t="str"/>
    </x:row>
    <x:row r="1772">
      <x:c r="A1772" t="str">
        <x:v>public_0155</x:v>
      </x:c>
      <x:c r="B1772" t="str">
        <x:v>buying</x:v>
      </x:c>
      <x:c r="C1772" t="str">
        <x:v>easy</x:v>
      </x:c>
      <x:c r="D1772" s="17" t="str">
        <x:v>next ask before hit/override</x:v>
      </x:c>
      <x:c r="E1772" s="17" t="str">
        <x:v>feature</x:v>
      </x:c>
      <x:c r="F1772" s="17" t="str">
        <x:v>constraint revealed</x:v>
      </x:c>
      <x:c r="G1772" s="17" t="str">
        <x:v>Imported | Drawstring closure</x:v>
      </x:c>
      <x:c r="H1772" s="17" t="str">
        <x:v>For that, what matters is: Imported; Drawstring closure.</x:v>
      </x:c>
      <x:c r="I1772" s="17" t="str"/>
    </x:row>
    <x:row r="1773">
      <x:c r="A1773" t="str">
        <x:v>public_0155</x:v>
      </x:c>
      <x:c r="B1773" t="str">
        <x:v>buying</x:v>
      </x:c>
      <x:c r="C1773" t="str">
        <x:v>easy</x:v>
      </x:c>
      <x:c r="D1773" s="17" t="str">
        <x:v>next ask before hit/override</x:v>
      </x:c>
      <x:c r="E1773" s="17" t="str">
        <x:v>use_case</x:v>
      </x:c>
      <x:c r="F1773" s="17" t="str">
        <x:v>no new constraint</x:v>
      </x:c>
      <x:c r="G1773" s="17" t="str"/>
      <x:c r="H1773" s="17" t="str">
        <x:v>I don't have an additional preference for use_case.</x:v>
      </x:c>
      <x:c r="I1773" s="17" t="str"/>
    </x:row>
    <x:row r="1774">
      <x:c r="A1774" t="str">
        <x:v>public_0155</x:v>
      </x:c>
      <x:c r="B1774" t="str">
        <x:v>buying</x:v>
      </x:c>
      <x:c r="C1774" t="str">
        <x:v>easy</x:v>
      </x:c>
      <x:c r="D1774" s="17" t="str">
        <x:v>next ask before hit/override</x:v>
      </x:c>
      <x:c r="E1774" s="17" t="str">
        <x:v>other</x:v>
      </x:c>
      <x:c r="F1774" s="17" t="str">
        <x:v>constraint revealed</x:v>
      </x:c>
      <x:c r="G1774" s="17" t="str">
        <x:v>100% Polyester | Imported</x:v>
      </x:c>
      <x:c r="H1774" s="17" t="str">
        <x:v>For that, what matters is: 100% Polyester; Imported.</x:v>
      </x:c>
      <x:c r="I1774" s="17" t="str"/>
    </x:row>
    <x:row r="1775">
      <x:c r="A1775" t="str">
        <x:v>public_0155</x:v>
      </x:c>
      <x:c r="B1775" t="str">
        <x:v>buying</x:v>
      </x:c>
      <x:c r="C1775" t="str">
        <x:v>easy</x:v>
      </x:c>
      <x:c r="D1775" s="17" t="str">
        <x:v>next ask before hit/override</x:v>
      </x:c>
      <x:c r="E1775" s="17" t="str">
        <x:v>(no ask_attribute)</x:v>
      </x:c>
      <x:c r="F1775" s="17" t="str">
        <x:v>agent did not ask</x:v>
      </x:c>
      <x:c r="G1775" s="17" t="str"/>
      <x:c r="H1775" s="17" t="str">
        <x:v>Those options are not quite right yet. Ask me about one specific attribute.</x:v>
      </x:c>
      <x:c r="I1775" s="17" t="str"/>
    </x:row>
    <x:row r="1776">
      <x:c r="A1776" t="str">
        <x:v>public_0156</x:v>
      </x:c>
      <x:c r="B1776" t="str">
        <x:v>buying</x:v>
      </x:c>
      <x:c r="C1776" t="str">
        <x:v>easy</x:v>
      </x:c>
      <x:c r="D1776" s="17" t="str">
        <x:v>next ask before hit/override</x:v>
      </x:c>
      <x:c r="E1776" s="17" t="str">
        <x:v>category</x:v>
      </x:c>
      <x:c r="F1776" s="17" t="str">
        <x:v>no new constraint</x:v>
      </x:c>
      <x:c r="G1776" s="17" t="str"/>
      <x:c r="H1776" s="17" t="str">
        <x:v>I don't have an additional preference for category.</x:v>
      </x:c>
      <x:c r="I1776" s="17" t="str"/>
    </x:row>
    <x:row r="1777">
      <x:c r="A1777" t="str">
        <x:v>public_0156</x:v>
      </x:c>
      <x:c r="B1777" t="str">
        <x:v>buying</x:v>
      </x:c>
      <x:c r="C1777" t="str">
        <x:v>easy</x:v>
      </x:c>
      <x:c r="D1777" s="17" t="str">
        <x:v>next ask before hit/override</x:v>
      </x:c>
      <x:c r="E1777" s="17" t="str">
        <x:v>material</x:v>
      </x:c>
      <x:c r="F1777" s="17" t="str">
        <x:v>no new constraint</x:v>
      </x:c>
      <x:c r="G1777" s="17" t="str"/>
      <x:c r="H1777" s="17" t="str">
        <x:v>I don't have an additional preference for material.</x:v>
      </x:c>
      <x:c r="I1777" s="17" t="str"/>
    </x:row>
    <x:row r="1778">
      <x:c r="A1778" t="str">
        <x:v>public_0156</x:v>
      </x:c>
      <x:c r="B1778" t="str">
        <x:v>buying</x:v>
      </x:c>
      <x:c r="C1778" t="str">
        <x:v>easy</x:v>
      </x:c>
      <x:c r="D1778" s="17" t="str">
        <x:v>next ask before hit/override</x:v>
      </x:c>
      <x:c r="E1778" s="17" t="str">
        <x:v>color</x:v>
      </x:c>
      <x:c r="F1778" s="17" t="str">
        <x:v>constraint revealed</x:v>
      </x:c>
      <x:c r="G1778" s="17" t="str">
        <x:v>color: grey | Zippered valuables pocket to hold your phone and small stuff</x:v>
      </x:c>
      <x:c r="H1778" s="17" t="str">
        <x:v>For that, what matters is: color: grey; Zippered valuables pocket to hold your phone and small stuff.</x:v>
      </x:c>
      <x:c r="I1778" s="17" t="str"/>
    </x:row>
    <x:row r="1779">
      <x:c r="A1779" t="str">
        <x:v>public_0156</x:v>
      </x:c>
      <x:c r="B1779" t="str">
        <x:v>buying</x:v>
      </x:c>
      <x:c r="C1779" t="str">
        <x:v>easy</x:v>
      </x:c>
      <x:c r="D1779" s="17" t="str">
        <x:v>next ask before hit/override</x:v>
      </x:c>
      <x:c r="E1779" s="17" t="str">
        <x:v>size</x:v>
      </x:c>
      <x:c r="F1779" s="17" t="str">
        <x:v>no new constraint</x:v>
      </x:c>
      <x:c r="G1779" s="17" t="str"/>
      <x:c r="H1779" s="17" t="str">
        <x:v>I don't have an additional preference for size.</x:v>
      </x:c>
      <x:c r="I1779" s="17" t="str"/>
    </x:row>
    <x:row r="1780">
      <x:c r="A1780" t="str">
        <x:v>public_0156</x:v>
      </x:c>
      <x:c r="B1780" t="str">
        <x:v>buying</x:v>
      </x:c>
      <x:c r="C1780" t="str">
        <x:v>easy</x:v>
      </x:c>
      <x:c r="D1780" s="17" t="str">
        <x:v>next ask before hit/override</x:v>
      </x:c>
      <x:c r="E1780" s="17" t="str">
        <x:v>style</x:v>
      </x:c>
      <x:c r="F1780" s="17" t="str">
        <x:v>no new constraint</x:v>
      </x:c>
      <x:c r="G1780" s="17" t="str"/>
      <x:c r="H1780" s="17" t="str">
        <x:v>I don't have an additional preference for style.</x:v>
      </x:c>
      <x:c r="I1780" s="17" t="str"/>
    </x:row>
    <x:row r="1781">
      <x:c r="A1781" t="str">
        <x:v>public_0156</x:v>
      </x:c>
      <x:c r="B1781" t="str">
        <x:v>buying</x:v>
      </x:c>
      <x:c r="C1781" t="str">
        <x:v>easy</x:v>
      </x:c>
      <x:c r="D1781" s="17" t="str">
        <x:v>next ask before hit/override</x:v>
      </x:c>
      <x:c r="E1781" s="17" t="str">
        <x:v>brand</x:v>
      </x:c>
      <x:c r="F1781" s="17" t="str">
        <x:v>no new constraint</x:v>
      </x:c>
      <x:c r="G1781" s="17" t="str"/>
      <x:c r="H1781" s="17" t="str">
        <x:v>I don't have an additional preference for brand.</x:v>
      </x:c>
      <x:c r="I1781" s="17" t="str"/>
    </x:row>
    <x:row r="1782">
      <x:c r="A1782" t="str">
        <x:v>public_0156</x:v>
      </x:c>
      <x:c r="B1782" t="str">
        <x:v>buying</x:v>
      </x:c>
      <x:c r="C1782" t="str">
        <x:v>easy</x:v>
      </x:c>
      <x:c r="D1782" s="17" t="str">
        <x:v>next ask before hit/override</x:v>
      </x:c>
      <x:c r="E1782" s="17" t="str">
        <x:v>budget</x:v>
      </x:c>
      <x:c r="F1782" s="17" t="str">
        <x:v>no new constraint</x:v>
      </x:c>
      <x:c r="G1782" s="17" t="str"/>
      <x:c r="H1782" s="17" t="str">
        <x:v>I don't have an additional preference for budget.</x:v>
      </x:c>
      <x:c r="I1782" s="17" t="str"/>
    </x:row>
    <x:row r="1783">
      <x:c r="A1783" t="str">
        <x:v>public_0156</x:v>
      </x:c>
      <x:c r="B1783" t="str">
        <x:v>buying</x:v>
      </x:c>
      <x:c r="C1783" t="str">
        <x:v>easy</x:v>
      </x:c>
      <x:c r="D1783" s="17" t="str">
        <x:v>next ask before hit/override</x:v>
      </x:c>
      <x:c r="E1783" s="17" t="str">
        <x:v>feature</x:v>
      </x:c>
      <x:c r="F1783" s="17" t="str">
        <x:v>constraint revealed</x:v>
      </x:c>
      <x:c r="G1783" s="17" t="str">
        <x:v>Bold 3-stripe brand read</x:v>
      </x:c>
      <x:c r="H1783" s="17" t="str">
        <x:v>For that, what matters is: Bold 3-stripe brand read.</x:v>
      </x:c>
      <x:c r="I1783" s="17" t="str"/>
    </x:row>
    <x:row r="1784">
      <x:c r="A1784" t="str">
        <x:v>public_0156</x:v>
      </x:c>
      <x:c r="B1784" t="str">
        <x:v>buying</x:v>
      </x:c>
      <x:c r="C1784" t="str">
        <x:v>easy</x:v>
      </x:c>
      <x:c r="D1784" s="17" t="str">
        <x:v>next ask before hit/override</x:v>
      </x:c>
      <x:c r="E1784" s="17" t="str">
        <x:v>use_case</x:v>
      </x:c>
      <x:c r="F1784" s="17" t="str">
        <x:v>no new constraint</x:v>
      </x:c>
      <x:c r="G1784" s="17" t="str"/>
      <x:c r="H1784" s="17" t="str">
        <x:v>I don't have an additional preference for use_case.</x:v>
      </x:c>
      <x:c r="I1784" s="17" t="str"/>
    </x:row>
    <x:row r="1785">
      <x:c r="A1785" t="str">
        <x:v>public_0156</x:v>
      </x:c>
      <x:c r="B1785" t="str">
        <x:v>buying</x:v>
      </x:c>
      <x:c r="C1785" t="str">
        <x:v>easy</x:v>
      </x:c>
      <x:c r="D1785" s="17" t="str">
        <x:v>next ask before hit/override</x:v>
      </x:c>
      <x:c r="E1785" s="17" t="str">
        <x:v>other</x:v>
      </x:c>
      <x:c r="F1785" s="17" t="str">
        <x:v>constraint revealed</x:v>
      </x:c>
      <x:c r="G1785" s="17" t="str">
        <x:v>color: grey | Zippered valuables pocket to hold your phone and small stuff</x:v>
      </x:c>
      <x:c r="H1785" s="17" t="str">
        <x:v>For that, what matters is: color: grey; Zippered valuables pocket to hold your phone and small stuff.</x:v>
      </x:c>
      <x:c r="I1785" s="17" t="str"/>
    </x:row>
    <x:row r="1786">
      <x:c r="A1786" t="str">
        <x:v>public_0156</x:v>
      </x:c>
      <x:c r="B1786" t="str">
        <x:v>buying</x:v>
      </x:c>
      <x:c r="C1786" t="str">
        <x:v>easy</x:v>
      </x:c>
      <x:c r="D1786" s="17" t="str">
        <x:v>next ask before hit/override</x:v>
      </x:c>
      <x:c r="E1786" s="17" t="str">
        <x:v>(no ask_attribute)</x:v>
      </x:c>
      <x:c r="F1786" s="17" t="str">
        <x:v>agent did not ask</x:v>
      </x:c>
      <x:c r="G1786" s="17" t="str"/>
      <x:c r="H1786" s="17" t="str">
        <x:v>Those options are not quite right yet. Ask me about one specific attribute.</x:v>
      </x:c>
      <x:c r="I1786" s="17" t="str"/>
    </x:row>
    <x:row r="1787">
      <x:c r="A1787" t="str">
        <x:v>public_0157</x:v>
      </x:c>
      <x:c r="B1787" t="str">
        <x:v>buying</x:v>
      </x:c>
      <x:c r="C1787" t="str">
        <x:v>easy</x:v>
      </x:c>
      <x:c r="D1787" s="17" t="str">
        <x:v>next ask before hit/override</x:v>
      </x:c>
      <x:c r="E1787" s="17" t="str">
        <x:v>category</x:v>
      </x:c>
      <x:c r="F1787" s="17" t="str">
        <x:v>no new constraint</x:v>
      </x:c>
      <x:c r="G1787" s="17" t="str"/>
      <x:c r="H1787" s="17" t="str">
        <x:v>I don't have an additional preference for category.</x:v>
      </x:c>
      <x:c r="I1787" s="17" t="str"/>
    </x:row>
    <x:row r="1788">
      <x:c r="A1788" t="str">
        <x:v>public_0157</x:v>
      </x:c>
      <x:c r="B1788" t="str">
        <x:v>buying</x:v>
      </x:c>
      <x:c r="C1788" t="str">
        <x:v>easy</x:v>
      </x:c>
      <x:c r="D1788" s="17" t="str">
        <x:v>next ask before hit/override</x:v>
      </x:c>
      <x:c r="E1788" s="17" t="str">
        <x:v>material</x:v>
      </x:c>
      <x:c r="F1788" s="17" t="str">
        <x:v>constraint revealed</x:v>
      </x:c>
      <x:c r="G1788" s="17" t="str">
        <x:v>Nylon</x:v>
      </x:c>
      <x:c r="H1788" s="17" t="str">
        <x:v>For that, what matters is: Nylon.</x:v>
      </x:c>
      <x:c r="I1788" s="17" t="str"/>
    </x:row>
    <x:row r="1789">
      <x:c r="A1789" t="str">
        <x:v>public_0157</x:v>
      </x:c>
      <x:c r="B1789" t="str">
        <x:v>buying</x:v>
      </x:c>
      <x:c r="C1789" t="str">
        <x:v>easy</x:v>
      </x:c>
      <x:c r="D1789" s="17" t="str">
        <x:v>next ask before hit/override</x:v>
      </x:c>
      <x:c r="E1789" s="17" t="str">
        <x:v>color</x:v>
      </x:c>
      <x:c r="F1789" s="17" t="str">
        <x:v>no new constraint</x:v>
      </x:c>
      <x:c r="G1789" s="17" t="str"/>
      <x:c r="H1789" s="17" t="str">
        <x:v>I don't have an additional preference for color.</x:v>
      </x:c>
      <x:c r="I1789" s="17" t="str"/>
    </x:row>
    <x:row r="1790">
      <x:c r="A1790" t="str">
        <x:v>public_0157</x:v>
      </x:c>
      <x:c r="B1790" t="str">
        <x:v>buying</x:v>
      </x:c>
      <x:c r="C1790" t="str">
        <x:v>easy</x:v>
      </x:c>
      <x:c r="D1790" s="17" t="str">
        <x:v>next ask before hit/override</x:v>
      </x:c>
      <x:c r="E1790" s="17" t="str">
        <x:v>size</x:v>
      </x:c>
      <x:c r="F1790" s="17" t="str">
        <x:v>no new constraint</x:v>
      </x:c>
      <x:c r="G1790" s="17" t="str"/>
      <x:c r="H1790" s="17" t="str">
        <x:v>I don't have an additional preference for size.</x:v>
      </x:c>
      <x:c r="I1790" s="17" t="str"/>
    </x:row>
    <x:row r="1791">
      <x:c r="A1791" t="str">
        <x:v>public_0157</x:v>
      </x:c>
      <x:c r="B1791" t="str">
        <x:v>buying</x:v>
      </x:c>
      <x:c r="C1791" t="str">
        <x:v>easy</x:v>
      </x:c>
      <x:c r="D1791" s="17" t="str">
        <x:v>next ask before hit/override</x:v>
      </x:c>
      <x:c r="E1791" s="17" t="str">
        <x:v>style</x:v>
      </x:c>
      <x:c r="F1791" s="17" t="str">
        <x:v>no new constraint</x:v>
      </x:c>
      <x:c r="G1791" s="17" t="str"/>
      <x:c r="H1791" s="17" t="str">
        <x:v>I don't have an additional preference for style.</x:v>
      </x:c>
      <x:c r="I1791" s="17" t="str"/>
    </x:row>
    <x:row r="1792">
      <x:c r="A1792" t="str">
        <x:v>public_0157</x:v>
      </x:c>
      <x:c r="B1792" t="str">
        <x:v>buying</x:v>
      </x:c>
      <x:c r="C1792" t="str">
        <x:v>easy</x:v>
      </x:c>
      <x:c r="D1792" s="17" t="str">
        <x:v>next ask before hit/override</x:v>
      </x:c>
      <x:c r="E1792" s="17" t="str">
        <x:v>brand</x:v>
      </x:c>
      <x:c r="F1792" s="17" t="str">
        <x:v>no new constraint</x:v>
      </x:c>
      <x:c r="G1792" s="17" t="str"/>
      <x:c r="H1792" s="17" t="str">
        <x:v>I don't have an additional preference for brand.</x:v>
      </x:c>
      <x:c r="I1792" s="17" t="str"/>
    </x:row>
    <x:row r="1793">
      <x:c r="A1793" t="str">
        <x:v>public_0157</x:v>
      </x:c>
      <x:c r="B1793" t="str">
        <x:v>buying</x:v>
      </x:c>
      <x:c r="C1793" t="str">
        <x:v>easy</x:v>
      </x:c>
      <x:c r="D1793" s="17" t="str">
        <x:v>next ask before hit/override</x:v>
      </x:c>
      <x:c r="E1793" s="17" t="str">
        <x:v>budget</x:v>
      </x:c>
      <x:c r="F1793" s="17" t="str">
        <x:v>no new constraint</x:v>
      </x:c>
      <x:c r="G1793" s="17" t="str"/>
      <x:c r="H1793" s="17" t="str">
        <x:v>I don't have an additional preference for budget.</x:v>
      </x:c>
      <x:c r="I1793" s="17" t="str"/>
    </x:row>
    <x:row r="1794">
      <x:c r="A1794" t="str">
        <x:v>public_0157</x:v>
      </x:c>
      <x:c r="B1794" t="str">
        <x:v>buying</x:v>
      </x:c>
      <x:c r="C1794" t="str">
        <x:v>easy</x:v>
      </x:c>
      <x:c r="D1794" s="17" t="str">
        <x:v>next ask before hit/override</x:v>
      </x:c>
      <x:c r="E1794" s="17" t="str">
        <x:v>feature</x:v>
      </x:c>
      <x:c r="F1794" s="17" t="str">
        <x:v>constraint revealed</x:v>
      </x:c>
      <x:c r="G1794" s="17" t="str">
        <x:v>Rubber sole | Seam-sealed waterproof snow boot featuring plush faux-fur collar, quick bungee lacing, and grippy PEAK snow and ice traction sole</x:v>
      </x:c>
      <x:c r="H1794" s="17" t="str">
        <x:v>For that, what matters is: Rubber sole; Seam-sealed waterproof snow boot featuring plush faux-fur collar, quick bungee lacing, and grippy PEAK snow and ice traction sole.</x:v>
      </x:c>
      <x:c r="I1794" s="17" t="str"/>
    </x:row>
    <x:row r="1795">
      <x:c r="A1795" t="str">
        <x:v>public_0157</x:v>
      </x:c>
      <x:c r="B1795" t="str">
        <x:v>buying</x:v>
      </x:c>
      <x:c r="C1795" t="str">
        <x:v>easy</x:v>
      </x:c>
      <x:c r="D1795" s="17" t="str">
        <x:v>next ask before hit/override</x:v>
      </x:c>
      <x:c r="E1795" s="17" t="str">
        <x:v>use_case</x:v>
      </x:c>
      <x:c r="F1795" s="17" t="str">
        <x:v>no new constraint</x:v>
      </x:c>
      <x:c r="G1795" s="17" t="str"/>
      <x:c r="H1795" s="17" t="str">
        <x:v>I don't have an additional preference for use_case.</x:v>
      </x:c>
      <x:c r="I1795" s="17" t="str"/>
    </x:row>
    <x:row r="1796">
      <x:c r="A1796" t="str">
        <x:v>public_0157</x:v>
      </x:c>
      <x:c r="B1796" t="str">
        <x:v>buying</x:v>
      </x:c>
      <x:c r="C1796" t="str">
        <x:v>easy</x:v>
      </x:c>
      <x:c r="D1796" s="17" t="str">
        <x:v>next ask before hit/override</x:v>
      </x:c>
      <x:c r="E1796" s="17" t="str">
        <x:v>other</x:v>
      </x:c>
      <x:c r="F1796" s="17" t="str">
        <x:v>constraint revealed</x:v>
      </x:c>
      <x:c r="G1796" s="17" t="str">
        <x:v>Nylon | Rubber sole</x:v>
      </x:c>
      <x:c r="H1796" s="17" t="str">
        <x:v>For that, what matters is: Nylon; Rubber sole.</x:v>
      </x:c>
      <x:c r="I1796" s="17" t="str"/>
    </x:row>
    <x:row r="1797">
      <x:c r="A1797" t="str">
        <x:v>public_0157</x:v>
      </x:c>
      <x:c r="B1797" t="str">
        <x:v>buying</x:v>
      </x:c>
      <x:c r="C1797" t="str">
        <x:v>easy</x:v>
      </x:c>
      <x:c r="D1797" s="17" t="str">
        <x:v>next ask before hit/override</x:v>
      </x:c>
      <x:c r="E1797" s="17" t="str">
        <x:v>(no ask_attribute)</x:v>
      </x:c>
      <x:c r="F1797" s="17" t="str">
        <x:v>agent did not ask</x:v>
      </x:c>
      <x:c r="G1797" s="17" t="str"/>
      <x:c r="H1797" s="17" t="str">
        <x:v>Those options are not quite right yet. Ask me about one specific attribute.</x:v>
      </x:c>
      <x:c r="I1797" s="17" t="str"/>
    </x:row>
    <x:row r="1798">
      <x:c r="A1798" t="str">
        <x:v>public_0158</x:v>
      </x:c>
      <x:c r="B1798" t="str">
        <x:v>browsing</x:v>
      </x:c>
      <x:c r="C1798" t="str">
        <x:v>medium</x:v>
      </x:c>
      <x:c r="D1798" s="17" t="str">
        <x:v>next ask before hit/override</x:v>
      </x:c>
      <x:c r="E1798" s="17" t="str">
        <x:v>category</x:v>
      </x:c>
      <x:c r="F1798" s="17" t="str">
        <x:v>no new constraint</x:v>
      </x:c>
      <x:c r="G1798" s="17" t="str"/>
      <x:c r="H1798" s="17" t="str">
        <x:v>I don't have an additional preference for category.</x:v>
      </x:c>
      <x:c r="I1798" s="17" t="str"/>
    </x:row>
    <x:row r="1799">
      <x:c r="A1799" t="str">
        <x:v>public_0158</x:v>
      </x:c>
      <x:c r="B1799" t="str">
        <x:v>browsing</x:v>
      </x:c>
      <x:c r="C1799" t="str">
        <x:v>medium</x:v>
      </x:c>
      <x:c r="D1799" s="17" t="str">
        <x:v>next ask before hit/override</x:v>
      </x:c>
      <x:c r="E1799" s="17" t="str">
        <x:v>material</x:v>
      </x:c>
      <x:c r="F1799" s="17" t="str">
        <x:v>no new constraint</x:v>
      </x:c>
      <x:c r="G1799" s="17" t="str"/>
      <x:c r="H1799" s="17" t="str">
        <x:v>I don't have an additional preference for material.</x:v>
      </x:c>
      <x:c r="I1799" s="17" t="str"/>
    </x:row>
    <x:row r="1800">
      <x:c r="A1800" t="str">
        <x:v>public_0158</x:v>
      </x:c>
      <x:c r="B1800" t="str">
        <x:v>browsing</x:v>
      </x:c>
      <x:c r="C1800" t="str">
        <x:v>medium</x:v>
      </x:c>
      <x:c r="D1800" s="17" t="str">
        <x:v>next ask before hit/override</x:v>
      </x:c>
      <x:c r="E1800" s="17" t="str">
        <x:v>color</x:v>
      </x:c>
      <x:c r="F1800" s="17" t="str">
        <x:v>constraint revealed</x:v>
      </x:c>
      <x:c r="G1800" s="17" t="str">
        <x:v>CreepyParty is an amazon registered brand, more creepy and funny masks, please visit our store</x:v>
      </x:c>
      <x:c r="H1800" s="17" t="str">
        <x:v>For that, what matters is: CreepyParty is an amazon registered brand, more creepy and funny masks, please visit our store.</x:v>
      </x:c>
      <x:c r="I1800" s="17" t="str"/>
    </x:row>
    <x:row r="1801">
      <x:c r="A1801" t="str">
        <x:v>public_0158</x:v>
      </x:c>
      <x:c r="B1801" t="str">
        <x:v>browsing</x:v>
      </x:c>
      <x:c r="C1801" t="str">
        <x:v>medium</x:v>
      </x:c>
      <x:c r="D1801" s="17" t="str">
        <x:v>next ask before hit/override</x:v>
      </x:c>
      <x:c r="E1801" s="17" t="str">
        <x:v>size</x:v>
      </x:c>
      <x:c r="F1801" s="17" t="str">
        <x:v>no new constraint</x:v>
      </x:c>
      <x:c r="G1801" s="17" t="str"/>
      <x:c r="H1801" s="17" t="str">
        <x:v>I don't have an additional preference for size.</x:v>
      </x:c>
      <x:c r="I1801" s="17" t="str"/>
    </x:row>
    <x:row r="1802">
      <x:c r="A1802" t="str">
        <x:v>public_0158</x:v>
      </x:c>
      <x:c r="B1802" t="str">
        <x:v>browsing</x:v>
      </x:c>
      <x:c r="C1802" t="str">
        <x:v>medium</x:v>
      </x:c>
      <x:c r="D1802" s="17" t="str">
        <x:v>next ask before hit/override</x:v>
      </x:c>
      <x:c r="E1802" s="17" t="str">
        <x:v>style</x:v>
      </x:c>
      <x:c r="F1802" s="17" t="str">
        <x:v>constraint revealed</x:v>
      </x:c>
      <x:c r="G1802" s="17" t="str">
        <x:v>Roomy enough to fit any adult.You can see through the nostrils or the mouth</x:v>
      </x:c>
      <x:c r="H1802" s="17" t="str">
        <x:v>For that, what matters is: Roomy enough to fit any adult.You can see through the nostrils or the mouth.</x:v>
      </x:c>
      <x:c r="I1802" s="17" t="str"/>
    </x:row>
    <x:row r="1803">
      <x:c r="A1803" t="str">
        <x:v>public_0158</x:v>
      </x:c>
      <x:c r="B1803" t="str">
        <x:v>browsing</x:v>
      </x:c>
      <x:c r="C1803" t="str">
        <x:v>medium</x:v>
      </x:c>
      <x:c r="D1803" s="17" t="str">
        <x:v>next ask before hit/override</x:v>
      </x:c>
      <x:c r="E1803" s="17" t="str">
        <x:v>brand</x:v>
      </x:c>
      <x:c r="F1803" s="17" t="str">
        <x:v>no new constraint</x:v>
      </x:c>
      <x:c r="G1803" s="17" t="str"/>
      <x:c r="H1803" s="17" t="str">
        <x:v>I don't have an additional preference for brand.</x:v>
      </x:c>
      <x:c r="I1803" s="17" t="str"/>
    </x:row>
    <x:row r="1804">
      <x:c r="A1804" t="str">
        <x:v>public_0158</x:v>
      </x:c>
      <x:c r="B1804" t="str">
        <x:v>browsing</x:v>
      </x:c>
      <x:c r="C1804" t="str">
        <x:v>medium</x:v>
      </x:c>
      <x:c r="D1804" s="17" t="str">
        <x:v>next ask before hit/override</x:v>
      </x:c>
      <x:c r="E1804" s="17" t="str">
        <x:v>budget</x:v>
      </x:c>
      <x:c r="F1804" s="17" t="str">
        <x:v>no new constraint</x:v>
      </x:c>
      <x:c r="G1804" s="17" t="str"/>
      <x:c r="H1804" s="17" t="str">
        <x:v>I don't have an additional preference for budget.</x:v>
      </x:c>
      <x:c r="I1804" s="17" t="str"/>
    </x:row>
    <x:row r="1805">
      <x:c r="A1805" t="str">
        <x:v>public_0158</x:v>
      </x:c>
      <x:c r="B1805" t="str">
        <x:v>browsing</x:v>
      </x:c>
      <x:c r="C1805" t="str">
        <x:v>medium</x:v>
      </x:c>
      <x:c r="D1805" s="17" t="str">
        <x:v>next ask before hit/override</x:v>
      </x:c>
      <x:c r="E1805" s="17" t="str">
        <x:v>feature</x:v>
      </x:c>
      <x:c r="F1805" s="17" t="str">
        <x:v>constraint revealed</x:v>
      </x:c>
      <x:c r="G1805" s="17" t="str">
        <x:v>Made from 100% natural latex, environmental friendly and non-toxic. We offer a range of quality choices with the best price | Perfect for a fun meme, Halloween, Christmas, Easter, Carnival, Costume parties, tag party or simply for going to a night club. It is perfect for so many occasions</x:v>
      </x:c>
      <x:c r="H1805" s="17" t="str">
        <x:v>For that, what matters is: Made from 100% natural latex, environmental friendly and non-toxic. We offer a range of quality choices with the best price; Perfect for a fun meme, Halloween, Christmas, Easter, Carnival, Costume parties, tag party or simply for going to a night club. It is perfect for so many occasions.</x:v>
      </x:c>
      <x:c r="I1805" s="17" t="str"/>
    </x:row>
    <x:row r="1806">
      <x:c r="A1806" t="str">
        <x:v>public_0158</x:v>
      </x:c>
      <x:c r="B1806" t="str">
        <x:v>browsing</x:v>
      </x:c>
      <x:c r="C1806" t="str">
        <x:v>medium</x:v>
      </x:c>
      <x:c r="D1806" s="17" t="str">
        <x:v>next ask before hit/override</x:v>
      </x:c>
      <x:c r="E1806" s="17" t="str">
        <x:v>use_case</x:v>
      </x:c>
      <x:c r="F1806" s="17" t="str">
        <x:v>no new constraint</x:v>
      </x:c>
      <x:c r="G1806" s="17" t="str"/>
      <x:c r="H1806" s="17" t="str">
        <x:v>I don't have an additional preference for use_case.</x:v>
      </x:c>
      <x:c r="I1806" s="17" t="str"/>
    </x:row>
    <x:row r="1807">
      <x:c r="A1807" t="str">
        <x:v>public_0158</x:v>
      </x:c>
      <x:c r="B1807" t="str">
        <x:v>browsing</x:v>
      </x:c>
      <x:c r="C1807" t="str">
        <x:v>medium</x:v>
      </x:c>
      <x:c r="D1807" s="17" t="str">
        <x:v>next ask before hit/override</x:v>
      </x:c>
      <x:c r="E1807" s="17" t="str">
        <x:v>other</x:v>
      </x:c>
      <x:c r="F1807" s="17" t="str">
        <x:v>constraint revealed</x:v>
      </x:c>
      <x:c r="G1807" s="17" t="str">
        <x:v>Roomy enough to fit any adult.You can see through the nostrils or the mouth | Made from 100% natural latex, environmental friendly and non-toxic. We offer a range of quality choices with the best price</x:v>
      </x:c>
      <x:c r="H1807" s="17" t="str">
        <x:v>For that, what matters is: Roomy enough to fit any adult.You can see through the nostrils or the mouth; Made from 100% natural latex, environmental friendly and non-toxic. We offer a range of quality choices with the best price.</x:v>
      </x:c>
      <x:c r="I1807" s="17" t="str"/>
    </x:row>
    <x:row r="1808">
      <x:c r="A1808" t="str">
        <x:v>public_0158</x:v>
      </x:c>
      <x:c r="B1808" t="str">
        <x:v>browsing</x:v>
      </x:c>
      <x:c r="C1808" t="str">
        <x:v>medium</x:v>
      </x:c>
      <x:c r="D1808" s="17" t="str">
        <x:v>next ask before hit/override</x:v>
      </x:c>
      <x:c r="E1808" s="17" t="str">
        <x:v>(no ask_attribute)</x:v>
      </x:c>
      <x:c r="F1808" s="17" t="str">
        <x:v>agent did not ask</x:v>
      </x:c>
      <x:c r="G1808" s="17" t="str"/>
      <x:c r="H1808" s="17" t="str">
        <x:v>Those options are not quite right yet. Ask me about one specific attribute.</x:v>
      </x:c>
      <x:c r="I1808" s="17" t="str"/>
    </x:row>
    <x:row r="1809">
      <x:c r="A1809" t="str">
        <x:v>public_0159</x:v>
      </x:c>
      <x:c r="B1809" t="str">
        <x:v>buying</x:v>
      </x:c>
      <x:c r="C1809" t="str">
        <x:v>easy</x:v>
      </x:c>
      <x:c r="D1809" s="17" t="str">
        <x:v>next ask before hit/override</x:v>
      </x:c>
      <x:c r="E1809" s="17" t="str">
        <x:v>category</x:v>
      </x:c>
      <x:c r="F1809" s="17" t="str">
        <x:v>no new constraint</x:v>
      </x:c>
      <x:c r="G1809" s="17" t="str"/>
      <x:c r="H1809" s="17" t="str">
        <x:v>I don't have an additional preference for category.</x:v>
      </x:c>
      <x:c r="I1809" s="17" t="str"/>
    </x:row>
    <x:row r="1810">
      <x:c r="A1810" t="str">
        <x:v>public_0159</x:v>
      </x:c>
      <x:c r="B1810" t="str">
        <x:v>buying</x:v>
      </x:c>
      <x:c r="C1810" t="str">
        <x:v>easy</x:v>
      </x:c>
      <x:c r="D1810" s="17" t="str">
        <x:v>next ask before hit/override</x:v>
      </x:c>
      <x:c r="E1810" s="17" t="str">
        <x:v>material</x:v>
      </x:c>
      <x:c r="F1810" s="17" t="str">
        <x:v>constraint revealed</x:v>
      </x:c>
      <x:c r="G1810" s="17" t="str">
        <x:v>60% Cotton, 40% Polyester</x:v>
      </x:c>
      <x:c r="H1810" s="17" t="str">
        <x:v>For that, what matters is: 60% Cotton, 40% Polyester.</x:v>
      </x:c>
      <x:c r="I1810" s="17" t="str"/>
    </x:row>
    <x:row r="1811">
      <x:c r="A1811" t="str">
        <x:v>public_0159</x:v>
      </x:c>
      <x:c r="B1811" t="str">
        <x:v>buying</x:v>
      </x:c>
      <x:c r="C1811" t="str">
        <x:v>easy</x:v>
      </x:c>
      <x:c r="D1811" s="17" t="str">
        <x:v>next ask before hit/override</x:v>
      </x:c>
      <x:c r="E1811" s="17" t="str">
        <x:v>color</x:v>
      </x:c>
      <x:c r="F1811" s="17" t="str">
        <x:v>no new constraint</x:v>
      </x:c>
      <x:c r="G1811" s="17" t="str"/>
      <x:c r="H1811" s="17" t="str">
        <x:v>I don't have an additional preference for color.</x:v>
      </x:c>
      <x:c r="I1811" s="17" t="str"/>
    </x:row>
    <x:row r="1812">
      <x:c r="A1812" t="str">
        <x:v>public_0159</x:v>
      </x:c>
      <x:c r="B1812" t="str">
        <x:v>buying</x:v>
      </x:c>
      <x:c r="C1812" t="str">
        <x:v>easy</x:v>
      </x:c>
      <x:c r="D1812" s="17" t="str">
        <x:v>next ask before hit/override</x:v>
      </x:c>
      <x:c r="E1812" s="17" t="str">
        <x:v>size</x:v>
      </x:c>
      <x:c r="F1812" s="17" t="str">
        <x:v>no new constraint</x:v>
      </x:c>
      <x:c r="G1812" s="17" t="str"/>
      <x:c r="H1812" s="17" t="str">
        <x:v>I don't have an additional preference for size.</x:v>
      </x:c>
      <x:c r="I1812" s="17" t="str"/>
    </x:row>
    <x:row r="1813">
      <x:c r="A1813" t="str">
        <x:v>public_0159</x:v>
      </x:c>
      <x:c r="B1813" t="str">
        <x:v>buying</x:v>
      </x:c>
      <x:c r="C1813" t="str">
        <x:v>easy</x:v>
      </x:c>
      <x:c r="D1813" s="17" t="str">
        <x:v>next ask before hit/override</x:v>
      </x:c>
      <x:c r="E1813" s="17" t="str">
        <x:v>style</x:v>
      </x:c>
      <x:c r="F1813" s="17" t="str">
        <x:v>no new constraint</x:v>
      </x:c>
      <x:c r="G1813" s="17" t="str"/>
      <x:c r="H1813" s="17" t="str">
        <x:v>I don't have an additional preference for style.</x:v>
      </x:c>
      <x:c r="I1813" s="17" t="str"/>
    </x:row>
    <x:row r="1814">
      <x:c r="A1814" t="str">
        <x:v>public_0159</x:v>
      </x:c>
      <x:c r="B1814" t="str">
        <x:v>buying</x:v>
      </x:c>
      <x:c r="C1814" t="str">
        <x:v>easy</x:v>
      </x:c>
      <x:c r="D1814" s="17" t="str">
        <x:v>next ask before hit/override</x:v>
      </x:c>
      <x:c r="E1814" s="17" t="str">
        <x:v>brand</x:v>
      </x:c>
      <x:c r="F1814" s="17" t="str">
        <x:v>no new constraint</x:v>
      </x:c>
      <x:c r="G1814" s="17" t="str"/>
      <x:c r="H1814" s="17" t="str">
        <x:v>I don't have an additional preference for brand.</x:v>
      </x:c>
      <x:c r="I1814" s="17" t="str"/>
    </x:row>
    <x:row r="1815">
      <x:c r="A1815" t="str">
        <x:v>public_0159</x:v>
      </x:c>
      <x:c r="B1815" t="str">
        <x:v>buying</x:v>
      </x:c>
      <x:c r="C1815" t="str">
        <x:v>easy</x:v>
      </x:c>
      <x:c r="D1815" s="17" t="str">
        <x:v>next ask before hit/override</x:v>
      </x:c>
      <x:c r="E1815" s="17" t="str">
        <x:v>budget</x:v>
      </x:c>
      <x:c r="F1815" s="17" t="str">
        <x:v>no new constraint</x:v>
      </x:c>
      <x:c r="G1815" s="17" t="str"/>
      <x:c r="H1815" s="17" t="str">
        <x:v>I don't have an additional preference for budget.</x:v>
      </x:c>
      <x:c r="I1815" s="17" t="str"/>
    </x:row>
    <x:row r="1816">
      <x:c r="A1816" t="str">
        <x:v>public_0159</x:v>
      </x:c>
      <x:c r="B1816" t="str">
        <x:v>buying</x:v>
      </x:c>
      <x:c r="C1816" t="str">
        <x:v>easy</x:v>
      </x:c>
      <x:c r="D1816" s="17" t="str">
        <x:v>next ask before hit/override</x:v>
      </x:c>
      <x:c r="E1816" s="17" t="str">
        <x:v>feature</x:v>
      </x:c>
      <x:c r="F1816" s="17" t="str">
        <x:v>constraint revealed</x:v>
      </x:c>
      <x:c r="G1816" s="17" t="str">
        <x:v>Imported | Drawstring closure</x:v>
      </x:c>
      <x:c r="H1816" s="17" t="str">
        <x:v>For that, what matters is: Imported; Drawstring closure.</x:v>
      </x:c>
      <x:c r="I1816" s="17" t="str"/>
    </x:row>
    <x:row r="1817">
      <x:c r="A1817" t="str">
        <x:v>public_0159</x:v>
      </x:c>
      <x:c r="B1817" t="str">
        <x:v>buying</x:v>
      </x:c>
      <x:c r="C1817" t="str">
        <x:v>easy</x:v>
      </x:c>
      <x:c r="D1817" s="17" t="str">
        <x:v>next ask before hit/override</x:v>
      </x:c>
      <x:c r="E1817" s="17" t="str">
        <x:v>use_case</x:v>
      </x:c>
      <x:c r="F1817" s="17" t="str">
        <x:v>no new constraint</x:v>
      </x:c>
      <x:c r="G1817" s="17" t="str"/>
      <x:c r="H1817" s="17" t="str">
        <x:v>I don't have an additional preference for use_case.</x:v>
      </x:c>
      <x:c r="I1817" s="17" t="str"/>
    </x:row>
    <x:row r="1818">
      <x:c r="A1818" t="str">
        <x:v>public_0159</x:v>
      </x:c>
      <x:c r="B1818" t="str">
        <x:v>buying</x:v>
      </x:c>
      <x:c r="C1818" t="str">
        <x:v>easy</x:v>
      </x:c>
      <x:c r="D1818" s="17" t="str">
        <x:v>next ask before hit/override</x:v>
      </x:c>
      <x:c r="E1818" s="17" t="str">
        <x:v>other</x:v>
      </x:c>
      <x:c r="F1818" s="17" t="str">
        <x:v>constraint revealed</x:v>
      </x:c>
      <x:c r="G1818" s="17" t="str">
        <x:v>60% Cotton, 40% Polyester | Imported</x:v>
      </x:c>
      <x:c r="H1818" s="17" t="str">
        <x:v>For that, what matters is: 60% Cotton, 40% Polyester; Imported.</x:v>
      </x:c>
      <x:c r="I1818" s="17" t="str"/>
    </x:row>
    <x:row r="1819">
      <x:c r="A1819" t="str">
        <x:v>public_0159</x:v>
      </x:c>
      <x:c r="B1819" t="str">
        <x:v>buying</x:v>
      </x:c>
      <x:c r="C1819" t="str">
        <x:v>easy</x:v>
      </x:c>
      <x:c r="D1819" s="17" t="str">
        <x:v>next ask before hit/override</x:v>
      </x:c>
      <x:c r="E1819" s="17" t="str">
        <x:v>(no ask_attribute)</x:v>
      </x:c>
      <x:c r="F1819" s="17" t="str">
        <x:v>agent did not ask</x:v>
      </x:c>
      <x:c r="G1819" s="17" t="str"/>
      <x:c r="H1819" s="17" t="str">
        <x:v>Those options are not quite right yet. Ask me about one specific attribute.</x:v>
      </x:c>
      <x:c r="I1819" s="17" t="str"/>
    </x:row>
    <x:row r="1820">
      <x:c r="A1820" t="str">
        <x:v>public_0160</x:v>
      </x:c>
      <x:c r="B1820" t="str">
        <x:v>buying</x:v>
      </x:c>
      <x:c r="C1820" t="str">
        <x:v>easy</x:v>
      </x:c>
      <x:c r="D1820" s="17" t="str">
        <x:v>next ask before hit/override</x:v>
      </x:c>
      <x:c r="E1820" s="17" t="str">
        <x:v>category</x:v>
      </x:c>
      <x:c r="F1820" s="17" t="str">
        <x:v>no new constraint</x:v>
      </x:c>
      <x:c r="G1820" s="17" t="str"/>
      <x:c r="H1820" s="17" t="str">
        <x:v>I don't have an additional preference for category.</x:v>
      </x:c>
      <x:c r="I1820" s="17" t="str"/>
    </x:row>
    <x:row r="1821">
      <x:c r="A1821" t="str">
        <x:v>public_0160</x:v>
      </x:c>
      <x:c r="B1821" t="str">
        <x:v>buying</x:v>
      </x:c>
      <x:c r="C1821" t="str">
        <x:v>easy</x:v>
      </x:c>
      <x:c r="D1821" s="17" t="str">
        <x:v>next ask before hit/override</x:v>
      </x:c>
      <x:c r="E1821" s="17" t="str">
        <x:v>material</x:v>
      </x:c>
      <x:c r="F1821" s="17" t="str">
        <x:v>no new constraint</x:v>
      </x:c>
      <x:c r="G1821" s="17" t="str"/>
      <x:c r="H1821" s="17" t="str">
        <x:v>I don't have an additional preference for material.</x:v>
      </x:c>
      <x:c r="I1821" s="17" t="str"/>
    </x:row>
    <x:row r="1822">
      <x:c r="A1822" t="str">
        <x:v>public_0160</x:v>
      </x:c>
      <x:c r="B1822" t="str">
        <x:v>buying</x:v>
      </x:c>
      <x:c r="C1822" t="str">
        <x:v>easy</x:v>
      </x:c>
      <x:c r="D1822" s="17" t="str">
        <x:v>next ask before hit/override</x:v>
      </x:c>
      <x:c r="E1822" s="17" t="str">
        <x:v>color</x:v>
      </x:c>
      <x:c r="F1822" s="17" t="str">
        <x:v>constraint revealed</x:v>
      </x:c>
      <x:c r="G1822" s="17" t="str">
        <x:v>color: black</x:v>
      </x:c>
      <x:c r="H1822" s="17" t="str">
        <x:v>For that, what matters is: color: black.</x:v>
      </x:c>
      <x:c r="I1822" s="17" t="str"/>
    </x:row>
    <x:row r="1823">
      <x:c r="A1823" t="str">
        <x:v>public_0160</x:v>
      </x:c>
      <x:c r="B1823" t="str">
        <x:v>buying</x:v>
      </x:c>
      <x:c r="C1823" t="str">
        <x:v>easy</x:v>
      </x:c>
      <x:c r="D1823" s="17" t="str">
        <x:v>next ask before hit/override</x:v>
      </x:c>
      <x:c r="E1823" s="17" t="str">
        <x:v>size</x:v>
      </x:c>
      <x:c r="F1823" s="17" t="str">
        <x:v>no new constraint</x:v>
      </x:c>
      <x:c r="G1823" s="17" t="str"/>
      <x:c r="H1823" s="17" t="str">
        <x:v>I don't have an additional preference for size.</x:v>
      </x:c>
      <x:c r="I1823" s="17" t="str"/>
    </x:row>
    <x:row r="1824">
      <x:c r="A1824" t="str">
        <x:v>public_0160</x:v>
      </x:c>
      <x:c r="B1824" t="str">
        <x:v>buying</x:v>
      </x:c>
      <x:c r="C1824" t="str">
        <x:v>easy</x:v>
      </x:c>
      <x:c r="D1824" s="17" t="str">
        <x:v>next ask before hit/override</x:v>
      </x:c>
      <x:c r="E1824" s="17" t="str">
        <x:v>style</x:v>
      </x:c>
      <x:c r="F1824" s="17" t="str">
        <x:v>no new constraint</x:v>
      </x:c>
      <x:c r="G1824" s="17" t="str"/>
      <x:c r="H1824" s="17" t="str">
        <x:v>I don't have an additional preference for style.</x:v>
      </x:c>
      <x:c r="I1824" s="17" t="str"/>
    </x:row>
    <x:row r="1825">
      <x:c r="A1825" t="str">
        <x:v>public_0160</x:v>
      </x:c>
      <x:c r="B1825" t="str">
        <x:v>buying</x:v>
      </x:c>
      <x:c r="C1825" t="str">
        <x:v>easy</x:v>
      </x:c>
      <x:c r="D1825" s="17" t="str">
        <x:v>next ask before hit/override</x:v>
      </x:c>
      <x:c r="E1825" s="17" t="str">
        <x:v>brand</x:v>
      </x:c>
      <x:c r="F1825" s="17" t="str">
        <x:v>no new constraint</x:v>
      </x:c>
      <x:c r="G1825" s="17" t="str"/>
      <x:c r="H1825" s="17" t="str">
        <x:v>I don't have an additional preference for brand.</x:v>
      </x:c>
      <x:c r="I1825" s="17" t="str"/>
    </x:row>
    <x:row r="1826">
      <x:c r="A1826" t="str">
        <x:v>public_0160</x:v>
      </x:c>
      <x:c r="B1826" t="str">
        <x:v>buying</x:v>
      </x:c>
      <x:c r="C1826" t="str">
        <x:v>easy</x:v>
      </x:c>
      <x:c r="D1826" s="17" t="str">
        <x:v>next ask before hit/override</x:v>
      </x:c>
      <x:c r="E1826" s="17" t="str">
        <x:v>budget</x:v>
      </x:c>
      <x:c r="F1826" s="17" t="str">
        <x:v>no new constraint</x:v>
      </x:c>
      <x:c r="G1826" s="17" t="str"/>
      <x:c r="H1826" s="17" t="str">
        <x:v>I don't have an additional preference for budget.</x:v>
      </x:c>
      <x:c r="I1826" s="17" t="str"/>
    </x:row>
    <x:row r="1827">
      <x:c r="A1827" t="str">
        <x:v>public_0160</x:v>
      </x:c>
      <x:c r="B1827" t="str">
        <x:v>buying</x:v>
      </x:c>
      <x:c r="C1827" t="str">
        <x:v>easy</x:v>
      </x:c>
      <x:c r="D1827" s="17" t="str">
        <x:v>next ask before hit/override</x:v>
      </x:c>
      <x:c r="E1827" s="17" t="str">
        <x:v>feature</x:v>
      </x:c>
      <x:c r="F1827" s="17" t="str">
        <x:v>constraint revealed</x:v>
      </x:c>
      <x:c r="G1827" s="17" t="str">
        <x:v>Double zipper pulls make opening/closing simple and fast | Mesh top panel for easy identification of contents, and ventilation</x:v>
      </x:c>
      <x:c r="H1827" s="17" t="str">
        <x:v>For that, what matters is: Double zipper pulls make opening/closing simple and fast; Mesh top panel for easy identification of contents, and ventilation.</x:v>
      </x:c>
      <x:c r="I1827" s="17" t="str"/>
    </x:row>
    <x:row r="1828">
      <x:c r="A1828" t="str">
        <x:v>public_0160</x:v>
      </x:c>
      <x:c r="B1828" t="str">
        <x:v>buying</x:v>
      </x:c>
      <x:c r="C1828" t="str">
        <x:v>easy</x:v>
      </x:c>
      <x:c r="D1828" s="17" t="str">
        <x:v>next ask before hit/override</x:v>
      </x:c>
      <x:c r="E1828" s="17" t="str">
        <x:v>use_case</x:v>
      </x:c>
      <x:c r="F1828" s="17" t="str">
        <x:v>no new constraint</x:v>
      </x:c>
      <x:c r="G1828" s="17" t="str"/>
      <x:c r="H1828" s="17" t="str">
        <x:v>I don't have an additional preference for use_case.</x:v>
      </x:c>
      <x:c r="I1828" s="17" t="str"/>
    </x:row>
    <x:row r="1829">
      <x:c r="A1829" t="str">
        <x:v>public_0160</x:v>
      </x:c>
      <x:c r="B1829" t="str">
        <x:v>buying</x:v>
      </x:c>
      <x:c r="C1829" t="str">
        <x:v>easy</x:v>
      </x:c>
      <x:c r="D1829" s="17" t="str">
        <x:v>next ask before hit/override</x:v>
      </x:c>
      <x:c r="E1829" s="17" t="str">
        <x:v>other</x:v>
      </x:c>
      <x:c r="F1829" s="17" t="str">
        <x:v>constraint revealed</x:v>
      </x:c>
      <x:c r="G1829" s="17" t="str">
        <x:v>color: black | Double zipper pulls make opening/closing simple and fast</x:v>
      </x:c>
      <x:c r="H1829" s="17" t="str">
        <x:v>For that, what matters is: color: black; Double zipper pulls make opening/closing simple and fast.</x:v>
      </x:c>
      <x:c r="I1829" s="17" t="str"/>
    </x:row>
    <x:row r="1830">
      <x:c r="A1830" t="str">
        <x:v>public_0160</x:v>
      </x:c>
      <x:c r="B1830" t="str">
        <x:v>buying</x:v>
      </x:c>
      <x:c r="C1830" t="str">
        <x:v>easy</x:v>
      </x:c>
      <x:c r="D1830" s="17" t="str">
        <x:v>next ask before hit/override</x:v>
      </x:c>
      <x:c r="E1830" s="17" t="str">
        <x:v>(no ask_attribute)</x:v>
      </x:c>
      <x:c r="F1830" s="17" t="str">
        <x:v>agent did not ask</x:v>
      </x:c>
      <x:c r="G1830" s="17" t="str"/>
      <x:c r="H1830" s="17" t="str">
        <x:v>Those options are not quite right yet. Ask me about one specific attribute.</x:v>
      </x:c>
      <x:c r="I1830" s="17" t="str"/>
    </x:row>
    <x:row r="1831">
      <x:c r="A1831" t="str">
        <x:v>public_0161</x:v>
      </x:c>
      <x:c r="B1831" t="str">
        <x:v>buying</x:v>
      </x:c>
      <x:c r="C1831" t="str">
        <x:v>easy</x:v>
      </x:c>
      <x:c r="D1831" s="17" t="str">
        <x:v>next ask before hit/override</x:v>
      </x:c>
      <x:c r="E1831" s="17" t="str">
        <x:v>category</x:v>
      </x:c>
      <x:c r="F1831" s="17" t="str">
        <x:v>no new constraint</x:v>
      </x:c>
      <x:c r="G1831" s="17" t="str"/>
      <x:c r="H1831" s="17" t="str">
        <x:v>I don't have an additional preference for category.</x:v>
      </x:c>
      <x:c r="I1831" s="17" t="str"/>
    </x:row>
    <x:row r="1832">
      <x:c r="A1832" t="str">
        <x:v>public_0161</x:v>
      </x:c>
      <x:c r="B1832" t="str">
        <x:v>buying</x:v>
      </x:c>
      <x:c r="C1832" t="str">
        <x:v>easy</x:v>
      </x:c>
      <x:c r="D1832" s="17" t="str">
        <x:v>next ask before hit/override</x:v>
      </x:c>
      <x:c r="E1832" s="17" t="str">
        <x:v>material</x:v>
      </x:c>
      <x:c r="F1832" s="17" t="str">
        <x:v>constraint revealed</x:v>
      </x:c>
      <x:c r="G1832" s="17" t="str">
        <x:v>cotton blend</x:v>
      </x:c>
      <x:c r="H1832" s="17" t="str">
        <x:v>For that, what matters is: cotton blend.</x:v>
      </x:c>
      <x:c r="I1832" s="17" t="str"/>
    </x:row>
    <x:row r="1833">
      <x:c r="A1833" t="str">
        <x:v>public_0161</x:v>
      </x:c>
      <x:c r="B1833" t="str">
        <x:v>buying</x:v>
      </x:c>
      <x:c r="C1833" t="str">
        <x:v>easy</x:v>
      </x:c>
      <x:c r="D1833" s="17" t="str">
        <x:v>next ask before hit/override</x:v>
      </x:c>
      <x:c r="E1833" s="17" t="str">
        <x:v>color</x:v>
      </x:c>
      <x:c r="F1833" s="17" t="str">
        <x:v>no new constraint</x:v>
      </x:c>
      <x:c r="G1833" s="17" t="str"/>
      <x:c r="H1833" s="17" t="str">
        <x:v>I don't have an additional preference for color.</x:v>
      </x:c>
      <x:c r="I1833" s="17" t="str"/>
    </x:row>
    <x:row r="1834">
      <x:c r="A1834" t="str">
        <x:v>public_0161</x:v>
      </x:c>
      <x:c r="B1834" t="str">
        <x:v>buying</x:v>
      </x:c>
      <x:c r="C1834" t="str">
        <x:v>easy</x:v>
      </x:c>
      <x:c r="D1834" s="17" t="str">
        <x:v>next ask before hit/override</x:v>
      </x:c>
      <x:c r="E1834" s="17" t="str">
        <x:v>size</x:v>
      </x:c>
      <x:c r="F1834" s="17" t="str">
        <x:v>no new constraint</x:v>
      </x:c>
      <x:c r="G1834" s="17" t="str"/>
      <x:c r="H1834" s="17" t="str">
        <x:v>I don't have an additional preference for size.</x:v>
      </x:c>
      <x:c r="I1834" s="17" t="str"/>
    </x:row>
    <x:row r="1835">
      <x:c r="A1835" t="str">
        <x:v>public_0161</x:v>
      </x:c>
      <x:c r="B1835" t="str">
        <x:v>buying</x:v>
      </x:c>
      <x:c r="C1835" t="str">
        <x:v>easy</x:v>
      </x:c>
      <x:c r="D1835" s="17" t="str">
        <x:v>next ask before hit/override</x:v>
      </x:c>
      <x:c r="E1835" s="17" t="str">
        <x:v>style</x:v>
      </x:c>
      <x:c r="F1835" s="17" t="str">
        <x:v>no new constraint</x:v>
      </x:c>
      <x:c r="G1835" s="17" t="str"/>
      <x:c r="H1835" s="17" t="str">
        <x:v>I don't have an additional preference for style.</x:v>
      </x:c>
      <x:c r="I1835" s="17" t="str"/>
    </x:row>
    <x:row r="1836">
      <x:c r="A1836" t="str">
        <x:v>public_0161</x:v>
      </x:c>
      <x:c r="B1836" t="str">
        <x:v>buying</x:v>
      </x:c>
      <x:c r="C1836" t="str">
        <x:v>easy</x:v>
      </x:c>
      <x:c r="D1836" s="17" t="str">
        <x:v>next ask before hit/override</x:v>
      </x:c>
      <x:c r="E1836" s="17" t="str">
        <x:v>brand</x:v>
      </x:c>
      <x:c r="F1836" s="17" t="str">
        <x:v>no new constraint</x:v>
      </x:c>
      <x:c r="G1836" s="17" t="str"/>
      <x:c r="H1836" s="17" t="str">
        <x:v>I don't have an additional preference for brand.</x:v>
      </x:c>
      <x:c r="I1836" s="17" t="str"/>
    </x:row>
    <x:row r="1837">
      <x:c r="A1837" t="str">
        <x:v>public_0161</x:v>
      </x:c>
      <x:c r="B1837" t="str">
        <x:v>buying</x:v>
      </x:c>
      <x:c r="C1837" t="str">
        <x:v>easy</x:v>
      </x:c>
      <x:c r="D1837" s="17" t="str">
        <x:v>next ask before hit/override</x:v>
      </x:c>
      <x:c r="E1837" s="17" t="str">
        <x:v>budget</x:v>
      </x:c>
      <x:c r="F1837" s="17" t="str">
        <x:v>no new constraint</x:v>
      </x:c>
      <x:c r="G1837" s="17" t="str"/>
      <x:c r="H1837" s="17" t="str">
        <x:v>I don't have an additional preference for budget.</x:v>
      </x:c>
      <x:c r="I1837" s="17" t="str"/>
    </x:row>
    <x:row r="1838">
      <x:c r="A1838" t="str">
        <x:v>public_0161</x:v>
      </x:c>
      <x:c r="B1838" t="str">
        <x:v>buying</x:v>
      </x:c>
      <x:c r="C1838" t="str">
        <x:v>easy</x:v>
      </x:c>
      <x:c r="D1838" s="17" t="str">
        <x:v>next ask before hit/override</x:v>
      </x:c>
      <x:c r="E1838" s="17" t="str">
        <x:v>feature</x:v>
      </x:c>
      <x:c r="F1838" s="17" t="str">
        <x:v>constraint revealed</x:v>
      </x:c>
      <x:c r="G1838" s="17" t="str">
        <x:v>Imported | Pull On closure</x:v>
      </x:c>
      <x:c r="H1838" s="17" t="str">
        <x:v>For that, what matters is: Imported; Pull On closure.</x:v>
      </x:c>
      <x:c r="I1838" s="17" t="str"/>
    </x:row>
    <x:row r="1839">
      <x:c r="A1839" t="str">
        <x:v>public_0161</x:v>
      </x:c>
      <x:c r="B1839" t="str">
        <x:v>buying</x:v>
      </x:c>
      <x:c r="C1839" t="str">
        <x:v>easy</x:v>
      </x:c>
      <x:c r="D1839" s="17" t="str">
        <x:v>next ask before hit/override</x:v>
      </x:c>
      <x:c r="E1839" s="17" t="str">
        <x:v>use_case</x:v>
      </x:c>
      <x:c r="F1839" s="17" t="str">
        <x:v>no new constraint</x:v>
      </x:c>
      <x:c r="G1839" s="17" t="str"/>
      <x:c r="H1839" s="17" t="str">
        <x:v>I don't have an additional preference for use_case.</x:v>
      </x:c>
      <x:c r="I1839" s="17" t="str"/>
    </x:row>
    <x:row r="1840">
      <x:c r="A1840" t="str">
        <x:v>public_0161</x:v>
      </x:c>
      <x:c r="B1840" t="str">
        <x:v>buying</x:v>
      </x:c>
      <x:c r="C1840" t="str">
        <x:v>easy</x:v>
      </x:c>
      <x:c r="D1840" s="17" t="str">
        <x:v>next ask before hit/override</x:v>
      </x:c>
      <x:c r="E1840" s="17" t="str">
        <x:v>other</x:v>
      </x:c>
      <x:c r="F1840" s="17" t="str">
        <x:v>constraint revealed</x:v>
      </x:c>
      <x:c r="G1840" s="17" t="str">
        <x:v>cotton blend | Imported</x:v>
      </x:c>
      <x:c r="H1840" s="17" t="str">
        <x:v>For that, what matters is: cotton blend; Imported.</x:v>
      </x:c>
      <x:c r="I1840" s="17" t="str"/>
    </x:row>
    <x:row r="1841">
      <x:c r="A1841" t="str">
        <x:v>public_0161</x:v>
      </x:c>
      <x:c r="B1841" t="str">
        <x:v>buying</x:v>
      </x:c>
      <x:c r="C1841" t="str">
        <x:v>easy</x:v>
      </x:c>
      <x:c r="D1841" s="17" t="str">
        <x:v>next ask before hit/override</x:v>
      </x:c>
      <x:c r="E1841" s="17" t="str">
        <x:v>(no ask_attribute)</x:v>
      </x:c>
      <x:c r="F1841" s="17" t="str">
        <x:v>agent did not ask</x:v>
      </x:c>
      <x:c r="G1841" s="17" t="str"/>
      <x:c r="H1841" s="17" t="str">
        <x:v>Those options are not quite right yet. Ask me about one specific attribute.</x:v>
      </x:c>
      <x:c r="I1841" s="17" t="str"/>
    </x:row>
    <x:row r="1842">
      <x:c r="A1842" t="str">
        <x:v>public_0162</x:v>
      </x:c>
      <x:c r="B1842" t="str">
        <x:v>browsing</x:v>
      </x:c>
      <x:c r="C1842" t="str">
        <x:v>medium</x:v>
      </x:c>
      <x:c r="D1842" s="17" t="str">
        <x:v>next ask before hit/override</x:v>
      </x:c>
      <x:c r="E1842" s="17" t="str">
        <x:v>category</x:v>
      </x:c>
      <x:c r="F1842" s="17" t="str">
        <x:v>no new constraint</x:v>
      </x:c>
      <x:c r="G1842" s="17" t="str"/>
      <x:c r="H1842" s="17" t="str">
        <x:v>I don't have an additional preference for category.</x:v>
      </x:c>
      <x:c r="I1842" s="17" t="str"/>
    </x:row>
    <x:row r="1843">
      <x:c r="A1843" t="str">
        <x:v>public_0162</x:v>
      </x:c>
      <x:c r="B1843" t="str">
        <x:v>browsing</x:v>
      </x:c>
      <x:c r="C1843" t="str">
        <x:v>medium</x:v>
      </x:c>
      <x:c r="D1843" s="17" t="str">
        <x:v>next ask before hit/override</x:v>
      </x:c>
      <x:c r="E1843" s="17" t="str">
        <x:v>material</x:v>
      </x:c>
      <x:c r="F1843" s="17" t="str">
        <x:v>constraint revealed</x:v>
      </x:c>
      <x:c r="G1843" s="17" t="str">
        <x:v>silk</x:v>
      </x:c>
      <x:c r="H1843" s="17" t="str">
        <x:v>For that, what matters is: silk.</x:v>
      </x:c>
      <x:c r="I1843" s="17" t="str"/>
    </x:row>
    <x:row r="1844">
      <x:c r="A1844" t="str">
        <x:v>public_0162</x:v>
      </x:c>
      <x:c r="B1844" t="str">
        <x:v>browsing</x:v>
      </x:c>
      <x:c r="C1844" t="str">
        <x:v>medium</x:v>
      </x:c>
      <x:c r="D1844" s="17" t="str">
        <x:v>next ask before hit/override</x:v>
      </x:c>
      <x:c r="E1844" s="17" t="str">
        <x:v>color</x:v>
      </x:c>
      <x:c r="F1844" s="17" t="str">
        <x:v>no new constraint</x:v>
      </x:c>
      <x:c r="G1844" s="17" t="str"/>
      <x:c r="H1844" s="17" t="str">
        <x:v>I don't have an additional preference for color.</x:v>
      </x:c>
      <x:c r="I1844" s="17" t="str"/>
    </x:row>
    <x:row r="1845">
      <x:c r="A1845" t="str">
        <x:v>public_0162</x:v>
      </x:c>
      <x:c r="B1845" t="str">
        <x:v>browsing</x:v>
      </x:c>
      <x:c r="C1845" t="str">
        <x:v>medium</x:v>
      </x:c>
      <x:c r="D1845" s="17" t="str">
        <x:v>next ask before hit/override</x:v>
      </x:c>
      <x:c r="E1845" s="17" t="str">
        <x:v>size</x:v>
      </x:c>
      <x:c r="F1845" s="17" t="str">
        <x:v>no new constraint</x:v>
      </x:c>
      <x:c r="G1845" s="17" t="str"/>
      <x:c r="H1845" s="17" t="str">
        <x:v>I don't have an additional preference for size.</x:v>
      </x:c>
      <x:c r="I1845" s="17" t="str"/>
    </x:row>
    <x:row r="1846">
      <x:c r="A1846" t="str">
        <x:v>public_0162</x:v>
      </x:c>
      <x:c r="B1846" t="str">
        <x:v>browsing</x:v>
      </x:c>
      <x:c r="C1846" t="str">
        <x:v>medium</x:v>
      </x:c>
      <x:c r="D1846" s="17" t="str">
        <x:v>next ask before hit/override</x:v>
      </x:c>
      <x:c r="E1846" s="17" t="str">
        <x:v>style</x:v>
      </x:c>
      <x:c r="F1846" s="17" t="str">
        <x:v>no new constraint</x:v>
      </x:c>
      <x:c r="G1846" s="17" t="str"/>
      <x:c r="H1846" s="17" t="str">
        <x:v>I don't have an additional preference for style.</x:v>
      </x:c>
      <x:c r="I1846" s="17" t="str"/>
    </x:row>
    <x:row r="1847">
      <x:c r="A1847" t="str">
        <x:v>public_0162</x:v>
      </x:c>
      <x:c r="B1847" t="str">
        <x:v>browsing</x:v>
      </x:c>
      <x:c r="C1847" t="str">
        <x:v>medium</x:v>
      </x:c>
      <x:c r="D1847" s="17" t="str">
        <x:v>next ask before hit/override</x:v>
      </x:c>
      <x:c r="E1847" s="17" t="str">
        <x:v>brand</x:v>
      </x:c>
      <x:c r="F1847" s="17" t="str">
        <x:v>no new constraint</x:v>
      </x:c>
      <x:c r="G1847" s="17" t="str"/>
      <x:c r="H1847" s="17" t="str">
        <x:v>I don't have an additional preference for brand.</x:v>
      </x:c>
      <x:c r="I1847" s="17" t="str"/>
    </x:row>
    <x:row r="1848">
      <x:c r="A1848" t="str">
        <x:v>public_0162</x:v>
      </x:c>
      <x:c r="B1848" t="str">
        <x:v>browsing</x:v>
      </x:c>
      <x:c r="C1848" t="str">
        <x:v>medium</x:v>
      </x:c>
      <x:c r="D1848" s="17" t="str">
        <x:v>next ask before hit/override</x:v>
      </x:c>
      <x:c r="E1848" s="17" t="str">
        <x:v>budget</x:v>
      </x:c>
      <x:c r="F1848" s="17" t="str">
        <x:v>no new constraint</x:v>
      </x:c>
      <x:c r="G1848" s="17" t="str"/>
      <x:c r="H1848" s="17" t="str">
        <x:v>I don't have an additional preference for budget.</x:v>
      </x:c>
      <x:c r="I1848" s="17" t="str"/>
    </x:row>
    <x:row r="1849">
      <x:c r="A1849" t="str">
        <x:v>public_0162</x:v>
      </x:c>
      <x:c r="B1849" t="str">
        <x:v>browsing</x:v>
      </x:c>
      <x:c r="C1849" t="str">
        <x:v>medium</x:v>
      </x:c>
      <x:c r="D1849" s="17" t="str">
        <x:v>next ask before hit/override</x:v>
      </x:c>
      <x:c r="E1849" s="17" t="str">
        <x:v>feature</x:v>
      </x:c>
      <x:c r="F1849" s="17" t="str">
        <x:v>constraint revealed</x:v>
      </x:c>
      <x:c r="G1849" s="17" t="str">
        <x:v>Satin | Imported</x:v>
      </x:c>
      <x:c r="H1849" s="17" t="str">
        <x:v>For that, what matters is: Satin; Imported.</x:v>
      </x:c>
      <x:c r="I1849" s="17" t="str"/>
    </x:row>
    <x:row r="1850">
      <x:c r="A1850" t="str">
        <x:v>public_0162</x:v>
      </x:c>
      <x:c r="B1850" t="str">
        <x:v>browsing</x:v>
      </x:c>
      <x:c r="C1850" t="str">
        <x:v>medium</x:v>
      </x:c>
      <x:c r="D1850" s="17" t="str">
        <x:v>next ask before hit/override</x:v>
      </x:c>
      <x:c r="E1850" s="17" t="str">
        <x:v>use_case</x:v>
      </x:c>
      <x:c r="F1850" s="17" t="str">
        <x:v>no new constraint</x:v>
      </x:c>
      <x:c r="G1850" s="17" t="str"/>
      <x:c r="H1850" s="17" t="str">
        <x:v>I don't have an additional preference for use_case.</x:v>
      </x:c>
      <x:c r="I1850" s="17" t="str"/>
    </x:row>
    <x:row r="1851">
      <x:c r="A1851" t="str">
        <x:v>public_0162</x:v>
      </x:c>
      <x:c r="B1851" t="str">
        <x:v>browsing</x:v>
      </x:c>
      <x:c r="C1851" t="str">
        <x:v>medium</x:v>
      </x:c>
      <x:c r="D1851" s="17" t="str">
        <x:v>next ask before hit/override</x:v>
      </x:c>
      <x:c r="E1851" s="17" t="str">
        <x:v>other</x:v>
      </x:c>
      <x:c r="F1851" s="17" t="str">
        <x:v>constraint revealed</x:v>
      </x:c>
      <x:c r="G1851" s="17" t="str">
        <x:v>silk | Satin</x:v>
      </x:c>
      <x:c r="H1851" s="17" t="str">
        <x:v>For that, what matters is: silk; Satin.</x:v>
      </x:c>
      <x:c r="I1851" s="17" t="str"/>
    </x:row>
    <x:row r="1852">
      <x:c r="A1852" t="str">
        <x:v>public_0162</x:v>
      </x:c>
      <x:c r="B1852" t="str">
        <x:v>browsing</x:v>
      </x:c>
      <x:c r="C1852" t="str">
        <x:v>medium</x:v>
      </x:c>
      <x:c r="D1852" s="17" t="str">
        <x:v>next ask before hit/override</x:v>
      </x:c>
      <x:c r="E1852" s="17" t="str">
        <x:v>(no ask_attribute)</x:v>
      </x:c>
      <x:c r="F1852" s="17" t="str">
        <x:v>agent did not ask</x:v>
      </x:c>
      <x:c r="G1852" s="17" t="str"/>
      <x:c r="H1852" s="17" t="str">
        <x:v>Those options are not quite right yet. Ask me about one specific attribute.</x:v>
      </x:c>
      <x:c r="I1852" s="17" t="str"/>
    </x:row>
    <x:row r="1853">
      <x:c r="A1853" t="str">
        <x:v>public_0163</x:v>
      </x:c>
      <x:c r="B1853" t="str">
        <x:v>buying</x:v>
      </x:c>
      <x:c r="C1853" t="str">
        <x:v>easy</x:v>
      </x:c>
      <x:c r="D1853" s="17" t="str">
        <x:v>next ask before hit/override</x:v>
      </x:c>
      <x:c r="E1853" s="17" t="str">
        <x:v>category</x:v>
      </x:c>
      <x:c r="F1853" s="17" t="str">
        <x:v>no new constraint</x:v>
      </x:c>
      <x:c r="G1853" s="17" t="str"/>
      <x:c r="H1853" s="17" t="str">
        <x:v>I don't have an additional preference for category.</x:v>
      </x:c>
      <x:c r="I1853" s="17" t="str"/>
    </x:row>
    <x:row r="1854">
      <x:c r="A1854" t="str">
        <x:v>public_0163</x:v>
      </x:c>
      <x:c r="B1854" t="str">
        <x:v>buying</x:v>
      </x:c>
      <x:c r="C1854" t="str">
        <x:v>easy</x:v>
      </x:c>
      <x:c r="D1854" s="17" t="str">
        <x:v>next ask before hit/override</x:v>
      </x:c>
      <x:c r="E1854" s="17" t="str">
        <x:v>material</x:v>
      </x:c>
      <x:c r="F1854" s="17" t="str">
        <x:v>constraint revealed</x:v>
      </x:c>
      <x:c r="G1854" s="17" t="str">
        <x:v>1.Mesh Fabric + Air Cushion sole</x:v>
      </x:c>
      <x:c r="H1854" s="17" t="str">
        <x:v>For that, what matters is: 1.Mesh Fabric + Air Cushion sole.</x:v>
      </x:c>
      <x:c r="I1854" s="17" t="str"/>
    </x:row>
    <x:row r="1855">
      <x:c r="A1855" t="str">
        <x:v>public_0163</x:v>
      </x:c>
      <x:c r="B1855" t="str">
        <x:v>buying</x:v>
      </x:c>
      <x:c r="C1855" t="str">
        <x:v>easy</x:v>
      </x:c>
      <x:c r="D1855" s="17" t="str">
        <x:v>next ask before hit/override</x:v>
      </x:c>
      <x:c r="E1855" s="17" t="str">
        <x:v>color</x:v>
      </x:c>
      <x:c r="F1855" s="17" t="str">
        <x:v>no new constraint</x:v>
      </x:c>
      <x:c r="G1855" s="17" t="str"/>
      <x:c r="H1855" s="17" t="str">
        <x:v>I don't have an additional preference for color.</x:v>
      </x:c>
      <x:c r="I1855" s="17" t="str"/>
    </x:row>
    <x:row r="1856">
      <x:c r="A1856" t="str">
        <x:v>public_0163</x:v>
      </x:c>
      <x:c r="B1856" t="str">
        <x:v>buying</x:v>
      </x:c>
      <x:c r="C1856" t="str">
        <x:v>easy</x:v>
      </x:c>
      <x:c r="D1856" s="17" t="str">
        <x:v>next ask before hit/override</x:v>
      </x:c>
      <x:c r="E1856" s="17" t="str">
        <x:v>size</x:v>
      </x:c>
      <x:c r="F1856" s="17" t="str">
        <x:v>no new constraint</x:v>
      </x:c>
      <x:c r="G1856" s="17" t="str"/>
      <x:c r="H1856" s="17" t="str">
        <x:v>I don't have an additional preference for size.</x:v>
      </x:c>
      <x:c r="I1856" s="17" t="str"/>
    </x:row>
    <x:row r="1857">
      <x:c r="A1857" t="str">
        <x:v>public_0163</x:v>
      </x:c>
      <x:c r="B1857" t="str">
        <x:v>buying</x:v>
      </x:c>
      <x:c r="C1857" t="str">
        <x:v>easy</x:v>
      </x:c>
      <x:c r="D1857" s="17" t="str">
        <x:v>next ask before hit/override</x:v>
      </x:c>
      <x:c r="E1857" s="17" t="str">
        <x:v>style</x:v>
      </x:c>
      <x:c r="F1857" s="17" t="str">
        <x:v>no new constraint</x:v>
      </x:c>
      <x:c r="G1857" s="17" t="str"/>
      <x:c r="H1857" s="17" t="str">
        <x:v>I don't have an additional preference for style.</x:v>
      </x:c>
      <x:c r="I1857" s="17" t="str"/>
    </x:row>
    <x:row r="1858">
      <x:c r="A1858" t="str">
        <x:v>public_0163</x:v>
      </x:c>
      <x:c r="B1858" t="str">
        <x:v>buying</x:v>
      </x:c>
      <x:c r="C1858" t="str">
        <x:v>easy</x:v>
      </x:c>
      <x:c r="D1858" s="17" t="str">
        <x:v>next ask before hit/override</x:v>
      </x:c>
      <x:c r="E1858" s="17" t="str">
        <x:v>brand</x:v>
      </x:c>
      <x:c r="F1858" s="17" t="str">
        <x:v>no new constraint</x:v>
      </x:c>
      <x:c r="G1858" s="17" t="str"/>
      <x:c r="H1858" s="17" t="str">
        <x:v>I don't have an additional preference for brand.</x:v>
      </x:c>
      <x:c r="I1858" s="17" t="str"/>
    </x:row>
    <x:row r="1859">
      <x:c r="A1859" t="str">
        <x:v>public_0163</x:v>
      </x:c>
      <x:c r="B1859" t="str">
        <x:v>buying</x:v>
      </x:c>
      <x:c r="C1859" t="str">
        <x:v>easy</x:v>
      </x:c>
      <x:c r="D1859" s="17" t="str">
        <x:v>next ask before hit/override</x:v>
      </x:c>
      <x:c r="E1859" s="17" t="str">
        <x:v>budget</x:v>
      </x:c>
      <x:c r="F1859" s="17" t="str">
        <x:v>no new constraint</x:v>
      </x:c>
      <x:c r="G1859" s="17" t="str"/>
      <x:c r="H1859" s="17" t="str">
        <x:v>I don't have an additional preference for budget.</x:v>
      </x:c>
      <x:c r="I1859" s="17" t="str"/>
    </x:row>
    <x:row r="1860">
      <x:c r="A1860" t="str">
        <x:v>public_0163</x:v>
      </x:c>
      <x:c r="B1860" t="str">
        <x:v>buying</x:v>
      </x:c>
      <x:c r="C1860" t="str">
        <x:v>easy</x:v>
      </x:c>
      <x:c r="D1860" s="17" t="str">
        <x:v>next ask before hit/override</x:v>
      </x:c>
      <x:c r="E1860" s="17" t="str">
        <x:v>feature</x:v>
      </x:c>
      <x:c r="F1860" s="17" t="str">
        <x:v>constraint revealed</x:v>
      </x:c>
      <x:c r="G1860" s="17" t="str">
        <x:v>Rubber sole | 2.Slip-on Design: Slip on design with Elastic Cuff is convenient for user to put on and take off</x:v>
      </x:c>
      <x:c r="H1860" s="17" t="str">
        <x:v>For that, what matters is: Rubber sole; 2.Slip-on Design: Slip on design with Elastic Cuff is convenient for user to put on and take off.</x:v>
      </x:c>
      <x:c r="I1860" s="17" t="str"/>
    </x:row>
    <x:row r="1861">
      <x:c r="A1861" t="str">
        <x:v>public_0163</x:v>
      </x:c>
      <x:c r="B1861" t="str">
        <x:v>buying</x:v>
      </x:c>
      <x:c r="C1861" t="str">
        <x:v>easy</x:v>
      </x:c>
      <x:c r="D1861" s="17" t="str">
        <x:v>next ask before hit/override</x:v>
      </x:c>
      <x:c r="E1861" s="17" t="str">
        <x:v>use_case</x:v>
      </x:c>
      <x:c r="F1861" s="17" t="str">
        <x:v>no new constraint</x:v>
      </x:c>
      <x:c r="G1861" s="17" t="str"/>
      <x:c r="H1861" s="17" t="str">
        <x:v>I don't have an additional preference for use_case.</x:v>
      </x:c>
      <x:c r="I1861" s="17" t="str"/>
    </x:row>
    <x:row r="1862">
      <x:c r="A1862" t="str">
        <x:v>public_0163</x:v>
      </x:c>
      <x:c r="B1862" t="str">
        <x:v>buying</x:v>
      </x:c>
      <x:c r="C1862" t="str">
        <x:v>easy</x:v>
      </x:c>
      <x:c r="D1862" s="17" t="str">
        <x:v>next ask before hit/override</x:v>
      </x:c>
      <x:c r="E1862" s="17" t="str">
        <x:v>other</x:v>
      </x:c>
      <x:c r="F1862" s="17" t="str">
        <x:v>constraint revealed</x:v>
      </x:c>
      <x:c r="G1862" s="17" t="str">
        <x:v>Rubber sole | 1.Mesh Fabric + Air Cushion sole</x:v>
      </x:c>
      <x:c r="H1862" s="17" t="str">
        <x:v>For that, what matters is: Rubber sole; 1.Mesh Fabric + Air Cushion sole.</x:v>
      </x:c>
      <x:c r="I1862" s="17" t="str"/>
    </x:row>
    <x:row r="1863">
      <x:c r="A1863" t="str">
        <x:v>public_0163</x:v>
      </x:c>
      <x:c r="B1863" t="str">
        <x:v>buying</x:v>
      </x:c>
      <x:c r="C1863" t="str">
        <x:v>easy</x:v>
      </x:c>
      <x:c r="D1863" s="17" t="str">
        <x:v>next ask before hit/override</x:v>
      </x:c>
      <x:c r="E1863" s="17" t="str">
        <x:v>(no ask_attribute)</x:v>
      </x:c>
      <x:c r="F1863" s="17" t="str">
        <x:v>agent did not ask</x:v>
      </x:c>
      <x:c r="G1863" s="17" t="str"/>
      <x:c r="H1863" s="17" t="str">
        <x:v>Those options are not quite right yet. Ask me about one specific attribute.</x:v>
      </x:c>
      <x:c r="I1863" s="17" t="str"/>
    </x:row>
    <x:row r="1864">
      <x:c r="A1864" t="str">
        <x:v>public_0164</x:v>
      </x:c>
      <x:c r="B1864" t="str">
        <x:v>browsing</x:v>
      </x:c>
      <x:c r="C1864" t="str">
        <x:v>medium</x:v>
      </x:c>
      <x:c r="D1864" s="17" t="str">
        <x:v>next ask before hit/override</x:v>
      </x:c>
      <x:c r="E1864" s="17" t="str">
        <x:v>category</x:v>
      </x:c>
      <x:c r="F1864" s="17" t="str">
        <x:v>no new constraint</x:v>
      </x:c>
      <x:c r="G1864" s="17" t="str"/>
      <x:c r="H1864" s="17" t="str">
        <x:v>I don't have an additional preference for category.</x:v>
      </x:c>
      <x:c r="I1864" s="17" t="str"/>
    </x:row>
    <x:row r="1865">
      <x:c r="A1865" t="str">
        <x:v>public_0164</x:v>
      </x:c>
      <x:c r="B1865" t="str">
        <x:v>browsing</x:v>
      </x:c>
      <x:c r="C1865" t="str">
        <x:v>medium</x:v>
      </x:c>
      <x:c r="D1865" s="17" t="str">
        <x:v>next ask before hit/override</x:v>
      </x:c>
      <x:c r="E1865" s="17" t="str">
        <x:v>material</x:v>
      </x:c>
      <x:c r="F1865" s="17" t="str">
        <x:v>constraint revealed</x:v>
      </x:c>
      <x:c r="G1865" s="17" t="str">
        <x:v>leather | SWAP IN SECONDS: Quick release spring bars allow you to swap bands in seconds to compliment your wardrobe or mix and match with BARTON's other Leather, Canvas and Silicone quick re</x:v>
      </x:c>
      <x:c r="H1865" s="17" t="str">
        <x:v>For that, what matters is: leather; SWAP IN SECONDS: Quick release spring bars allow you to swap bands in seconds to compliment your wardrobe or mix and match with BARTON's other Leather, Canvas and Silicone quick re.</x:v>
      </x:c>
      <x:c r="I1865" s="17" t="str"/>
    </x:row>
    <x:row r="1866">
      <x:c r="A1866" t="str">
        <x:v>public_0164</x:v>
      </x:c>
      <x:c r="B1866" t="str">
        <x:v>browsing</x:v>
      </x:c>
      <x:c r="C1866" t="str">
        <x:v>medium</x:v>
      </x:c>
      <x:c r="D1866" s="17" t="str">
        <x:v>next ask before hit/override</x:v>
      </x:c>
      <x:c r="E1866" s="17" t="str">
        <x:v>color</x:v>
      </x:c>
      <x:c r="F1866" s="17" t="str">
        <x:v>constraint revealed</x:v>
      </x:c>
      <x:c r="G1866" s="17" t="str">
        <x:v>color: black</x:v>
      </x:c>
      <x:c r="H1866" s="17" t="str">
        <x:v>For that, what matters is: color: black.</x:v>
      </x:c>
      <x:c r="I1866" s="17" t="str"/>
    </x:row>
    <x:row r="1867">
      <x:c r="A1867" t="str">
        <x:v>public_0164</x:v>
      </x:c>
      <x:c r="B1867" t="str">
        <x:v>browsing</x:v>
      </x:c>
      <x:c r="C1867" t="str">
        <x:v>medium</x:v>
      </x:c>
      <x:c r="D1867" s="17" t="str">
        <x:v>next ask before hit/override</x:v>
      </x:c>
      <x:c r="E1867" s="17" t="str">
        <x:v>size</x:v>
      </x:c>
      <x:c r="F1867" s="17" t="str">
        <x:v>no new constraint</x:v>
      </x:c>
      <x:c r="G1867" s="17" t="str"/>
      <x:c r="H1867" s="17" t="str">
        <x:v>I don't have an additional preference for size.</x:v>
      </x:c>
      <x:c r="I1867" s="17" t="str"/>
    </x:row>
    <x:row r="1868">
      <x:c r="A1868" t="str">
        <x:v>public_0164</x:v>
      </x:c>
      <x:c r="B1868" t="str">
        <x:v>browsing</x:v>
      </x:c>
      <x:c r="C1868" t="str">
        <x:v>medium</x:v>
      </x:c>
      <x:c r="D1868" s="17" t="str">
        <x:v>next ask before hit/override</x:v>
      </x:c>
      <x:c r="E1868" s="17" t="str">
        <x:v>style</x:v>
      </x:c>
      <x:c r="F1868" s="17" t="str">
        <x:v>no new constraint</x:v>
      </x:c>
      <x:c r="G1868" s="17" t="str"/>
      <x:c r="H1868" s="17" t="str">
        <x:v>I don't have an additional preference for style.</x:v>
      </x:c>
      <x:c r="I1868" s="17" t="str"/>
    </x:row>
    <x:row r="1869">
      <x:c r="A1869" t="str">
        <x:v>public_0164</x:v>
      </x:c>
      <x:c r="B1869" t="str">
        <x:v>browsing</x:v>
      </x:c>
      <x:c r="C1869" t="str">
        <x:v>medium</x:v>
      </x:c>
      <x:c r="D1869" s="17" t="str">
        <x:v>next ask before hit/override</x:v>
      </x:c>
      <x:c r="E1869" s="17" t="str">
        <x:v>brand</x:v>
      </x:c>
      <x:c r="F1869" s="17" t="str">
        <x:v>no new constraint</x:v>
      </x:c>
      <x:c r="G1869" s="17" t="str"/>
      <x:c r="H1869" s="17" t="str">
        <x:v>I don't have an additional preference for brand.</x:v>
      </x:c>
      <x:c r="I1869" s="17" t="str"/>
    </x:row>
    <x:row r="1870">
      <x:c r="A1870" t="str">
        <x:v>public_0164</x:v>
      </x:c>
      <x:c r="B1870" t="str">
        <x:v>browsing</x:v>
      </x:c>
      <x:c r="C1870" t="str">
        <x:v>medium</x:v>
      </x:c>
      <x:c r="D1870" s="17" t="str">
        <x:v>next ask before hit/override</x:v>
      </x:c>
      <x:c r="E1870" s="17" t="str">
        <x:v>budget</x:v>
      </x:c>
      <x:c r="F1870" s="17" t="str">
        <x:v>no new constraint</x:v>
      </x:c>
      <x:c r="G1870" s="17" t="str"/>
      <x:c r="H1870" s="17" t="str">
        <x:v>I don't have an additional preference for budget.</x:v>
      </x:c>
      <x:c r="I1870" s="17" t="str"/>
    </x:row>
    <x:row r="1871">
      <x:c r="A1871" t="str">
        <x:v>public_0164</x:v>
      </x:c>
      <x:c r="B1871" t="str">
        <x:v>browsing</x:v>
      </x:c>
      <x:c r="C1871" t="str">
        <x:v>medium</x:v>
      </x:c>
      <x:c r="D1871" s="17" t="str">
        <x:v>next ask before hit/override</x:v>
      </x:c>
      <x:c r="E1871" s="17" t="str">
        <x:v>feature</x:v>
      </x:c>
      <x:c r="F1871" s="17" t="str">
        <x:v>constraint revealed</x:v>
      </x:c>
      <x:c r="G1871" s="17" t="str">
        <x:v>Buckle closure</x:v>
      </x:c>
      <x:c r="H1871" s="17" t="str">
        <x:v>For that, what matters is: Buckle closure.</x:v>
      </x:c>
      <x:c r="I1871" s="17" t="str"/>
    </x:row>
    <x:row r="1872">
      <x:c r="A1872" t="str">
        <x:v>public_0164</x:v>
      </x:c>
      <x:c r="B1872" t="str">
        <x:v>browsing</x:v>
      </x:c>
      <x:c r="C1872" t="str">
        <x:v>medium</x:v>
      </x:c>
      <x:c r="D1872" s="17" t="str">
        <x:v>next ask before hit/override</x:v>
      </x:c>
      <x:c r="E1872" s="17" t="str">
        <x:v>use_case</x:v>
      </x:c>
      <x:c r="F1872" s="17" t="str">
        <x:v>no new constraint</x:v>
      </x:c>
      <x:c r="G1872" s="17" t="str"/>
      <x:c r="H1872" s="17" t="str">
        <x:v>I don't have an additional preference for use_case.</x:v>
      </x:c>
      <x:c r="I1872" s="17" t="str"/>
    </x:row>
    <x:row r="1873">
      <x:c r="A1873" t="str">
        <x:v>public_0164</x:v>
      </x:c>
      <x:c r="B1873" t="str">
        <x:v>browsing</x:v>
      </x:c>
      <x:c r="C1873" t="str">
        <x:v>medium</x:v>
      </x:c>
      <x:c r="D1873" s="17" t="str">
        <x:v>next ask before hit/override</x:v>
      </x:c>
      <x:c r="E1873" s="17" t="str">
        <x:v>other</x:v>
      </x:c>
      <x:c r="F1873" s="17" t="str">
        <x:v>constraint revealed</x:v>
      </x:c>
      <x:c r="G1873" s="17" t="str">
        <x:v>leather | color: black</x:v>
      </x:c>
      <x:c r="H1873" s="17" t="str">
        <x:v>For that, what matters is: leather; color: black.</x:v>
      </x:c>
      <x:c r="I1873" s="17" t="str"/>
    </x:row>
    <x:row r="1874">
      <x:c r="A1874" t="str">
        <x:v>public_0164</x:v>
      </x:c>
      <x:c r="B1874" t="str">
        <x:v>browsing</x:v>
      </x:c>
      <x:c r="C1874" t="str">
        <x:v>medium</x:v>
      </x:c>
      <x:c r="D1874" s="17" t="str">
        <x:v>next ask before hit/override</x:v>
      </x:c>
      <x:c r="E1874" s="17" t="str">
        <x:v>(no ask_attribute)</x:v>
      </x:c>
      <x:c r="F1874" s="17" t="str">
        <x:v>agent did not ask</x:v>
      </x:c>
      <x:c r="G1874" s="17" t="str"/>
      <x:c r="H1874" s="17" t="str">
        <x:v>Those options are not quite right yet. Ask me about one specific attribute.</x:v>
      </x:c>
      <x:c r="I1874" s="17" t="str"/>
    </x:row>
    <x:row r="1875">
      <x:c r="A1875" t="str">
        <x:v>public_0165</x:v>
      </x:c>
      <x:c r="B1875" t="str">
        <x:v>buying</x:v>
      </x:c>
      <x:c r="C1875" t="str">
        <x:v>easy</x:v>
      </x:c>
      <x:c r="D1875" s="17" t="str">
        <x:v>next ask before hit/override</x:v>
      </x:c>
      <x:c r="E1875" s="17" t="str">
        <x:v>category</x:v>
      </x:c>
      <x:c r="F1875" s="17" t="str">
        <x:v>no new constraint</x:v>
      </x:c>
      <x:c r="G1875" s="17" t="str"/>
      <x:c r="H1875" s="17" t="str">
        <x:v>I don't have an additional preference for category.</x:v>
      </x:c>
      <x:c r="I1875" s="17" t="str"/>
    </x:row>
    <x:row r="1876">
      <x:c r="A1876" t="str">
        <x:v>public_0165</x:v>
      </x:c>
      <x:c r="B1876" t="str">
        <x:v>buying</x:v>
      </x:c>
      <x:c r="C1876" t="str">
        <x:v>easy</x:v>
      </x:c>
      <x:c r="D1876" s="17" t="str">
        <x:v>next ask before hit/override</x:v>
      </x:c>
      <x:c r="E1876" s="17" t="str">
        <x:v>material</x:v>
      </x:c>
      <x:c r="F1876" s="17" t="str">
        <x:v>constraint revealed</x:v>
      </x:c>
      <x:c r="G1876" s="17" t="str">
        <x:v>Watch Band Material: Made of good quality crazy-horse leather, they are durable that they may take some breaking in when you first start get them. But once you start wearing them,</x:v>
      </x:c>
      <x:c r="H1876" s="17" t="str">
        <x:v>For that, what matters is: Watch Band Material: Made of good quality crazy-horse leather, they are durable that they may take some breaking in when you first start get them. But once you start wearing them,.</x:v>
      </x:c>
      <x:c r="I1876" s="17" t="str"/>
    </x:row>
    <x:row r="1877">
      <x:c r="A1877" t="str">
        <x:v>public_0165</x:v>
      </x:c>
      <x:c r="B1877" t="str">
        <x:v>buying</x:v>
      </x:c>
      <x:c r="C1877" t="str">
        <x:v>easy</x:v>
      </x:c>
      <x:c r="D1877" s="17" t="str">
        <x:v>next ask before hit/override</x:v>
      </x:c>
      <x:c r="E1877" s="17" t="str">
        <x:v>color</x:v>
      </x:c>
      <x:c r="F1877" s="17" t="str">
        <x:v>no new constraint</x:v>
      </x:c>
      <x:c r="G1877" s="17" t="str"/>
      <x:c r="H1877" s="17" t="str">
        <x:v>I don't have an additional preference for color.</x:v>
      </x:c>
      <x:c r="I1877" s="17" t="str"/>
    </x:row>
    <x:row r="1878">
      <x:c r="A1878" t="str">
        <x:v>public_0165</x:v>
      </x:c>
      <x:c r="B1878" t="str">
        <x:v>buying</x:v>
      </x:c>
      <x:c r="C1878" t="str">
        <x:v>easy</x:v>
      </x:c>
      <x:c r="D1878" s="17" t="str">
        <x:v>next ask before hit/override</x:v>
      </x:c>
      <x:c r="E1878" s="17" t="str">
        <x:v>size</x:v>
      </x:c>
      <x:c r="F1878" s="17" t="str">
        <x:v>constraint revealed</x:v>
      </x:c>
      <x:c r="G1878" s="17" t="str">
        <x:v>Available Size (Band Width): 14mm, 16mm, 18mm, 19mm, 20mm, 21mm, 22mm, 23mm, 24mm. Designed to fit most traditional watches and smart watches. In order to get a suitable strap, ple</x:v>
      </x:c>
      <x:c r="H1878" s="17" t="str">
        <x:v>For that, what matters is: Available Size (Band Width): 14mm, 16mm, 18mm, 19mm, 20mm, 21mm, 22mm, 23mm, 24mm. Designed to fit most traditional watches and smart watches. In order to get a suitable strap, ple.</x:v>
      </x:c>
      <x:c r="I1878" s="17" t="str"/>
    </x:row>
    <x:row r="1879">
      <x:c r="A1879" t="str">
        <x:v>public_0165</x:v>
      </x:c>
      <x:c r="B1879" t="str">
        <x:v>buying</x:v>
      </x:c>
      <x:c r="C1879" t="str">
        <x:v>easy</x:v>
      </x:c>
      <x:c r="D1879" s="17" t="str">
        <x:v>next ask before hit/override</x:v>
      </x:c>
      <x:c r="E1879" s="17" t="str">
        <x:v>style</x:v>
      </x:c>
      <x:c r="F1879" s="17" t="str">
        <x:v>no new constraint</x:v>
      </x:c>
      <x:c r="G1879" s="17" t="str"/>
      <x:c r="H1879" s="17" t="str">
        <x:v>I don't have an additional preference for style.</x:v>
      </x:c>
      <x:c r="I1879" s="17" t="str"/>
    </x:row>
    <x:row r="1880">
      <x:c r="A1880" t="str">
        <x:v>public_0165</x:v>
      </x:c>
      <x:c r="B1880" t="str">
        <x:v>buying</x:v>
      </x:c>
      <x:c r="C1880" t="str">
        <x:v>easy</x:v>
      </x:c>
      <x:c r="D1880" s="17" t="str">
        <x:v>next ask before hit/override</x:v>
      </x:c>
      <x:c r="E1880" s="17" t="str">
        <x:v>brand</x:v>
      </x:c>
      <x:c r="F1880" s="17" t="str">
        <x:v>no new constraint</x:v>
      </x:c>
      <x:c r="G1880" s="17" t="str"/>
      <x:c r="H1880" s="17" t="str">
        <x:v>I don't have an additional preference for brand.</x:v>
      </x:c>
      <x:c r="I1880" s="17" t="str"/>
    </x:row>
    <x:row r="1881">
      <x:c r="A1881" t="str">
        <x:v>public_0165</x:v>
      </x:c>
      <x:c r="B1881" t="str">
        <x:v>buying</x:v>
      </x:c>
      <x:c r="C1881" t="str">
        <x:v>easy</x:v>
      </x:c>
      <x:c r="D1881" s="17" t="str">
        <x:v>next ask before hit/override</x:v>
      </x:c>
      <x:c r="E1881" s="17" t="str">
        <x:v>budget</x:v>
      </x:c>
      <x:c r="F1881" s="17" t="str">
        <x:v>no new constraint</x:v>
      </x:c>
      <x:c r="G1881" s="17" t="str"/>
      <x:c r="H1881" s="17" t="str">
        <x:v>I don't have an additional preference for budget.</x:v>
      </x:c>
      <x:c r="I1881" s="17" t="str"/>
    </x:row>
    <x:row r="1882">
      <x:c r="A1882" t="str">
        <x:v>public_0165</x:v>
      </x:c>
      <x:c r="B1882" t="str">
        <x:v>buying</x:v>
      </x:c>
      <x:c r="C1882" t="str">
        <x:v>easy</x:v>
      </x:c>
      <x:c r="D1882" s="17" t="str">
        <x:v>next ask before hit/override</x:v>
      </x:c>
      <x:c r="E1882" s="17" t="str">
        <x:v>feature</x:v>
      </x:c>
      <x:c r="F1882" s="17" t="str">
        <x:v>constraint revealed</x:v>
      </x:c>
      <x:c r="G1882" s="17" t="str">
        <x:v>Vintage Design: Equipped with classic buckle, neat stitching and proper padding, creating a simple yet charming look, adding a retro vibe to any occasion. Please avoid soaking the</x:v>
      </x:c>
      <x:c r="H1882" s="17" t="str">
        <x:v>For that, what matters is: Vintage Design: Equipped with classic buckle, neat stitching and proper padding, creating a simple yet charming look, adding a retro vibe to any occasion. Please avoid soaking the.</x:v>
      </x:c>
      <x:c r="I1882" s="17" t="str"/>
    </x:row>
    <x:row r="1883">
      <x:c r="A1883" t="str">
        <x:v>public_0165</x:v>
      </x:c>
      <x:c r="B1883" t="str">
        <x:v>buying</x:v>
      </x:c>
      <x:c r="C1883" t="str">
        <x:v>easy</x:v>
      </x:c>
      <x:c r="D1883" s="17" t="str">
        <x:v>next ask before hit/override</x:v>
      </x:c>
      <x:c r="E1883" s="17" t="str">
        <x:v>use_case</x:v>
      </x:c>
      <x:c r="F1883" s="17" t="str">
        <x:v>no new constraint</x:v>
      </x:c>
      <x:c r="G1883" s="17" t="str"/>
      <x:c r="H1883" s="17" t="str">
        <x:v>I don't have an additional preference for use_case.</x:v>
      </x:c>
      <x:c r="I1883" s="17" t="str"/>
    </x:row>
    <x:row r="1884">
      <x:c r="A1884" t="str">
        <x:v>public_0165</x:v>
      </x:c>
      <x:c r="B1884" t="str">
        <x:v>buying</x:v>
      </x:c>
      <x:c r="C1884" t="str">
        <x:v>easy</x:v>
      </x:c>
      <x:c r="D1884" s="17" t="str">
        <x:v>next ask before hit/override</x:v>
      </x:c>
      <x:c r="E1884" s="17" t="str">
        <x:v>other</x:v>
      </x:c>
      <x:c r="F1884" s="17" t="str">
        <x:v>constraint revealed</x:v>
      </x:c>
      <x:c r="G1884" s="17" t="str">
        <x:v>Watch Band Material: Made of good quality crazy-horse leather, they are durable that they may take some breaking in when you first start get them. But once you start wearing them, | Vintage Design: Equipped with classic buckle, neat stitching and proper padding, creating a simple yet charming look, adding a retro vibe to any occasion. Please avoid soaking the</x:v>
      </x:c>
      <x:c r="H1884" s="17" t="str">
        <x:v>For that, what matters is: Watch Band Material: Made of good quality crazy-horse leather, they are durable that they may take some breaking in when you first start get them. But once you start wearing them,; Vintage Design: Equipped with classic buckle, neat stitching and proper padding, creating a simple yet charming look, adding a retro vibe to any occasion. Please avoid soaking the.</x:v>
      </x:c>
      <x:c r="I1884" s="17" t="str"/>
    </x:row>
    <x:row r="1885">
      <x:c r="A1885" t="str">
        <x:v>public_0165</x:v>
      </x:c>
      <x:c r="B1885" t="str">
        <x:v>buying</x:v>
      </x:c>
      <x:c r="C1885" t="str">
        <x:v>easy</x:v>
      </x:c>
      <x:c r="D1885" s="17" t="str">
        <x:v>next ask before hit/override</x:v>
      </x:c>
      <x:c r="E1885" s="17" t="str">
        <x:v>(no ask_attribute)</x:v>
      </x:c>
      <x:c r="F1885" s="17" t="str">
        <x:v>agent did not ask</x:v>
      </x:c>
      <x:c r="G1885" s="17" t="str"/>
      <x:c r="H1885" s="17" t="str">
        <x:v>Those options are not quite right yet. Ask me about one specific attribute.</x:v>
      </x:c>
      <x:c r="I1885" s="17" t="str"/>
    </x:row>
    <x:row r="1886">
      <x:c r="A1886" t="str">
        <x:v>public_0166</x:v>
      </x:c>
      <x:c r="B1886" t="str">
        <x:v>intent_override</x:v>
      </x:c>
      <x:c r="C1886" t="str">
        <x:v>hard</x:v>
      </x:c>
      <x:c r="D1886" s="17" t="str">
        <x:v>next ask before hit/override</x:v>
      </x:c>
      <x:c r="E1886" s="17" t="str">
        <x:v>category</x:v>
      </x:c>
      <x:c r="F1886" s="17" t="str">
        <x:v>no new constraint</x:v>
      </x:c>
      <x:c r="G1886" s="17" t="str"/>
      <x:c r="H1886" s="17" t="str">
        <x:v>I don't have an additional preference for category.</x:v>
      </x:c>
      <x:c r="I1886" s="17" t="str">
        <x:v>Override message occurs automatically on turn 3 or 4 before this reply when scheduled.</x:v>
      </x:c>
    </x:row>
    <x:row r="1887">
      <x:c r="A1887" t="str">
        <x:v>public_0166</x:v>
      </x:c>
      <x:c r="B1887" t="str">
        <x:v>intent_override</x:v>
      </x:c>
      <x:c r="C1887" t="str">
        <x:v>hard</x:v>
      </x:c>
      <x:c r="D1887" s="17" t="str">
        <x:v>next ask before hit/override</x:v>
      </x:c>
      <x:c r="E1887" s="17" t="str">
        <x:v>material</x:v>
      </x:c>
      <x:c r="F1887" s="17" t="str">
        <x:v>no new constraint</x:v>
      </x:c>
      <x:c r="G1887" s="17" t="str"/>
      <x:c r="H1887" s="17" t="str">
        <x:v>I don't have an additional preference for material.</x:v>
      </x:c>
      <x:c r="I1887" s="17" t="str">
        <x:v>Override message occurs automatically on turn 3 or 4 before this reply when scheduled.</x:v>
      </x:c>
    </x:row>
    <x:row r="1888">
      <x:c r="A1888" t="str">
        <x:v>public_0166</x:v>
      </x:c>
      <x:c r="B1888" t="str">
        <x:v>intent_override</x:v>
      </x:c>
      <x:c r="C1888" t="str">
        <x:v>hard</x:v>
      </x:c>
      <x:c r="D1888" s="17" t="str">
        <x:v>next ask before hit/override</x:v>
      </x:c>
      <x:c r="E1888" s="17" t="str">
        <x:v>color</x:v>
      </x:c>
      <x:c r="F1888" s="17" t="str">
        <x:v>constraint revealed</x:v>
      </x:c>
      <x:c r="G1888" s="17" t="str">
        <x:v>color: black</x:v>
      </x:c>
      <x:c r="H1888" s="17" t="str">
        <x:v>For that, what matters is: color: black.</x:v>
      </x:c>
      <x:c r="I1888" s="17" t="str">
        <x:v>Override message occurs automatically on turn 3 or 4 before this reply when scheduled.</x:v>
      </x:c>
    </x:row>
    <x:row r="1889">
      <x:c r="A1889" t="str">
        <x:v>public_0166</x:v>
      </x:c>
      <x:c r="B1889" t="str">
        <x:v>intent_override</x:v>
      </x:c>
      <x:c r="C1889" t="str">
        <x:v>hard</x:v>
      </x:c>
      <x:c r="D1889" s="17" t="str">
        <x:v>next ask before hit/override</x:v>
      </x:c>
      <x:c r="E1889" s="17" t="str">
        <x:v>size</x:v>
      </x:c>
      <x:c r="F1889" s="17" t="str">
        <x:v>no new constraint</x:v>
      </x:c>
      <x:c r="G1889" s="17" t="str"/>
      <x:c r="H1889" s="17" t="str">
        <x:v>I don't have an additional preference for size.</x:v>
      </x:c>
      <x:c r="I1889" s="17" t="str">
        <x:v>Override message occurs automatically on turn 3 or 4 before this reply when scheduled.</x:v>
      </x:c>
    </x:row>
    <x:row r="1890">
      <x:c r="A1890" t="str">
        <x:v>public_0166</x:v>
      </x:c>
      <x:c r="B1890" t="str">
        <x:v>intent_override</x:v>
      </x:c>
      <x:c r="C1890" t="str">
        <x:v>hard</x:v>
      </x:c>
      <x:c r="D1890" s="17" t="str">
        <x:v>next ask before hit/override</x:v>
      </x:c>
      <x:c r="E1890" s="17" t="str">
        <x:v>style</x:v>
      </x:c>
      <x:c r="F1890" s="17" t="str">
        <x:v>no new constraint</x:v>
      </x:c>
      <x:c r="G1890" s="17" t="str"/>
      <x:c r="H1890" s="17" t="str">
        <x:v>I don't have an additional preference for style.</x:v>
      </x:c>
      <x:c r="I1890" s="17" t="str">
        <x:v>Override message occurs automatically on turn 3 or 4 before this reply when scheduled.</x:v>
      </x:c>
    </x:row>
    <x:row r="1891">
      <x:c r="A1891" t="str">
        <x:v>public_0166</x:v>
      </x:c>
      <x:c r="B1891" t="str">
        <x:v>intent_override</x:v>
      </x:c>
      <x:c r="C1891" t="str">
        <x:v>hard</x:v>
      </x:c>
      <x:c r="D1891" s="17" t="str">
        <x:v>next ask before hit/override</x:v>
      </x:c>
      <x:c r="E1891" s="17" t="str">
        <x:v>brand</x:v>
      </x:c>
      <x:c r="F1891" s="17" t="str">
        <x:v>no new constraint</x:v>
      </x:c>
      <x:c r="G1891" s="17" t="str"/>
      <x:c r="H1891" s="17" t="str">
        <x:v>I don't have an additional preference for brand.</x:v>
      </x:c>
      <x:c r="I1891" s="17" t="str">
        <x:v>Override message occurs automatically on turn 3 or 4 before this reply when scheduled.</x:v>
      </x:c>
    </x:row>
    <x:row r="1892">
      <x:c r="A1892" t="str">
        <x:v>public_0166</x:v>
      </x:c>
      <x:c r="B1892" t="str">
        <x:v>intent_override</x:v>
      </x:c>
      <x:c r="C1892" t="str">
        <x:v>hard</x:v>
      </x:c>
      <x:c r="D1892" s="17" t="str">
        <x:v>next ask before hit/override</x:v>
      </x:c>
      <x:c r="E1892" s="17" t="str">
        <x:v>budget</x:v>
      </x:c>
      <x:c r="F1892" s="17" t="str">
        <x:v>no new constraint</x:v>
      </x:c>
      <x:c r="G1892" s="17" t="str"/>
      <x:c r="H1892" s="17" t="str">
        <x:v>I don't have an additional preference for budget.</x:v>
      </x:c>
      <x:c r="I1892" s="17" t="str">
        <x:v>Override message occurs automatically on turn 3 or 4 before this reply when scheduled.</x:v>
      </x:c>
    </x:row>
    <x:row r="1893">
      <x:c r="A1893" t="str">
        <x:v>public_0166</x:v>
      </x:c>
      <x:c r="B1893" t="str">
        <x:v>intent_override</x:v>
      </x:c>
      <x:c r="C1893" t="str">
        <x:v>hard</x:v>
      </x:c>
      <x:c r="D1893" s="17" t="str">
        <x:v>next ask before hit/override</x:v>
      </x:c>
      <x:c r="E1893" s="17" t="str">
        <x:v>feature</x:v>
      </x:c>
      <x:c r="F1893" s="17" t="str">
        <x:v>constraint revealed</x:v>
      </x:c>
      <x:c r="G1893" s="17" t="str">
        <x:v>Lightweight and breathable mesh lining keeps feet well ventilated for long-wearing dryness; comfort rated from subfreezing to 65 °F/18 °C | Women's-specific last is designed to match the contours of women's feet</x:v>
      </x:c>
      <x:c r="H1893" s="17" t="str">
        <x:v>For that, what matters is: Lightweight and breathable mesh lining keeps feet well ventilated for long-wearing dryness; comfort rated from subfreezing to 65 °F/18 °C; Women's-specific last is designed to match the contours of women's feet.</x:v>
      </x:c>
      <x:c r="I1893" s="17" t="str">
        <x:v>Override message occurs automatically on turn 3 or 4 before this reply when scheduled.</x:v>
      </x:c>
    </x:row>
    <x:row r="1894">
      <x:c r="A1894" t="str">
        <x:v>public_0166</x:v>
      </x:c>
      <x:c r="B1894" t="str">
        <x:v>intent_override</x:v>
      </x:c>
      <x:c r="C1894" t="str">
        <x:v>hard</x:v>
      </x:c>
      <x:c r="D1894" s="17" t="str">
        <x:v>next ask before hit/override</x:v>
      </x:c>
      <x:c r="E1894" s="17" t="str">
        <x:v>use_case</x:v>
      </x:c>
      <x:c r="F1894" s="17" t="str">
        <x:v>constraint revealed</x:v>
      </x:c>
      <x:c r="G1894" s="17" t="str">
        <x:v>100% waterproof women's boots are suitable for any season and any outdoor activity</x:v>
      </x:c>
      <x:c r="H1894" s="17" t="str">
        <x:v>For that, what matters is: 100% waterproof women's boots are suitable for any season and any outdoor activity.</x:v>
      </x:c>
      <x:c r="I1894" s="17" t="str">
        <x:v>Override message occurs automatically on turn 3 or 4 before this reply when scheduled.</x:v>
      </x:c>
    </x:row>
    <x:row r="1895">
      <x:c r="A1895" t="str">
        <x:v>public_0166</x:v>
      </x:c>
      <x:c r="B1895" t="str">
        <x:v>intent_override</x:v>
      </x:c>
      <x:c r="C1895" t="str">
        <x:v>hard</x:v>
      </x:c>
      <x:c r="D1895" s="17" t="str">
        <x:v>next ask before hit/override</x:v>
      </x:c>
      <x:c r="E1895" s="17" t="str">
        <x:v>other</x:v>
      </x:c>
      <x:c r="F1895" s="17" t="str">
        <x:v>constraint revealed</x:v>
      </x:c>
      <x:c r="G1895" s="17" t="str">
        <x:v>100% waterproof women's boots are suitable for any season and any outdoor activity | color: black</x:v>
      </x:c>
      <x:c r="H1895" s="17" t="str">
        <x:v>For that, what matters is: 100% waterproof women's boots are suitable for any season and any outdoor activity; color: black.</x:v>
      </x:c>
      <x:c r="I1895" s="17" t="str">
        <x:v>Override message occurs automatically on turn 3 or 4 before this reply when scheduled.</x:v>
      </x:c>
    </x:row>
    <x:row r="1896">
      <x:c r="A1896" t="str">
        <x:v>public_0166</x:v>
      </x:c>
      <x:c r="B1896" t="str">
        <x:v>intent_override</x:v>
      </x:c>
      <x:c r="C1896" t="str">
        <x:v>hard</x:v>
      </x:c>
      <x:c r="D1896" s="17" t="str">
        <x:v>next ask before hit/override</x:v>
      </x:c>
      <x:c r="E1896" s="17" t="str">
        <x:v>(no ask_attribute)</x:v>
      </x:c>
      <x:c r="F1896" s="17" t="str">
        <x:v>agent did not ask</x:v>
      </x:c>
      <x:c r="G1896" s="17" t="str"/>
      <x:c r="H1896" s="17" t="str">
        <x:v>Those options are not quite right yet. Ask me about one specific attribute.</x:v>
      </x:c>
      <x:c r="I1896" s="17" t="str">
        <x:v>Override message occurs automatically on turn 3 or 4 before this reply when scheduled.</x:v>
      </x:c>
    </x:row>
    <x:row r="1897">
      <x:c r="A1897" t="str">
        <x:v>public_0167</x:v>
      </x:c>
      <x:c r="B1897" t="str">
        <x:v>browsing</x:v>
      </x:c>
      <x:c r="C1897" t="str">
        <x:v>medium</x:v>
      </x:c>
      <x:c r="D1897" s="17" t="str">
        <x:v>next ask before hit/override</x:v>
      </x:c>
      <x:c r="E1897" s="17" t="str">
        <x:v>category</x:v>
      </x:c>
      <x:c r="F1897" s="17" t="str">
        <x:v>no new constraint</x:v>
      </x:c>
      <x:c r="G1897" s="17" t="str"/>
      <x:c r="H1897" s="17" t="str">
        <x:v>I don't have an additional preference for category.</x:v>
      </x:c>
      <x:c r="I1897" s="17" t="str"/>
    </x:row>
    <x:row r="1898">
      <x:c r="A1898" t="str">
        <x:v>public_0167</x:v>
      </x:c>
      <x:c r="B1898" t="str">
        <x:v>browsing</x:v>
      </x:c>
      <x:c r="C1898" t="str">
        <x:v>medium</x:v>
      </x:c>
      <x:c r="D1898" s="17" t="str">
        <x:v>next ask before hit/override</x:v>
      </x:c>
      <x:c r="E1898" s="17" t="str">
        <x:v>material</x:v>
      </x:c>
      <x:c r="F1898" s="17" t="str">
        <x:v>no new constraint</x:v>
      </x:c>
      <x:c r="G1898" s="17" t="str"/>
      <x:c r="H1898" s="17" t="str">
        <x:v>I don't have an additional preference for material.</x:v>
      </x:c>
      <x:c r="I1898" s="17" t="str"/>
    </x:row>
    <x:row r="1899">
      <x:c r="A1899" t="str">
        <x:v>public_0167</x:v>
      </x:c>
      <x:c r="B1899" t="str">
        <x:v>browsing</x:v>
      </x:c>
      <x:c r="C1899" t="str">
        <x:v>medium</x:v>
      </x:c>
      <x:c r="D1899" s="17" t="str">
        <x:v>next ask before hit/override</x:v>
      </x:c>
      <x:c r="E1899" s="17" t="str">
        <x:v>color</x:v>
      </x:c>
      <x:c r="F1899" s="17" t="str">
        <x:v>no new constraint</x:v>
      </x:c>
      <x:c r="G1899" s="17" t="str"/>
      <x:c r="H1899" s="17" t="str">
        <x:v>I don't have an additional preference for color.</x:v>
      </x:c>
      <x:c r="I1899" s="17" t="str"/>
    </x:row>
    <x:row r="1900">
      <x:c r="A1900" t="str">
        <x:v>public_0167</x:v>
      </x:c>
      <x:c r="B1900" t="str">
        <x:v>browsing</x:v>
      </x:c>
      <x:c r="C1900" t="str">
        <x:v>medium</x:v>
      </x:c>
      <x:c r="D1900" s="17" t="str">
        <x:v>next ask before hit/override</x:v>
      </x:c>
      <x:c r="E1900" s="17" t="str">
        <x:v>size</x:v>
      </x:c>
      <x:c r="F1900" s="17" t="str">
        <x:v>no new constraint</x:v>
      </x:c>
      <x:c r="G1900" s="17" t="str"/>
      <x:c r="H1900" s="17" t="str">
        <x:v>I don't have an additional preference for size.</x:v>
      </x:c>
      <x:c r="I1900" s="17" t="str"/>
    </x:row>
    <x:row r="1901">
      <x:c r="A1901" t="str">
        <x:v>public_0167</x:v>
      </x:c>
      <x:c r="B1901" t="str">
        <x:v>browsing</x:v>
      </x:c>
      <x:c r="C1901" t="str">
        <x:v>medium</x:v>
      </x:c>
      <x:c r="D1901" s="17" t="str">
        <x:v>next ask before hit/override</x:v>
      </x:c>
      <x:c r="E1901" s="17" t="str">
        <x:v>style</x:v>
      </x:c>
      <x:c r="F1901" s="17" t="str">
        <x:v>no new constraint</x:v>
      </x:c>
      <x:c r="G1901" s="17" t="str"/>
      <x:c r="H1901" s="17" t="str">
        <x:v>I don't have an additional preference for style.</x:v>
      </x:c>
      <x:c r="I1901" s="17" t="str"/>
    </x:row>
    <x:row r="1902">
      <x:c r="A1902" t="str">
        <x:v>public_0167</x:v>
      </x:c>
      <x:c r="B1902" t="str">
        <x:v>browsing</x:v>
      </x:c>
      <x:c r="C1902" t="str">
        <x:v>medium</x:v>
      </x:c>
      <x:c r="D1902" s="17" t="str">
        <x:v>next ask before hit/override</x:v>
      </x:c>
      <x:c r="E1902" s="17" t="str">
        <x:v>brand</x:v>
      </x:c>
      <x:c r="F1902" s="17" t="str">
        <x:v>no new constraint</x:v>
      </x:c>
      <x:c r="G1902" s="17" t="str"/>
      <x:c r="H1902" s="17" t="str">
        <x:v>I don't have an additional preference for brand.</x:v>
      </x:c>
      <x:c r="I1902" s="17" t="str"/>
    </x:row>
    <x:row r="1903">
      <x:c r="A1903" t="str">
        <x:v>public_0167</x:v>
      </x:c>
      <x:c r="B1903" t="str">
        <x:v>browsing</x:v>
      </x:c>
      <x:c r="C1903" t="str">
        <x:v>medium</x:v>
      </x:c>
      <x:c r="D1903" s="17" t="str">
        <x:v>next ask before hit/override</x:v>
      </x:c>
      <x:c r="E1903" s="17" t="str">
        <x:v>budget</x:v>
      </x:c>
      <x:c r="F1903" s="17" t="str">
        <x:v>no new constraint</x:v>
      </x:c>
      <x:c r="G1903" s="17" t="str"/>
      <x:c r="H1903" s="17" t="str">
        <x:v>I don't have an additional preference for budget.</x:v>
      </x:c>
      <x:c r="I1903" s="17" t="str"/>
    </x:row>
    <x:row r="1904">
      <x:c r="A1904" t="str">
        <x:v>public_0167</x:v>
      </x:c>
      <x:c r="B1904" t="str">
        <x:v>browsing</x:v>
      </x:c>
      <x:c r="C1904" t="str">
        <x:v>medium</x:v>
      </x:c>
      <x:c r="D1904" s="17" t="str">
        <x:v>next ask before hit/override</x:v>
      </x:c>
      <x:c r="E1904" s="17" t="str">
        <x:v>feature</x:v>
      </x:c>
      <x:c r="F1904" s="17" t="str">
        <x:v>constraint revealed</x:v>
      </x:c>
      <x:c r="G1904" s="17" t="str">
        <x:v>Imported | Pull-On closure</x:v>
      </x:c>
      <x:c r="H1904" s="17" t="str">
        <x:v>For that, what matters is: Imported; Pull-On closure.</x:v>
      </x:c>
      <x:c r="I1904" s="17" t="str"/>
    </x:row>
    <x:row r="1905">
      <x:c r="A1905" t="str">
        <x:v>public_0167</x:v>
      </x:c>
      <x:c r="B1905" t="str">
        <x:v>browsing</x:v>
      </x:c>
      <x:c r="C1905" t="str">
        <x:v>medium</x:v>
      </x:c>
      <x:c r="D1905" s="17" t="str">
        <x:v>next ask before hit/override</x:v>
      </x:c>
      <x:c r="E1905" s="17" t="str">
        <x:v>use_case</x:v>
      </x:c>
      <x:c r="F1905" s="17" t="str">
        <x:v>no new constraint</x:v>
      </x:c>
      <x:c r="G1905" s="17" t="str"/>
      <x:c r="H1905" s="17" t="str">
        <x:v>I don't have an additional preference for use_case.</x:v>
      </x:c>
      <x:c r="I1905" s="17" t="str"/>
    </x:row>
    <x:row r="1906">
      <x:c r="A1906" t="str">
        <x:v>public_0167</x:v>
      </x:c>
      <x:c r="B1906" t="str">
        <x:v>browsing</x:v>
      </x:c>
      <x:c r="C1906" t="str">
        <x:v>medium</x:v>
      </x:c>
      <x:c r="D1906" s="17" t="str">
        <x:v>next ask before hit/override</x:v>
      </x:c>
      <x:c r="E1906" s="17" t="str">
        <x:v>other</x:v>
      </x:c>
      <x:c r="F1906" s="17" t="str">
        <x:v>constraint revealed</x:v>
      </x:c>
      <x:c r="G1906" s="17" t="str">
        <x:v>Imported | Pull-On closure</x:v>
      </x:c>
      <x:c r="H1906" s="17" t="str">
        <x:v>For that, what matters is: Imported; Pull-On closure.</x:v>
      </x:c>
      <x:c r="I1906" s="17" t="str"/>
    </x:row>
    <x:row r="1907">
      <x:c r="A1907" t="str">
        <x:v>public_0167</x:v>
      </x:c>
      <x:c r="B1907" t="str">
        <x:v>browsing</x:v>
      </x:c>
      <x:c r="C1907" t="str">
        <x:v>medium</x:v>
      </x:c>
      <x:c r="D1907" s="17" t="str">
        <x:v>next ask before hit/override</x:v>
      </x:c>
      <x:c r="E1907" s="17" t="str">
        <x:v>(no ask_attribute)</x:v>
      </x:c>
      <x:c r="F1907" s="17" t="str">
        <x:v>agent did not ask</x:v>
      </x:c>
      <x:c r="G1907" s="17" t="str"/>
      <x:c r="H1907" s="17" t="str">
        <x:v>Those options are not quite right yet. Ask me about one specific attribute.</x:v>
      </x:c>
      <x:c r="I1907" s="17" t="str"/>
    </x:row>
    <x:row r="1908">
      <x:c r="A1908" t="str">
        <x:v>public_0168</x:v>
      </x:c>
      <x:c r="B1908" t="str">
        <x:v>buying</x:v>
      </x:c>
      <x:c r="C1908" t="str">
        <x:v>easy</x:v>
      </x:c>
      <x:c r="D1908" s="17" t="str">
        <x:v>next ask before hit/override</x:v>
      </x:c>
      <x:c r="E1908" s="17" t="str">
        <x:v>category</x:v>
      </x:c>
      <x:c r="F1908" s="17" t="str">
        <x:v>no new constraint</x:v>
      </x:c>
      <x:c r="G1908" s="17" t="str"/>
      <x:c r="H1908" s="17" t="str">
        <x:v>I don't have an additional preference for category.</x:v>
      </x:c>
      <x:c r="I1908" s="17" t="str"/>
    </x:row>
    <x:row r="1909">
      <x:c r="A1909" t="str">
        <x:v>public_0168</x:v>
      </x:c>
      <x:c r="B1909" t="str">
        <x:v>buying</x:v>
      </x:c>
      <x:c r="C1909" t="str">
        <x:v>easy</x:v>
      </x:c>
      <x:c r="D1909" s="17" t="str">
        <x:v>next ask before hit/override</x:v>
      </x:c>
      <x:c r="E1909" s="17" t="str">
        <x:v>material</x:v>
      </x:c>
      <x:c r="F1909" s="17" t="str">
        <x:v>no new constraint</x:v>
      </x:c>
      <x:c r="G1909" s="17" t="str"/>
      <x:c r="H1909" s="17" t="str">
        <x:v>I don't have an additional preference for material.</x:v>
      </x:c>
      <x:c r="I1909" s="17" t="str"/>
    </x:row>
    <x:row r="1910">
      <x:c r="A1910" t="str">
        <x:v>public_0168</x:v>
      </x:c>
      <x:c r="B1910" t="str">
        <x:v>buying</x:v>
      </x:c>
      <x:c r="C1910" t="str">
        <x:v>easy</x:v>
      </x:c>
      <x:c r="D1910" s="17" t="str">
        <x:v>next ask before hit/override</x:v>
      </x:c>
      <x:c r="E1910" s="17" t="str">
        <x:v>color</x:v>
      </x:c>
      <x:c r="F1910" s="17" t="str">
        <x:v>constraint revealed</x:v>
      </x:c>
      <x:c r="G1910" s="17" t="str">
        <x:v>Size &amp; High Quality -The heart Bracelets are adjustable, don’t worried about size.The Bracelet is made of stainless steel, strong, corrosion-resistant, and will not change color af</x:v>
      </x:c>
      <x:c r="H1910" s="17" t="str">
        <x:v>For that, what matters is: Size &amp; High Quality -The heart Bracelets are adjustable, don’t worried about size.The Bracelet is made of stainless steel, strong, corrosion-resistant, and will not change color af.</x:v>
      </x:c>
      <x:c r="I1910" s="17" t="str"/>
    </x:row>
    <x:row r="1911">
      <x:c r="A1911" t="str">
        <x:v>public_0168</x:v>
      </x:c>
      <x:c r="B1911" t="str">
        <x:v>buying</x:v>
      </x:c>
      <x:c r="C1911" t="str">
        <x:v>easy</x:v>
      </x:c>
      <x:c r="D1911" s="17" t="str">
        <x:v>next ask before hit/override</x:v>
      </x:c>
      <x:c r="E1911" s="17" t="str">
        <x:v>size</x:v>
      </x:c>
      <x:c r="F1911" s="17" t="str">
        <x:v>no new constraint</x:v>
      </x:c>
      <x:c r="G1911" s="17" t="str"/>
      <x:c r="H1911" s="17" t="str">
        <x:v>I don't have an additional preference for size.</x:v>
      </x:c>
      <x:c r="I1911" s="17" t="str"/>
    </x:row>
    <x:row r="1912">
      <x:c r="A1912" t="str">
        <x:v>public_0168</x:v>
      </x:c>
      <x:c r="B1912" t="str">
        <x:v>buying</x:v>
      </x:c>
      <x:c r="C1912" t="str">
        <x:v>easy</x:v>
      </x:c>
      <x:c r="D1912" s="17" t="str">
        <x:v>next ask before hit/override</x:v>
      </x:c>
      <x:c r="E1912" s="17" t="str">
        <x:v>style</x:v>
      </x:c>
      <x:c r="F1912" s="17" t="str">
        <x:v>no new constraint</x:v>
      </x:c>
      <x:c r="G1912" s="17" t="str"/>
      <x:c r="H1912" s="17" t="str">
        <x:v>I don't have an additional preference for style.</x:v>
      </x:c>
      <x:c r="I1912" s="17" t="str"/>
    </x:row>
    <x:row r="1913">
      <x:c r="A1913" t="str">
        <x:v>public_0168</x:v>
      </x:c>
      <x:c r="B1913" t="str">
        <x:v>buying</x:v>
      </x:c>
      <x:c r="C1913" t="str">
        <x:v>easy</x:v>
      </x:c>
      <x:c r="D1913" s="17" t="str">
        <x:v>next ask before hit/override</x:v>
      </x:c>
      <x:c r="E1913" s="17" t="str">
        <x:v>brand</x:v>
      </x:c>
      <x:c r="F1913" s="17" t="str">
        <x:v>no new constraint</x:v>
      </x:c>
      <x:c r="G1913" s="17" t="str"/>
      <x:c r="H1913" s="17" t="str">
        <x:v>I don't have an additional preference for brand.</x:v>
      </x:c>
      <x:c r="I1913" s="17" t="str"/>
    </x:row>
    <x:row r="1914">
      <x:c r="A1914" t="str">
        <x:v>public_0168</x:v>
      </x:c>
      <x:c r="B1914" t="str">
        <x:v>buying</x:v>
      </x:c>
      <x:c r="C1914" t="str">
        <x:v>easy</x:v>
      </x:c>
      <x:c r="D1914" s="17" t="str">
        <x:v>next ask before hit/override</x:v>
      </x:c>
      <x:c r="E1914" s="17" t="str">
        <x:v>budget</x:v>
      </x:c>
      <x:c r="F1914" s="17" t="str">
        <x:v>no new constraint</x:v>
      </x:c>
      <x:c r="G1914" s="17" t="str"/>
      <x:c r="H1914" s="17" t="str">
        <x:v>I don't have an additional preference for budget.</x:v>
      </x:c>
      <x:c r="I1914" s="17" t="str"/>
    </x:row>
    <x:row r="1915">
      <x:c r="A1915" t="str">
        <x:v>public_0168</x:v>
      </x:c>
      <x:c r="B1915" t="str">
        <x:v>buying</x:v>
      </x:c>
      <x:c r="C1915" t="str">
        <x:v>easy</x:v>
      </x:c>
      <x:c r="D1915" s="17" t="str">
        <x:v>next ask before hit/override</x:v>
      </x:c>
      <x:c r="E1915" s="17" t="str">
        <x:v>feature</x:v>
      </x:c>
      <x:c r="F1915" s="17" t="str">
        <x:v>constraint revealed</x:v>
      </x:c>
      <x:c r="G1915" s="17" t="str">
        <x:v>Daughter Gifts from Mom - This mother bracelet suitable Christmas Day, Mothers Day, Birthday, Thanksgiving, as a gift for mom, daughter, stepdaughter,daughter in law or for yoursel | Classical Design - Our product comes with a beautiful box, it is packed with 4 message cards and 4 bracelets, the bracelet uses a heart-to-heart design, it is meaningful &amp; practica</x:v>
      </x:c>
      <x:c r="H1915" s="17" t="str">
        <x:v>For that, what matters is: Daughter Gifts from Mom - This mother bracelet suitable Christmas Day, Mothers Day, Birthday, Thanksgiving, as a gift for mom, daughter, stepdaughter,daughter in law or for yoursel; Classical Design - Our product comes with a beautiful box, it is packed with 4 message cards and 4 bracelets, the bracelet uses a heart-to-heart design, it is meaningful &amp; practica.</x:v>
      </x:c>
      <x:c r="I1915" s="17" t="str"/>
    </x:row>
    <x:row r="1916">
      <x:c r="A1916" t="str">
        <x:v>public_0168</x:v>
      </x:c>
      <x:c r="B1916" t="str">
        <x:v>buying</x:v>
      </x:c>
      <x:c r="C1916" t="str">
        <x:v>easy</x:v>
      </x:c>
      <x:c r="D1916" s="17" t="str">
        <x:v>next ask before hit/override</x:v>
      </x:c>
      <x:c r="E1916" s="17" t="str">
        <x:v>use_case</x:v>
      </x:c>
      <x:c r="F1916" s="17" t="str">
        <x:v>no new constraint</x:v>
      </x:c>
      <x:c r="G1916" s="17" t="str"/>
      <x:c r="H1916" s="17" t="str">
        <x:v>I don't have an additional preference for use_case.</x:v>
      </x:c>
      <x:c r="I1916" s="17" t="str"/>
    </x:row>
    <x:row r="1917">
      <x:c r="A1917" t="str">
        <x:v>public_0168</x:v>
      </x:c>
      <x:c r="B1917" t="str">
        <x:v>buying</x:v>
      </x:c>
      <x:c r="C1917" t="str">
        <x:v>easy</x:v>
      </x:c>
      <x:c r="D1917" s="17" t="str">
        <x:v>next ask before hit/override</x:v>
      </x:c>
      <x:c r="E1917" s="17" t="str">
        <x:v>other</x:v>
      </x:c>
      <x:c r="F1917" s="17" t="str">
        <x:v>constraint revealed</x:v>
      </x:c>
      <x:c r="G1917" s="17" t="str">
        <x:v>Size &amp; High Quality -The heart Bracelets are adjustable, don’t worried about size.The Bracelet is made of stainless steel, strong, corrosion-resistant, and will not change color af | Daughter Gifts from Mom - This mother bracelet suitable Christmas Day, Mothers Day, Birthday, Thanksgiving, as a gift for mom, daughter, stepdaughter,daughter in law or for yoursel</x:v>
      </x:c>
      <x:c r="H1917" s="17" t="str">
        <x:v>For that, what matters is: Size &amp; High Quality -The heart Bracelets are adjustable, don’t worried about size.The Bracelet is made of stainless steel, strong, corrosion-resistant, and will not change color af; Daughter Gifts from Mom - This mother bracelet suitable Christmas Day, Mothers Day, Birthday, Thanksgiving, as a gift for mom, daughter, stepdaughter,daughter in law or for yoursel.</x:v>
      </x:c>
      <x:c r="I1917" s="17" t="str"/>
    </x:row>
    <x:row r="1918">
      <x:c r="A1918" t="str">
        <x:v>public_0168</x:v>
      </x:c>
      <x:c r="B1918" t="str">
        <x:v>buying</x:v>
      </x:c>
      <x:c r="C1918" t="str">
        <x:v>easy</x:v>
      </x:c>
      <x:c r="D1918" s="17" t="str">
        <x:v>next ask before hit/override</x:v>
      </x:c>
      <x:c r="E1918" s="17" t="str">
        <x:v>(no ask_attribute)</x:v>
      </x:c>
      <x:c r="F1918" s="17" t="str">
        <x:v>agent did not ask</x:v>
      </x:c>
      <x:c r="G1918" s="17" t="str"/>
      <x:c r="H1918" s="17" t="str">
        <x:v>Those options are not quite right yet. Ask me about one specific attribute.</x:v>
      </x:c>
      <x:c r="I1918" s="17" t="str"/>
    </x:row>
    <x:row r="1919">
      <x:c r="A1919" t="str">
        <x:v>public_0169</x:v>
      </x:c>
      <x:c r="B1919" t="str">
        <x:v>boundary</x:v>
      </x:c>
      <x:c r="C1919" t="str">
        <x:v>medium</x:v>
      </x:c>
      <x:c r="D1919" s="17" t="str">
        <x:v>first ask (boundary unused)</x:v>
      </x:c>
      <x:c r="E1919" s="17" t="str">
        <x:v>category</x:v>
      </x:c>
      <x:c r="F1919" s="17" t="str">
        <x:v>boundary no-preference</x:v>
      </x:c>
      <x:c r="G1919" s="17" t="str"/>
      <x:c r="H1919" s="17" t="str">
        <x:v>I don't have a preference for category; please use your judgment.</x:v>
      </x:c>
      <x:c r="I1919" s="17" t="str"/>
    </x:row>
    <x:row r="1920">
      <x:c r="A1920" t="str">
        <x:v>public_0169</x:v>
      </x:c>
      <x:c r="B1920" t="str">
        <x:v>boundary</x:v>
      </x:c>
      <x:c r="C1920" t="str">
        <x:v>medium</x:v>
      </x:c>
      <x:c r="D1920" s="17" t="str">
        <x:v>first ask (boundary unused)</x:v>
      </x:c>
      <x:c r="E1920" s="17" t="str">
        <x:v>material</x:v>
      </x:c>
      <x:c r="F1920" s="17" t="str">
        <x:v>boundary no-preference</x:v>
      </x:c>
      <x:c r="G1920" s="17" t="str"/>
      <x:c r="H1920" s="17" t="str">
        <x:v>I don't have a preference for material; please use your judgment.</x:v>
      </x:c>
      <x:c r="I1920" s="17" t="str"/>
    </x:row>
    <x:row r="1921">
      <x:c r="A1921" t="str">
        <x:v>public_0169</x:v>
      </x:c>
      <x:c r="B1921" t="str">
        <x:v>boundary</x:v>
      </x:c>
      <x:c r="C1921" t="str">
        <x:v>medium</x:v>
      </x:c>
      <x:c r="D1921" s="17" t="str">
        <x:v>first ask (boundary unused)</x:v>
      </x:c>
      <x:c r="E1921" s="17" t="str">
        <x:v>color</x:v>
      </x:c>
      <x:c r="F1921" s="17" t="str">
        <x:v>boundary no-preference</x:v>
      </x:c>
      <x:c r="G1921" s="17" t="str"/>
      <x:c r="H1921" s="17" t="str">
        <x:v>I don't have a preference for color; please use your judgment.</x:v>
      </x:c>
      <x:c r="I1921" s="17" t="str"/>
    </x:row>
    <x:row r="1922">
      <x:c r="A1922" t="str">
        <x:v>public_0169</x:v>
      </x:c>
      <x:c r="B1922" t="str">
        <x:v>boundary</x:v>
      </x:c>
      <x:c r="C1922" t="str">
        <x:v>medium</x:v>
      </x:c>
      <x:c r="D1922" s="17" t="str">
        <x:v>first ask (boundary unused)</x:v>
      </x:c>
      <x:c r="E1922" s="17" t="str">
        <x:v>size</x:v>
      </x:c>
      <x:c r="F1922" s="17" t="str">
        <x:v>boundary no-preference</x:v>
      </x:c>
      <x:c r="G1922" s="17" t="str"/>
      <x:c r="H1922" s="17" t="str">
        <x:v>I don't have a preference for size; please use your judgment.</x:v>
      </x:c>
      <x:c r="I1922" s="17" t="str"/>
    </x:row>
    <x:row r="1923">
      <x:c r="A1923" t="str">
        <x:v>public_0169</x:v>
      </x:c>
      <x:c r="B1923" t="str">
        <x:v>boundary</x:v>
      </x:c>
      <x:c r="C1923" t="str">
        <x:v>medium</x:v>
      </x:c>
      <x:c r="D1923" s="17" t="str">
        <x:v>first ask (boundary unused)</x:v>
      </x:c>
      <x:c r="E1923" s="17" t="str">
        <x:v>style</x:v>
      </x:c>
      <x:c r="F1923" s="17" t="str">
        <x:v>boundary no-preference</x:v>
      </x:c>
      <x:c r="G1923" s="17" t="str"/>
      <x:c r="H1923" s="17" t="str">
        <x:v>I don't have a preference for style; please use your judgment.</x:v>
      </x:c>
      <x:c r="I1923" s="17" t="str"/>
    </x:row>
    <x:row r="1924">
      <x:c r="A1924" t="str">
        <x:v>public_0169</x:v>
      </x:c>
      <x:c r="B1924" t="str">
        <x:v>boundary</x:v>
      </x:c>
      <x:c r="C1924" t="str">
        <x:v>medium</x:v>
      </x:c>
      <x:c r="D1924" s="17" t="str">
        <x:v>first ask (boundary unused)</x:v>
      </x:c>
      <x:c r="E1924" s="17" t="str">
        <x:v>brand</x:v>
      </x:c>
      <x:c r="F1924" s="17" t="str">
        <x:v>boundary no-preference</x:v>
      </x:c>
      <x:c r="G1924" s="17" t="str"/>
      <x:c r="H1924" s="17" t="str">
        <x:v>I don't have a preference for brand; please use your judgment.</x:v>
      </x:c>
      <x:c r="I1924" s="17" t="str"/>
    </x:row>
    <x:row r="1925">
      <x:c r="A1925" t="str">
        <x:v>public_0169</x:v>
      </x:c>
      <x:c r="B1925" t="str">
        <x:v>boundary</x:v>
      </x:c>
      <x:c r="C1925" t="str">
        <x:v>medium</x:v>
      </x:c>
      <x:c r="D1925" s="17" t="str">
        <x:v>first ask (boundary unused)</x:v>
      </x:c>
      <x:c r="E1925" s="17" t="str">
        <x:v>budget</x:v>
      </x:c>
      <x:c r="F1925" s="17" t="str">
        <x:v>boundary no-preference</x:v>
      </x:c>
      <x:c r="G1925" s="17" t="str"/>
      <x:c r="H1925" s="17" t="str">
        <x:v>I don't have a preference for budget; please use your judgment.</x:v>
      </x:c>
      <x:c r="I1925" s="17" t="str"/>
    </x:row>
    <x:row r="1926">
      <x:c r="A1926" t="str">
        <x:v>public_0169</x:v>
      </x:c>
      <x:c r="B1926" t="str">
        <x:v>boundary</x:v>
      </x:c>
      <x:c r="C1926" t="str">
        <x:v>medium</x:v>
      </x:c>
      <x:c r="D1926" s="17" t="str">
        <x:v>first ask (boundary unused)</x:v>
      </x:c>
      <x:c r="E1926" s="17" t="str">
        <x:v>feature</x:v>
      </x:c>
      <x:c r="F1926" s="17" t="str">
        <x:v>boundary no-preference</x:v>
      </x:c>
      <x:c r="G1926" s="17" t="str"/>
      <x:c r="H1926" s="17" t="str">
        <x:v>I don't have a preference for feature; please use your judgment.</x:v>
      </x:c>
      <x:c r="I1926" s="17" t="str"/>
    </x:row>
    <x:row r="1927">
      <x:c r="A1927" t="str">
        <x:v>public_0169</x:v>
      </x:c>
      <x:c r="B1927" t="str">
        <x:v>boundary</x:v>
      </x:c>
      <x:c r="C1927" t="str">
        <x:v>medium</x:v>
      </x:c>
      <x:c r="D1927" s="17" t="str">
        <x:v>first ask (boundary unused)</x:v>
      </x:c>
      <x:c r="E1927" s="17" t="str">
        <x:v>use_case</x:v>
      </x:c>
      <x:c r="F1927" s="17" t="str">
        <x:v>boundary no-preference</x:v>
      </x:c>
      <x:c r="G1927" s="17" t="str"/>
      <x:c r="H1927" s="17" t="str">
        <x:v>I don't have a preference for use_case; please use your judgment.</x:v>
      </x:c>
      <x:c r="I1927" s="17" t="str"/>
    </x:row>
    <x:row r="1928">
      <x:c r="A1928" t="str">
        <x:v>public_0169</x:v>
      </x:c>
      <x:c r="B1928" t="str">
        <x:v>boundary</x:v>
      </x:c>
      <x:c r="C1928" t="str">
        <x:v>medium</x:v>
      </x:c>
      <x:c r="D1928" s="17" t="str">
        <x:v>first ask (boundary unused)</x:v>
      </x:c>
      <x:c r="E1928" s="17" t="str">
        <x:v>other</x:v>
      </x:c>
      <x:c r="F1928" s="17" t="str">
        <x:v>boundary no-preference</x:v>
      </x:c>
      <x:c r="G1928" s="17" t="str"/>
      <x:c r="H1928" s="17" t="str">
        <x:v>I don't have a preference for other; please use your judgment.</x:v>
      </x:c>
      <x:c r="I1928" s="17" t="str"/>
    </x:row>
    <x:row r="1929">
      <x:c r="A1929" t="str">
        <x:v>public_0169</x:v>
      </x:c>
      <x:c r="B1929" t="str">
        <x:v>boundary</x:v>
      </x:c>
      <x:c r="C1929" t="str">
        <x:v>medium</x:v>
      </x:c>
      <x:c r="D1929" s="17" t="str">
        <x:v>first ask (boundary unused)</x:v>
      </x:c>
      <x:c r="E1929" s="17" t="str">
        <x:v>(no ask_attribute)</x:v>
      </x:c>
      <x:c r="F1929" s="17" t="str">
        <x:v>agent did not ask</x:v>
      </x:c>
      <x:c r="G1929" s="17" t="str"/>
      <x:c r="H1929" s="17" t="str">
        <x:v>Those options are not quite right yet. Ask me about one specific attribute.</x:v>
      </x:c>
      <x:c r="I1929" s="17" t="str"/>
    </x:row>
    <x:row r="1930">
      <x:c r="A1930" t="str">
        <x:v>public_0169</x:v>
      </x:c>
      <x:c r="B1930" t="str">
        <x:v>boundary</x:v>
      </x:c>
      <x:c r="C1930" t="str">
        <x:v>medium</x:v>
      </x:c>
      <x:c r="D1930" s="17" t="str">
        <x:v>after no-preference used</x:v>
      </x:c>
      <x:c r="E1930" s="17" t="str">
        <x:v>category</x:v>
      </x:c>
      <x:c r="F1930" s="17" t="str">
        <x:v>no new constraint</x:v>
      </x:c>
      <x:c r="G1930" s="17" t="str"/>
      <x:c r="H1930" s="17" t="str">
        <x:v>I don't have an additional preference for category.</x:v>
      </x:c>
      <x:c r="I1930" s="17" t="str"/>
    </x:row>
    <x:row r="1931">
      <x:c r="A1931" t="str">
        <x:v>public_0169</x:v>
      </x:c>
      <x:c r="B1931" t="str">
        <x:v>boundary</x:v>
      </x:c>
      <x:c r="C1931" t="str">
        <x:v>medium</x:v>
      </x:c>
      <x:c r="D1931" s="17" t="str">
        <x:v>after no-preference used</x:v>
      </x:c>
      <x:c r="E1931" s="17" t="str">
        <x:v>material</x:v>
      </x:c>
      <x:c r="F1931" s="17" t="str">
        <x:v>constraint revealed</x:v>
      </x:c>
      <x:c r="G1931" s="17" t="str">
        <x:v>cotton | 57% Cotton, 26% Polyester, 10% Other Fibers, 7% Elastane</x:v>
      </x:c>
      <x:c r="H1931" s="17" t="str">
        <x:v>For that, what matters is: cotton; 57% Cotton, 26% Polyester, 10% Other Fibers, 7% Elastane.</x:v>
      </x:c>
      <x:c r="I1931" s="17" t="str"/>
    </x:row>
    <x:row r="1932">
      <x:c r="A1932" t="str">
        <x:v>public_0169</x:v>
      </x:c>
      <x:c r="B1932" t="str">
        <x:v>boundary</x:v>
      </x:c>
      <x:c r="C1932" t="str">
        <x:v>medium</x:v>
      </x:c>
      <x:c r="D1932" s="17" t="str">
        <x:v>after no-preference used</x:v>
      </x:c>
      <x:c r="E1932" s="17" t="str">
        <x:v>color</x:v>
      </x:c>
      <x:c r="F1932" s="17" t="str">
        <x:v>no new constraint</x:v>
      </x:c>
      <x:c r="G1932" s="17" t="str"/>
      <x:c r="H1932" s="17" t="str">
        <x:v>I don't have an additional preference for color.</x:v>
      </x:c>
      <x:c r="I1932" s="17" t="str"/>
    </x:row>
    <x:row r="1933">
      <x:c r="A1933" t="str">
        <x:v>public_0169</x:v>
      </x:c>
      <x:c r="B1933" t="str">
        <x:v>boundary</x:v>
      </x:c>
      <x:c r="C1933" t="str">
        <x:v>medium</x:v>
      </x:c>
      <x:c r="D1933" s="17" t="str">
        <x:v>after no-preference used</x:v>
      </x:c>
      <x:c r="E1933" s="17" t="str">
        <x:v>size</x:v>
      </x:c>
      <x:c r="F1933" s="17" t="str">
        <x:v>no new constraint</x:v>
      </x:c>
      <x:c r="G1933" s="17" t="str"/>
      <x:c r="H1933" s="17" t="str">
        <x:v>I don't have an additional preference for size.</x:v>
      </x:c>
      <x:c r="I1933" s="17" t="str"/>
    </x:row>
    <x:row r="1934">
      <x:c r="A1934" t="str">
        <x:v>public_0169</x:v>
      </x:c>
      <x:c r="B1934" t="str">
        <x:v>boundary</x:v>
      </x:c>
      <x:c r="C1934" t="str">
        <x:v>medium</x:v>
      </x:c>
      <x:c r="D1934" s="17" t="str">
        <x:v>after no-preference used</x:v>
      </x:c>
      <x:c r="E1934" s="17" t="str">
        <x:v>style</x:v>
      </x:c>
      <x:c r="F1934" s="17" t="str">
        <x:v>no new constraint</x:v>
      </x:c>
      <x:c r="G1934" s="17" t="str"/>
      <x:c r="H1934" s="17" t="str">
        <x:v>I don't have an additional preference for style.</x:v>
      </x:c>
      <x:c r="I1934" s="17" t="str"/>
    </x:row>
    <x:row r="1935">
      <x:c r="A1935" t="str">
        <x:v>public_0169</x:v>
      </x:c>
      <x:c r="B1935" t="str">
        <x:v>boundary</x:v>
      </x:c>
      <x:c r="C1935" t="str">
        <x:v>medium</x:v>
      </x:c>
      <x:c r="D1935" s="17" t="str">
        <x:v>after no-preference used</x:v>
      </x:c>
      <x:c r="E1935" s="17" t="str">
        <x:v>brand</x:v>
      </x:c>
      <x:c r="F1935" s="17" t="str">
        <x:v>no new constraint</x:v>
      </x:c>
      <x:c r="G1935" s="17" t="str"/>
      <x:c r="H1935" s="17" t="str">
        <x:v>I don't have an additional preference for brand.</x:v>
      </x:c>
      <x:c r="I1935" s="17" t="str"/>
    </x:row>
    <x:row r="1936">
      <x:c r="A1936" t="str">
        <x:v>public_0169</x:v>
      </x:c>
      <x:c r="B1936" t="str">
        <x:v>boundary</x:v>
      </x:c>
      <x:c r="C1936" t="str">
        <x:v>medium</x:v>
      </x:c>
      <x:c r="D1936" s="17" t="str">
        <x:v>after no-preference used</x:v>
      </x:c>
      <x:c r="E1936" s="17" t="str">
        <x:v>budget</x:v>
      </x:c>
      <x:c r="F1936" s="17" t="str">
        <x:v>no new constraint</x:v>
      </x:c>
      <x:c r="G1936" s="17" t="str"/>
      <x:c r="H1936" s="17" t="str">
        <x:v>I don't have an additional preference for budget.</x:v>
      </x:c>
      <x:c r="I1936" s="17" t="str"/>
    </x:row>
    <x:row r="1937">
      <x:c r="A1937" t="str">
        <x:v>public_0169</x:v>
      </x:c>
      <x:c r="B1937" t="str">
        <x:v>boundary</x:v>
      </x:c>
      <x:c r="C1937" t="str">
        <x:v>medium</x:v>
      </x:c>
      <x:c r="D1937" s="17" t="str">
        <x:v>after no-preference used</x:v>
      </x:c>
      <x:c r="E1937" s="17" t="str">
        <x:v>feature</x:v>
      </x:c>
      <x:c r="F1937" s="17" t="str">
        <x:v>constraint revealed</x:v>
      </x:c>
      <x:c r="G1937" s="17" t="str">
        <x:v>Imported | Pull On closure</x:v>
      </x:c>
      <x:c r="H1937" s="17" t="str">
        <x:v>For that, what matters is: Imported; Pull On closure.</x:v>
      </x:c>
      <x:c r="I1937" s="17" t="str"/>
    </x:row>
    <x:row r="1938">
      <x:c r="A1938" t="str">
        <x:v>public_0169</x:v>
      </x:c>
      <x:c r="B1938" t="str">
        <x:v>boundary</x:v>
      </x:c>
      <x:c r="C1938" t="str">
        <x:v>medium</x:v>
      </x:c>
      <x:c r="D1938" s="17" t="str">
        <x:v>after no-preference used</x:v>
      </x:c>
      <x:c r="E1938" s="17" t="str">
        <x:v>use_case</x:v>
      </x:c>
      <x:c r="F1938" s="17" t="str">
        <x:v>no new constraint</x:v>
      </x:c>
      <x:c r="G1938" s="17" t="str"/>
      <x:c r="H1938" s="17" t="str">
        <x:v>I don't have an additional preference for use_case.</x:v>
      </x:c>
      <x:c r="I1938" s="17" t="str"/>
    </x:row>
    <x:row r="1939">
      <x:c r="A1939" t="str">
        <x:v>public_0169</x:v>
      </x:c>
      <x:c r="B1939" t="str">
        <x:v>boundary</x:v>
      </x:c>
      <x:c r="C1939" t="str">
        <x:v>medium</x:v>
      </x:c>
      <x:c r="D1939" s="17" t="str">
        <x:v>after no-preference used</x:v>
      </x:c>
      <x:c r="E1939" s="17" t="str">
        <x:v>other</x:v>
      </x:c>
      <x:c r="F1939" s="17" t="str">
        <x:v>constraint revealed</x:v>
      </x:c>
      <x:c r="G1939" s="17" t="str">
        <x:v>cotton | 57% Cotton, 26% Polyester, 10% Other Fibers, 7% Elastane</x:v>
      </x:c>
      <x:c r="H1939" s="17" t="str">
        <x:v>For that, what matters is: cotton; 57% Cotton, 26% Polyester, 10% Other Fibers, 7% Elastane.</x:v>
      </x:c>
      <x:c r="I1939" s="17" t="str"/>
    </x:row>
    <x:row r="1940">
      <x:c r="A1940" t="str">
        <x:v>public_0169</x:v>
      </x:c>
      <x:c r="B1940" t="str">
        <x:v>boundary</x:v>
      </x:c>
      <x:c r="C1940" t="str">
        <x:v>medium</x:v>
      </x:c>
      <x:c r="D1940" s="17" t="str">
        <x:v>after no-preference used</x:v>
      </x:c>
      <x:c r="E1940" s="17" t="str">
        <x:v>(no ask_attribute)</x:v>
      </x:c>
      <x:c r="F1940" s="17" t="str">
        <x:v>agent did not ask</x:v>
      </x:c>
      <x:c r="G1940" s="17" t="str"/>
      <x:c r="H1940" s="17" t="str">
        <x:v>Those options are not quite right yet. Ask me about one specific attribute.</x:v>
      </x:c>
      <x:c r="I1940" s="17" t="str"/>
    </x:row>
    <x:row r="1941">
      <x:c r="A1941" t="str">
        <x:v>public_0170</x:v>
      </x:c>
      <x:c r="B1941" t="str">
        <x:v>browsing</x:v>
      </x:c>
      <x:c r="C1941" t="str">
        <x:v>medium</x:v>
      </x:c>
      <x:c r="D1941" s="17" t="str">
        <x:v>next ask before hit/override</x:v>
      </x:c>
      <x:c r="E1941" s="17" t="str">
        <x:v>category</x:v>
      </x:c>
      <x:c r="F1941" s="17" t="str">
        <x:v>no new constraint</x:v>
      </x:c>
      <x:c r="G1941" s="17" t="str"/>
      <x:c r="H1941" s="17" t="str">
        <x:v>I don't have an additional preference for category.</x:v>
      </x:c>
      <x:c r="I1941" s="17" t="str"/>
    </x:row>
    <x:row r="1942">
      <x:c r="A1942" t="str">
        <x:v>public_0170</x:v>
      </x:c>
      <x:c r="B1942" t="str">
        <x:v>browsing</x:v>
      </x:c>
      <x:c r="C1942" t="str">
        <x:v>medium</x:v>
      </x:c>
      <x:c r="D1942" s="17" t="str">
        <x:v>next ask before hit/override</x:v>
      </x:c>
      <x:c r="E1942" s="17" t="str">
        <x:v>material</x:v>
      </x:c>
      <x:c r="F1942" s="17" t="str">
        <x:v>constraint revealed</x:v>
      </x:c>
      <x:c r="G1942" s="17" t="str">
        <x:v>leather | 100% Leather</x:v>
      </x:c>
      <x:c r="H1942" s="17" t="str">
        <x:v>For that, what matters is: leather; 100% Leather.</x:v>
      </x:c>
      <x:c r="I1942" s="17" t="str"/>
    </x:row>
    <x:row r="1943">
      <x:c r="A1943" t="str">
        <x:v>public_0170</x:v>
      </x:c>
      <x:c r="B1943" t="str">
        <x:v>browsing</x:v>
      </x:c>
      <x:c r="C1943" t="str">
        <x:v>medium</x:v>
      </x:c>
      <x:c r="D1943" s="17" t="str">
        <x:v>next ask before hit/override</x:v>
      </x:c>
      <x:c r="E1943" s="17" t="str">
        <x:v>color</x:v>
      </x:c>
      <x:c r="F1943" s="17" t="str">
        <x:v>no new constraint</x:v>
      </x:c>
      <x:c r="G1943" s="17" t="str"/>
      <x:c r="H1943" s="17" t="str">
        <x:v>I don't have an additional preference for color.</x:v>
      </x:c>
      <x:c r="I1943" s="17" t="str"/>
    </x:row>
    <x:row r="1944">
      <x:c r="A1944" t="str">
        <x:v>public_0170</x:v>
      </x:c>
      <x:c r="B1944" t="str">
        <x:v>browsing</x:v>
      </x:c>
      <x:c r="C1944" t="str">
        <x:v>medium</x:v>
      </x:c>
      <x:c r="D1944" s="17" t="str">
        <x:v>next ask before hit/override</x:v>
      </x:c>
      <x:c r="E1944" s="17" t="str">
        <x:v>size</x:v>
      </x:c>
      <x:c r="F1944" s="17" t="str">
        <x:v>no new constraint</x:v>
      </x:c>
      <x:c r="G1944" s="17" t="str"/>
      <x:c r="H1944" s="17" t="str">
        <x:v>I don't have an additional preference for size.</x:v>
      </x:c>
      <x:c r="I1944" s="17" t="str"/>
    </x:row>
    <x:row r="1945">
      <x:c r="A1945" t="str">
        <x:v>public_0170</x:v>
      </x:c>
      <x:c r="B1945" t="str">
        <x:v>browsing</x:v>
      </x:c>
      <x:c r="C1945" t="str">
        <x:v>medium</x:v>
      </x:c>
      <x:c r="D1945" s="17" t="str">
        <x:v>next ask before hit/override</x:v>
      </x:c>
      <x:c r="E1945" s="17" t="str">
        <x:v>style</x:v>
      </x:c>
      <x:c r="F1945" s="17" t="str">
        <x:v>no new constraint</x:v>
      </x:c>
      <x:c r="G1945" s="17" t="str"/>
      <x:c r="H1945" s="17" t="str">
        <x:v>I don't have an additional preference for style.</x:v>
      </x:c>
      <x:c r="I1945" s="17" t="str"/>
    </x:row>
    <x:row r="1946">
      <x:c r="A1946" t="str">
        <x:v>public_0170</x:v>
      </x:c>
      <x:c r="B1946" t="str">
        <x:v>browsing</x:v>
      </x:c>
      <x:c r="C1946" t="str">
        <x:v>medium</x:v>
      </x:c>
      <x:c r="D1946" s="17" t="str">
        <x:v>next ask before hit/override</x:v>
      </x:c>
      <x:c r="E1946" s="17" t="str">
        <x:v>brand</x:v>
      </x:c>
      <x:c r="F1946" s="17" t="str">
        <x:v>no new constraint</x:v>
      </x:c>
      <x:c r="G1946" s="17" t="str"/>
      <x:c r="H1946" s="17" t="str">
        <x:v>I don't have an additional preference for brand.</x:v>
      </x:c>
      <x:c r="I1946" s="17" t="str"/>
    </x:row>
    <x:row r="1947">
      <x:c r="A1947" t="str">
        <x:v>public_0170</x:v>
      </x:c>
      <x:c r="B1947" t="str">
        <x:v>browsing</x:v>
      </x:c>
      <x:c r="C1947" t="str">
        <x:v>medium</x:v>
      </x:c>
      <x:c r="D1947" s="17" t="str">
        <x:v>next ask before hit/override</x:v>
      </x:c>
      <x:c r="E1947" s="17" t="str">
        <x:v>budget</x:v>
      </x:c>
      <x:c r="F1947" s="17" t="str">
        <x:v>no new constraint</x:v>
      </x:c>
      <x:c r="G1947" s="17" t="str"/>
      <x:c r="H1947" s="17" t="str">
        <x:v>I don't have an additional preference for budget.</x:v>
      </x:c>
      <x:c r="I1947" s="17" t="str"/>
    </x:row>
    <x:row r="1948">
      <x:c r="A1948" t="str">
        <x:v>public_0170</x:v>
      </x:c>
      <x:c r="B1948" t="str">
        <x:v>browsing</x:v>
      </x:c>
      <x:c r="C1948" t="str">
        <x:v>medium</x:v>
      </x:c>
      <x:c r="D1948" s="17" t="str">
        <x:v>next ask before hit/override</x:v>
      </x:c>
      <x:c r="E1948" s="17" t="str">
        <x:v>feature</x:v>
      </x:c>
      <x:c r="F1948" s="17" t="str">
        <x:v>constraint revealed</x:v>
      </x:c>
      <x:c r="G1948" s="17" t="str">
        <x:v>Made in the USA or Imported | Rubber sole</x:v>
      </x:c>
      <x:c r="H1948" s="17" t="str">
        <x:v>For that, what matters is: Made in the USA or Imported; Rubber sole.</x:v>
      </x:c>
      <x:c r="I1948" s="17" t="str"/>
    </x:row>
    <x:row r="1949">
      <x:c r="A1949" t="str">
        <x:v>public_0170</x:v>
      </x:c>
      <x:c r="B1949" t="str">
        <x:v>browsing</x:v>
      </x:c>
      <x:c r="C1949" t="str">
        <x:v>medium</x:v>
      </x:c>
      <x:c r="D1949" s="17" t="str">
        <x:v>next ask before hit/override</x:v>
      </x:c>
      <x:c r="E1949" s="17" t="str">
        <x:v>use_case</x:v>
      </x:c>
      <x:c r="F1949" s="17" t="str">
        <x:v>no new constraint</x:v>
      </x:c>
      <x:c r="G1949" s="17" t="str"/>
      <x:c r="H1949" s="17" t="str">
        <x:v>I don't have an additional preference for use_case.</x:v>
      </x:c>
      <x:c r="I1949" s="17" t="str"/>
    </x:row>
    <x:row r="1950">
      <x:c r="A1950" t="str">
        <x:v>public_0170</x:v>
      </x:c>
      <x:c r="B1950" t="str">
        <x:v>browsing</x:v>
      </x:c>
      <x:c r="C1950" t="str">
        <x:v>medium</x:v>
      </x:c>
      <x:c r="D1950" s="17" t="str">
        <x:v>next ask before hit/override</x:v>
      </x:c>
      <x:c r="E1950" s="17" t="str">
        <x:v>other</x:v>
      </x:c>
      <x:c r="F1950" s="17" t="str">
        <x:v>constraint revealed</x:v>
      </x:c>
      <x:c r="G1950" s="17" t="str">
        <x:v>leather | 100% Leather</x:v>
      </x:c>
      <x:c r="H1950" s="17" t="str">
        <x:v>For that, what matters is: leather; 100% Leather.</x:v>
      </x:c>
      <x:c r="I1950" s="17" t="str"/>
    </x:row>
    <x:row r="1951">
      <x:c r="A1951" t="str">
        <x:v>public_0170</x:v>
      </x:c>
      <x:c r="B1951" t="str">
        <x:v>browsing</x:v>
      </x:c>
      <x:c r="C1951" t="str">
        <x:v>medium</x:v>
      </x:c>
      <x:c r="D1951" s="17" t="str">
        <x:v>next ask before hit/override</x:v>
      </x:c>
      <x:c r="E1951" s="17" t="str">
        <x:v>(no ask_attribute)</x:v>
      </x:c>
      <x:c r="F1951" s="17" t="str">
        <x:v>agent did not ask</x:v>
      </x:c>
      <x:c r="G1951" s="17" t="str"/>
      <x:c r="H1951" s="17" t="str">
        <x:v>Those options are not quite right yet. Ask me about one specific attribute.</x:v>
      </x:c>
      <x:c r="I1951" s="17" t="str"/>
    </x:row>
    <x:row r="1952">
      <x:c r="A1952" t="str">
        <x:v>public_0171</x:v>
      </x:c>
      <x:c r="B1952" t="str">
        <x:v>buying</x:v>
      </x:c>
      <x:c r="C1952" t="str">
        <x:v>easy</x:v>
      </x:c>
      <x:c r="D1952" s="17" t="str">
        <x:v>next ask before hit/override</x:v>
      </x:c>
      <x:c r="E1952" s="17" t="str">
        <x:v>category</x:v>
      </x:c>
      <x:c r="F1952" s="17" t="str">
        <x:v>no new constraint</x:v>
      </x:c>
      <x:c r="G1952" s="17" t="str"/>
      <x:c r="H1952" s="17" t="str">
        <x:v>I don't have an additional preference for category.</x:v>
      </x:c>
      <x:c r="I1952" s="17" t="str"/>
    </x:row>
    <x:row r="1953">
      <x:c r="A1953" t="str">
        <x:v>public_0171</x:v>
      </x:c>
      <x:c r="B1953" t="str">
        <x:v>buying</x:v>
      </x:c>
      <x:c r="C1953" t="str">
        <x:v>easy</x:v>
      </x:c>
      <x:c r="D1953" s="17" t="str">
        <x:v>next ask before hit/override</x:v>
      </x:c>
      <x:c r="E1953" s="17" t="str">
        <x:v>material</x:v>
      </x:c>
      <x:c r="F1953" s="17" t="str">
        <x:v>constraint revealed</x:v>
      </x:c>
      <x:c r="G1953" s="17" t="str">
        <x:v>Nylon lining</x:v>
      </x:c>
      <x:c r="H1953" s="17" t="str">
        <x:v>For that, what matters is: Nylon lining.</x:v>
      </x:c>
      <x:c r="I1953" s="17" t="str"/>
    </x:row>
    <x:row r="1954">
      <x:c r="A1954" t="str">
        <x:v>public_0171</x:v>
      </x:c>
      <x:c r="B1954" t="str">
        <x:v>buying</x:v>
      </x:c>
      <x:c r="C1954" t="str">
        <x:v>easy</x:v>
      </x:c>
      <x:c r="D1954" s="17" t="str">
        <x:v>next ask before hit/override</x:v>
      </x:c>
      <x:c r="E1954" s="17" t="str">
        <x:v>color</x:v>
      </x:c>
      <x:c r="F1954" s="17" t="str">
        <x:v>no new constraint</x:v>
      </x:c>
      <x:c r="G1954" s="17" t="str"/>
      <x:c r="H1954" s="17" t="str">
        <x:v>I don't have an additional preference for color.</x:v>
      </x:c>
      <x:c r="I1954" s="17" t="str"/>
    </x:row>
    <x:row r="1955">
      <x:c r="A1955" t="str">
        <x:v>public_0171</x:v>
      </x:c>
      <x:c r="B1955" t="str">
        <x:v>buying</x:v>
      </x:c>
      <x:c r="C1955" t="str">
        <x:v>easy</x:v>
      </x:c>
      <x:c r="D1955" s="17" t="str">
        <x:v>next ask before hit/override</x:v>
      </x:c>
      <x:c r="E1955" s="17" t="str">
        <x:v>size</x:v>
      </x:c>
      <x:c r="F1955" s="17" t="str">
        <x:v>no new constraint</x:v>
      </x:c>
      <x:c r="G1955" s="17" t="str"/>
      <x:c r="H1955" s="17" t="str">
        <x:v>I don't have an additional preference for size.</x:v>
      </x:c>
      <x:c r="I1955" s="17" t="str"/>
    </x:row>
    <x:row r="1956">
      <x:c r="A1956" t="str">
        <x:v>public_0171</x:v>
      </x:c>
      <x:c r="B1956" t="str">
        <x:v>buying</x:v>
      </x:c>
      <x:c r="C1956" t="str">
        <x:v>easy</x:v>
      </x:c>
      <x:c r="D1956" s="17" t="str">
        <x:v>next ask before hit/override</x:v>
      </x:c>
      <x:c r="E1956" s="17" t="str">
        <x:v>style</x:v>
      </x:c>
      <x:c r="F1956" s="17" t="str">
        <x:v>no new constraint</x:v>
      </x:c>
      <x:c r="G1956" s="17" t="str"/>
      <x:c r="H1956" s="17" t="str">
        <x:v>I don't have an additional preference for style.</x:v>
      </x:c>
      <x:c r="I1956" s="17" t="str"/>
    </x:row>
    <x:row r="1957">
      <x:c r="A1957" t="str">
        <x:v>public_0171</x:v>
      </x:c>
      <x:c r="B1957" t="str">
        <x:v>buying</x:v>
      </x:c>
      <x:c r="C1957" t="str">
        <x:v>easy</x:v>
      </x:c>
      <x:c r="D1957" s="17" t="str">
        <x:v>next ask before hit/override</x:v>
      </x:c>
      <x:c r="E1957" s="17" t="str">
        <x:v>brand</x:v>
      </x:c>
      <x:c r="F1957" s="17" t="str">
        <x:v>no new constraint</x:v>
      </x:c>
      <x:c r="G1957" s="17" t="str"/>
      <x:c r="H1957" s="17" t="str">
        <x:v>I don't have an additional preference for brand.</x:v>
      </x:c>
      <x:c r="I1957" s="17" t="str"/>
    </x:row>
    <x:row r="1958">
      <x:c r="A1958" t="str">
        <x:v>public_0171</x:v>
      </x:c>
      <x:c r="B1958" t="str">
        <x:v>buying</x:v>
      </x:c>
      <x:c r="C1958" t="str">
        <x:v>easy</x:v>
      </x:c>
      <x:c r="D1958" s="17" t="str">
        <x:v>next ask before hit/override</x:v>
      </x:c>
      <x:c r="E1958" s="17" t="str">
        <x:v>budget</x:v>
      </x:c>
      <x:c r="F1958" s="17" t="str">
        <x:v>no new constraint</x:v>
      </x:c>
      <x:c r="G1958" s="17" t="str"/>
      <x:c r="H1958" s="17" t="str">
        <x:v>I don't have an additional preference for budget.</x:v>
      </x:c>
      <x:c r="I1958" s="17" t="str"/>
    </x:row>
    <x:row r="1959">
      <x:c r="A1959" t="str">
        <x:v>public_0171</x:v>
      </x:c>
      <x:c r="B1959" t="str">
        <x:v>buying</x:v>
      </x:c>
      <x:c r="C1959" t="str">
        <x:v>easy</x:v>
      </x:c>
      <x:c r="D1959" s="17" t="str">
        <x:v>next ask before hit/override</x:v>
      </x:c>
      <x:c r="E1959" s="17" t="str">
        <x:v>feature</x:v>
      </x:c>
      <x:c r="F1959" s="17" t="str">
        <x:v>constraint revealed</x:v>
      </x:c>
      <x:c r="G1959" s="17" t="str">
        <x:v>Elastic | Imported</x:v>
      </x:c>
      <x:c r="H1959" s="17" t="str">
        <x:v>For that, what matters is: Elastic; Imported.</x:v>
      </x:c>
      <x:c r="I1959" s="17" t="str"/>
    </x:row>
    <x:row r="1960">
      <x:c r="A1960" t="str">
        <x:v>public_0171</x:v>
      </x:c>
      <x:c r="B1960" t="str">
        <x:v>buying</x:v>
      </x:c>
      <x:c r="C1960" t="str">
        <x:v>easy</x:v>
      </x:c>
      <x:c r="D1960" s="17" t="str">
        <x:v>next ask before hit/override</x:v>
      </x:c>
      <x:c r="E1960" s="17" t="str">
        <x:v>use_case</x:v>
      </x:c>
      <x:c r="F1960" s="17" t="str">
        <x:v>no new constraint</x:v>
      </x:c>
      <x:c r="G1960" s="17" t="str"/>
      <x:c r="H1960" s="17" t="str">
        <x:v>I don't have an additional preference for use_case.</x:v>
      </x:c>
      <x:c r="I1960" s="17" t="str"/>
    </x:row>
    <x:row r="1961">
      <x:c r="A1961" t="str">
        <x:v>public_0171</x:v>
      </x:c>
      <x:c r="B1961" t="str">
        <x:v>buying</x:v>
      </x:c>
      <x:c r="C1961" t="str">
        <x:v>easy</x:v>
      </x:c>
      <x:c r="D1961" s="17" t="str">
        <x:v>next ask before hit/override</x:v>
      </x:c>
      <x:c r="E1961" s="17" t="str">
        <x:v>other</x:v>
      </x:c>
      <x:c r="F1961" s="17" t="str">
        <x:v>constraint revealed</x:v>
      </x:c>
      <x:c r="G1961" s="17" t="str">
        <x:v>Elastic | Imported</x:v>
      </x:c>
      <x:c r="H1961" s="17" t="str">
        <x:v>For that, what matters is: Elastic; Imported.</x:v>
      </x:c>
      <x:c r="I1961" s="17" t="str"/>
    </x:row>
    <x:row r="1962">
      <x:c r="A1962" t="str">
        <x:v>public_0171</x:v>
      </x:c>
      <x:c r="B1962" t="str">
        <x:v>buying</x:v>
      </x:c>
      <x:c r="C1962" t="str">
        <x:v>easy</x:v>
      </x:c>
      <x:c r="D1962" s="17" t="str">
        <x:v>next ask before hit/override</x:v>
      </x:c>
      <x:c r="E1962" s="17" t="str">
        <x:v>(no ask_attribute)</x:v>
      </x:c>
      <x:c r="F1962" s="17" t="str">
        <x:v>agent did not ask</x:v>
      </x:c>
      <x:c r="G1962" s="17" t="str"/>
      <x:c r="H1962" s="17" t="str">
        <x:v>Those options are not quite right yet. Ask me about one specific attribute.</x:v>
      </x:c>
      <x:c r="I1962" s="17" t="str"/>
    </x:row>
    <x:row r="1963">
      <x:c r="A1963" t="str">
        <x:v>public_0172</x:v>
      </x:c>
      <x:c r="B1963" t="str">
        <x:v>browsing</x:v>
      </x:c>
      <x:c r="C1963" t="str">
        <x:v>medium</x:v>
      </x:c>
      <x:c r="D1963" s="17" t="str">
        <x:v>next ask before hit/override</x:v>
      </x:c>
      <x:c r="E1963" s="17" t="str">
        <x:v>category</x:v>
      </x:c>
      <x:c r="F1963" s="17" t="str">
        <x:v>no new constraint</x:v>
      </x:c>
      <x:c r="G1963" s="17" t="str"/>
      <x:c r="H1963" s="17" t="str">
        <x:v>I don't have an additional preference for category.</x:v>
      </x:c>
      <x:c r="I1963" s="17" t="str"/>
    </x:row>
    <x:row r="1964">
      <x:c r="A1964" t="str">
        <x:v>public_0172</x:v>
      </x:c>
      <x:c r="B1964" t="str">
        <x:v>browsing</x:v>
      </x:c>
      <x:c r="C1964" t="str">
        <x:v>medium</x:v>
      </x:c>
      <x:c r="D1964" s="17" t="str">
        <x:v>next ask before hit/override</x:v>
      </x:c>
      <x:c r="E1964" s="17" t="str">
        <x:v>material</x:v>
      </x:c>
      <x:c r="F1964" s="17" t="str">
        <x:v>constraint revealed</x:v>
      </x:c>
      <x:c r="G1964" s="17" t="str">
        <x:v>cotton | 100% Cotton</x:v>
      </x:c>
      <x:c r="H1964" s="17" t="str">
        <x:v>For that, what matters is: cotton; 100% Cotton.</x:v>
      </x:c>
      <x:c r="I1964" s="17" t="str"/>
    </x:row>
    <x:row r="1965">
      <x:c r="A1965" t="str">
        <x:v>public_0172</x:v>
      </x:c>
      <x:c r="B1965" t="str">
        <x:v>browsing</x:v>
      </x:c>
      <x:c r="C1965" t="str">
        <x:v>medium</x:v>
      </x:c>
      <x:c r="D1965" s="17" t="str">
        <x:v>next ask before hit/override</x:v>
      </x:c>
      <x:c r="E1965" s="17" t="str">
        <x:v>color</x:v>
      </x:c>
      <x:c r="F1965" s="17" t="str">
        <x:v>no new constraint</x:v>
      </x:c>
      <x:c r="G1965" s="17" t="str"/>
      <x:c r="H1965" s="17" t="str">
        <x:v>I don't have an additional preference for color.</x:v>
      </x:c>
      <x:c r="I1965" s="17" t="str"/>
    </x:row>
    <x:row r="1966">
      <x:c r="A1966" t="str">
        <x:v>public_0172</x:v>
      </x:c>
      <x:c r="B1966" t="str">
        <x:v>browsing</x:v>
      </x:c>
      <x:c r="C1966" t="str">
        <x:v>medium</x:v>
      </x:c>
      <x:c r="D1966" s="17" t="str">
        <x:v>next ask before hit/override</x:v>
      </x:c>
      <x:c r="E1966" s="17" t="str">
        <x:v>size</x:v>
      </x:c>
      <x:c r="F1966" s="17" t="str">
        <x:v>no new constraint</x:v>
      </x:c>
      <x:c r="G1966" s="17" t="str"/>
      <x:c r="H1966" s="17" t="str">
        <x:v>I don't have an additional preference for size.</x:v>
      </x:c>
      <x:c r="I1966" s="17" t="str"/>
    </x:row>
    <x:row r="1967">
      <x:c r="A1967" t="str">
        <x:v>public_0172</x:v>
      </x:c>
      <x:c r="B1967" t="str">
        <x:v>browsing</x:v>
      </x:c>
      <x:c r="C1967" t="str">
        <x:v>medium</x:v>
      </x:c>
      <x:c r="D1967" s="17" t="str">
        <x:v>next ask before hit/override</x:v>
      </x:c>
      <x:c r="E1967" s="17" t="str">
        <x:v>style</x:v>
      </x:c>
      <x:c r="F1967" s="17" t="str">
        <x:v>no new constraint</x:v>
      </x:c>
      <x:c r="G1967" s="17" t="str"/>
      <x:c r="H1967" s="17" t="str">
        <x:v>I don't have an additional preference for style.</x:v>
      </x:c>
      <x:c r="I1967" s="17" t="str"/>
    </x:row>
    <x:row r="1968">
      <x:c r="A1968" t="str">
        <x:v>public_0172</x:v>
      </x:c>
      <x:c r="B1968" t="str">
        <x:v>browsing</x:v>
      </x:c>
      <x:c r="C1968" t="str">
        <x:v>medium</x:v>
      </x:c>
      <x:c r="D1968" s="17" t="str">
        <x:v>next ask before hit/override</x:v>
      </x:c>
      <x:c r="E1968" s="17" t="str">
        <x:v>brand</x:v>
      </x:c>
      <x:c r="F1968" s="17" t="str">
        <x:v>no new constraint</x:v>
      </x:c>
      <x:c r="G1968" s="17" t="str"/>
      <x:c r="H1968" s="17" t="str">
        <x:v>I don't have an additional preference for brand.</x:v>
      </x:c>
      <x:c r="I1968" s="17" t="str"/>
    </x:row>
    <x:row r="1969">
      <x:c r="A1969" t="str">
        <x:v>public_0172</x:v>
      </x:c>
      <x:c r="B1969" t="str">
        <x:v>browsing</x:v>
      </x:c>
      <x:c r="C1969" t="str">
        <x:v>medium</x:v>
      </x:c>
      <x:c r="D1969" s="17" t="str">
        <x:v>next ask before hit/override</x:v>
      </x:c>
      <x:c r="E1969" s="17" t="str">
        <x:v>budget</x:v>
      </x:c>
      <x:c r="F1969" s="17" t="str">
        <x:v>no new constraint</x:v>
      </x:c>
      <x:c r="G1969" s="17" t="str"/>
      <x:c r="H1969" s="17" t="str">
        <x:v>I don't have an additional preference for budget.</x:v>
      </x:c>
      <x:c r="I1969" s="17" t="str"/>
    </x:row>
    <x:row r="1970">
      <x:c r="A1970" t="str">
        <x:v>public_0172</x:v>
      </x:c>
      <x:c r="B1970" t="str">
        <x:v>browsing</x:v>
      </x:c>
      <x:c r="C1970" t="str">
        <x:v>medium</x:v>
      </x:c>
      <x:c r="D1970" s="17" t="str">
        <x:v>next ask before hit/override</x:v>
      </x:c>
      <x:c r="E1970" s="17" t="str">
        <x:v>feature</x:v>
      </x:c>
      <x:c r="F1970" s="17" t="str">
        <x:v>constraint revealed</x:v>
      </x:c>
      <x:c r="G1970" s="17" t="str">
        <x:v>Imported | Synthetic sole</x:v>
      </x:c>
      <x:c r="H1970" s="17" t="str">
        <x:v>For that, what matters is: Imported; Synthetic sole.</x:v>
      </x:c>
      <x:c r="I1970" s="17" t="str"/>
    </x:row>
    <x:row r="1971">
      <x:c r="A1971" t="str">
        <x:v>public_0172</x:v>
      </x:c>
      <x:c r="B1971" t="str">
        <x:v>browsing</x:v>
      </x:c>
      <x:c r="C1971" t="str">
        <x:v>medium</x:v>
      </x:c>
      <x:c r="D1971" s="17" t="str">
        <x:v>next ask before hit/override</x:v>
      </x:c>
      <x:c r="E1971" s="17" t="str">
        <x:v>use_case</x:v>
      </x:c>
      <x:c r="F1971" s="17" t="str">
        <x:v>no new constraint</x:v>
      </x:c>
      <x:c r="G1971" s="17" t="str"/>
      <x:c r="H1971" s="17" t="str">
        <x:v>I don't have an additional preference for use_case.</x:v>
      </x:c>
      <x:c r="I1971" s="17" t="str"/>
    </x:row>
    <x:row r="1972">
      <x:c r="A1972" t="str">
        <x:v>public_0172</x:v>
      </x:c>
      <x:c r="B1972" t="str">
        <x:v>browsing</x:v>
      </x:c>
      <x:c r="C1972" t="str">
        <x:v>medium</x:v>
      </x:c>
      <x:c r="D1972" s="17" t="str">
        <x:v>next ask before hit/override</x:v>
      </x:c>
      <x:c r="E1972" s="17" t="str">
        <x:v>other</x:v>
      </x:c>
      <x:c r="F1972" s="17" t="str">
        <x:v>constraint revealed</x:v>
      </x:c>
      <x:c r="G1972" s="17" t="str">
        <x:v>cotton | 100% Cotton</x:v>
      </x:c>
      <x:c r="H1972" s="17" t="str">
        <x:v>For that, what matters is: cotton; 100% Cotton.</x:v>
      </x:c>
      <x:c r="I1972" s="17" t="str"/>
    </x:row>
    <x:row r="1973">
      <x:c r="A1973" t="str">
        <x:v>public_0172</x:v>
      </x:c>
      <x:c r="B1973" t="str">
        <x:v>browsing</x:v>
      </x:c>
      <x:c r="C1973" t="str">
        <x:v>medium</x:v>
      </x:c>
      <x:c r="D1973" s="17" t="str">
        <x:v>next ask before hit/override</x:v>
      </x:c>
      <x:c r="E1973" s="17" t="str">
        <x:v>(no ask_attribute)</x:v>
      </x:c>
      <x:c r="F1973" s="17" t="str">
        <x:v>agent did not ask</x:v>
      </x:c>
      <x:c r="G1973" s="17" t="str"/>
      <x:c r="H1973" s="17" t="str">
        <x:v>Those options are not quite right yet. Ask me about one specific attribute.</x:v>
      </x:c>
      <x:c r="I1973" s="17" t="str"/>
    </x:row>
    <x:row r="1974">
      <x:c r="A1974" t="str">
        <x:v>public_0173</x:v>
      </x:c>
      <x:c r="B1974" t="str">
        <x:v>browsing</x:v>
      </x:c>
      <x:c r="C1974" t="str">
        <x:v>medium</x:v>
      </x:c>
      <x:c r="D1974" s="17" t="str">
        <x:v>next ask before hit/override</x:v>
      </x:c>
      <x:c r="E1974" s="17" t="str">
        <x:v>category</x:v>
      </x:c>
      <x:c r="F1974" s="17" t="str">
        <x:v>no new constraint</x:v>
      </x:c>
      <x:c r="G1974" s="17" t="str"/>
      <x:c r="H1974" s="17" t="str">
        <x:v>I don't have an additional preference for category.</x:v>
      </x:c>
      <x:c r="I1974" s="17" t="str"/>
    </x:row>
    <x:row r="1975">
      <x:c r="A1975" t="str">
        <x:v>public_0173</x:v>
      </x:c>
      <x:c r="B1975" t="str">
        <x:v>browsing</x:v>
      </x:c>
      <x:c r="C1975" t="str">
        <x:v>medium</x:v>
      </x:c>
      <x:c r="D1975" s="17" t="str">
        <x:v>next ask before hit/override</x:v>
      </x:c>
      <x:c r="E1975" s="17" t="str">
        <x:v>material</x:v>
      </x:c>
      <x:c r="F1975" s="17" t="str">
        <x:v>constraint revealed</x:v>
      </x:c>
      <x:c r="G1975" s="17" t="str">
        <x:v>fabric | Comfortable feeling: Super lightweight and flexible just like socks,breathable and smooth fabric provide great freedom and comfortable feeling. Let you enjoy your your beach trip o</x:v>
      </x:c>
      <x:c r="H1975" s="17" t="str">
        <x:v>For that, what matters is: fabric; Comfortable feeling: Super lightweight and flexible just like socks,breathable and smooth fabric provide great freedom and comfortable feeling. Let you enjoy your your beach trip o.</x:v>
      </x:c>
      <x:c r="I1975" s="17" t="str"/>
    </x:row>
    <x:row r="1976">
      <x:c r="A1976" t="str">
        <x:v>public_0173</x:v>
      </x:c>
      <x:c r="B1976" t="str">
        <x:v>browsing</x:v>
      </x:c>
      <x:c r="C1976" t="str">
        <x:v>medium</x:v>
      </x:c>
      <x:c r="D1976" s="17" t="str">
        <x:v>next ask before hit/override</x:v>
      </x:c>
      <x:c r="E1976" s="17" t="str">
        <x:v>color</x:v>
      </x:c>
      <x:c r="F1976" s="17" t="str">
        <x:v>no new constraint</x:v>
      </x:c>
      <x:c r="G1976" s="17" t="str"/>
      <x:c r="H1976" s="17" t="str">
        <x:v>I don't have an additional preference for color.</x:v>
      </x:c>
      <x:c r="I1976" s="17" t="str"/>
    </x:row>
    <x:row r="1977">
      <x:c r="A1977" t="str">
        <x:v>public_0173</x:v>
      </x:c>
      <x:c r="B1977" t="str">
        <x:v>browsing</x:v>
      </x:c>
      <x:c r="C1977" t="str">
        <x:v>medium</x:v>
      </x:c>
      <x:c r="D1977" s="17" t="str">
        <x:v>next ask before hit/override</x:v>
      </x:c>
      <x:c r="E1977" s="17" t="str">
        <x:v>size</x:v>
      </x:c>
      <x:c r="F1977" s="17" t="str">
        <x:v>no new constraint</x:v>
      </x:c>
      <x:c r="G1977" s="17" t="str"/>
      <x:c r="H1977" s="17" t="str">
        <x:v>I don't have an additional preference for size.</x:v>
      </x:c>
      <x:c r="I1977" s="17" t="str"/>
    </x:row>
    <x:row r="1978">
      <x:c r="A1978" t="str">
        <x:v>public_0173</x:v>
      </x:c>
      <x:c r="B1978" t="str">
        <x:v>browsing</x:v>
      </x:c>
      <x:c r="C1978" t="str">
        <x:v>medium</x:v>
      </x:c>
      <x:c r="D1978" s="17" t="str">
        <x:v>next ask before hit/override</x:v>
      </x:c>
      <x:c r="E1978" s="17" t="str">
        <x:v>style</x:v>
      </x:c>
      <x:c r="F1978" s="17" t="str">
        <x:v>no new constraint</x:v>
      </x:c>
      <x:c r="G1978" s="17" t="str"/>
      <x:c r="H1978" s="17" t="str">
        <x:v>I don't have an additional preference for style.</x:v>
      </x:c>
      <x:c r="I1978" s="17" t="str"/>
    </x:row>
    <x:row r="1979">
      <x:c r="A1979" t="str">
        <x:v>public_0173</x:v>
      </x:c>
      <x:c r="B1979" t="str">
        <x:v>browsing</x:v>
      </x:c>
      <x:c r="C1979" t="str">
        <x:v>medium</x:v>
      </x:c>
      <x:c r="D1979" s="17" t="str">
        <x:v>next ask before hit/override</x:v>
      </x:c>
      <x:c r="E1979" s="17" t="str">
        <x:v>brand</x:v>
      </x:c>
      <x:c r="F1979" s="17" t="str">
        <x:v>no new constraint</x:v>
      </x:c>
      <x:c r="G1979" s="17" t="str"/>
      <x:c r="H1979" s="17" t="str">
        <x:v>I don't have an additional preference for brand.</x:v>
      </x:c>
      <x:c r="I1979" s="17" t="str"/>
    </x:row>
    <x:row r="1980">
      <x:c r="A1980" t="str">
        <x:v>public_0173</x:v>
      </x:c>
      <x:c r="B1980" t="str">
        <x:v>browsing</x:v>
      </x:c>
      <x:c r="C1980" t="str">
        <x:v>medium</x:v>
      </x:c>
      <x:c r="D1980" s="17" t="str">
        <x:v>next ask before hit/override</x:v>
      </x:c>
      <x:c r="E1980" s="17" t="str">
        <x:v>budget</x:v>
      </x:c>
      <x:c r="F1980" s="17" t="str">
        <x:v>no new constraint</x:v>
      </x:c>
      <x:c r="G1980" s="17" t="str"/>
      <x:c r="H1980" s="17" t="str">
        <x:v>I don't have an additional preference for budget.</x:v>
      </x:c>
      <x:c r="I1980" s="17" t="str"/>
    </x:row>
    <x:row r="1981">
      <x:c r="A1981" t="str">
        <x:v>public_0173</x:v>
      </x:c>
      <x:c r="B1981" t="str">
        <x:v>browsing</x:v>
      </x:c>
      <x:c r="C1981" t="str">
        <x:v>medium</x:v>
      </x:c>
      <x:c r="D1981" s="17" t="str">
        <x:v>next ask before hit/override</x:v>
      </x:c>
      <x:c r="E1981" s="17" t="str">
        <x:v>feature</x:v>
      </x:c>
      <x:c r="F1981" s="17" t="str">
        <x:v>constraint revealed</x:v>
      </x:c>
      <x:c r="G1981" s="17" t="str">
        <x:v>Rubber sole</x:v>
      </x:c>
      <x:c r="H1981" s="17" t="str">
        <x:v>For that, what matters is: Rubber sole.</x:v>
      </x:c>
      <x:c r="I1981" s="17" t="str"/>
    </x:row>
    <x:row r="1982">
      <x:c r="A1982" t="str">
        <x:v>public_0173</x:v>
      </x:c>
      <x:c r="B1982" t="str">
        <x:v>browsing</x:v>
      </x:c>
      <x:c r="C1982" t="str">
        <x:v>medium</x:v>
      </x:c>
      <x:c r="D1982" s="17" t="str">
        <x:v>next ask before hit/override</x:v>
      </x:c>
      <x:c r="E1982" s="17" t="str">
        <x:v>use_case</x:v>
      </x:c>
      <x:c r="F1982" s="17" t="str">
        <x:v>no new constraint</x:v>
      </x:c>
      <x:c r="G1982" s="17" t="str"/>
      <x:c r="H1982" s="17" t="str">
        <x:v>I don't have an additional preference for use_case.</x:v>
      </x:c>
      <x:c r="I1982" s="17" t="str"/>
    </x:row>
    <x:row r="1983">
      <x:c r="A1983" t="str">
        <x:v>public_0173</x:v>
      </x:c>
      <x:c r="B1983" t="str">
        <x:v>browsing</x:v>
      </x:c>
      <x:c r="C1983" t="str">
        <x:v>medium</x:v>
      </x:c>
      <x:c r="D1983" s="17" t="str">
        <x:v>next ask before hit/override</x:v>
      </x:c>
      <x:c r="E1983" s="17" t="str">
        <x:v>other</x:v>
      </x:c>
      <x:c r="F1983" s="17" t="str">
        <x:v>constraint revealed</x:v>
      </x:c>
      <x:c r="G1983" s="17" t="str">
        <x:v>fabric | Rubber sole</x:v>
      </x:c>
      <x:c r="H1983" s="17" t="str">
        <x:v>For that, what matters is: fabric; Rubber sole.</x:v>
      </x:c>
      <x:c r="I1983" s="17" t="str"/>
    </x:row>
    <x:row r="1984">
      <x:c r="A1984" t="str">
        <x:v>public_0173</x:v>
      </x:c>
      <x:c r="B1984" t="str">
        <x:v>browsing</x:v>
      </x:c>
      <x:c r="C1984" t="str">
        <x:v>medium</x:v>
      </x:c>
      <x:c r="D1984" s="17" t="str">
        <x:v>next ask before hit/override</x:v>
      </x:c>
      <x:c r="E1984" s="17" t="str">
        <x:v>(no ask_attribute)</x:v>
      </x:c>
      <x:c r="F1984" s="17" t="str">
        <x:v>agent did not ask</x:v>
      </x:c>
      <x:c r="G1984" s="17" t="str"/>
      <x:c r="H1984" s="17" t="str">
        <x:v>Those options are not quite right yet. Ask me about one specific attribute.</x:v>
      </x:c>
      <x:c r="I1984" s="17" t="str"/>
    </x:row>
    <x:row r="1985">
      <x:c r="A1985" t="str">
        <x:v>public_0174</x:v>
      </x:c>
      <x:c r="B1985" t="str">
        <x:v>buying</x:v>
      </x:c>
      <x:c r="C1985" t="str">
        <x:v>easy</x:v>
      </x:c>
      <x:c r="D1985" s="17" t="str">
        <x:v>next ask before hit/override</x:v>
      </x:c>
      <x:c r="E1985" s="17" t="str">
        <x:v>category</x:v>
      </x:c>
      <x:c r="F1985" s="17" t="str">
        <x:v>no new constraint</x:v>
      </x:c>
      <x:c r="G1985" s="17" t="str"/>
      <x:c r="H1985" s="17" t="str">
        <x:v>I don't have an additional preference for category.</x:v>
      </x:c>
      <x:c r="I1985" s="17" t="str"/>
    </x:row>
    <x:row r="1986">
      <x:c r="A1986" t="str">
        <x:v>public_0174</x:v>
      </x:c>
      <x:c r="B1986" t="str">
        <x:v>buying</x:v>
      </x:c>
      <x:c r="C1986" t="str">
        <x:v>easy</x:v>
      </x:c>
      <x:c r="D1986" s="17" t="str">
        <x:v>next ask before hit/override</x:v>
      </x:c>
      <x:c r="E1986" s="17" t="str">
        <x:v>material</x:v>
      </x:c>
      <x:c r="F1986" s="17" t="str">
        <x:v>constraint revealed</x:v>
      </x:c>
      <x:c r="G1986" s="17" t="str">
        <x:v>100% Polyester</x:v>
      </x:c>
      <x:c r="H1986" s="17" t="str">
        <x:v>For that, what matters is: 100% Polyester.</x:v>
      </x:c>
      <x:c r="I1986" s="17" t="str"/>
    </x:row>
    <x:row r="1987">
      <x:c r="A1987" t="str">
        <x:v>public_0174</x:v>
      </x:c>
      <x:c r="B1987" t="str">
        <x:v>buying</x:v>
      </x:c>
      <x:c r="C1987" t="str">
        <x:v>easy</x:v>
      </x:c>
      <x:c r="D1987" s="17" t="str">
        <x:v>next ask before hit/override</x:v>
      </x:c>
      <x:c r="E1987" s="17" t="str">
        <x:v>color</x:v>
      </x:c>
      <x:c r="F1987" s="17" t="str">
        <x:v>no new constraint</x:v>
      </x:c>
      <x:c r="G1987" s="17" t="str"/>
      <x:c r="H1987" s="17" t="str">
        <x:v>I don't have an additional preference for color.</x:v>
      </x:c>
      <x:c r="I1987" s="17" t="str"/>
    </x:row>
    <x:row r="1988">
      <x:c r="A1988" t="str">
        <x:v>public_0174</x:v>
      </x:c>
      <x:c r="B1988" t="str">
        <x:v>buying</x:v>
      </x:c>
      <x:c r="C1988" t="str">
        <x:v>easy</x:v>
      </x:c>
      <x:c r="D1988" s="17" t="str">
        <x:v>next ask before hit/override</x:v>
      </x:c>
      <x:c r="E1988" s="17" t="str">
        <x:v>size</x:v>
      </x:c>
      <x:c r="F1988" s="17" t="str">
        <x:v>no new constraint</x:v>
      </x:c>
      <x:c r="G1988" s="17" t="str"/>
      <x:c r="H1988" s="17" t="str">
        <x:v>I don't have an additional preference for size.</x:v>
      </x:c>
      <x:c r="I1988" s="17" t="str"/>
    </x:row>
    <x:row r="1989">
      <x:c r="A1989" t="str">
        <x:v>public_0174</x:v>
      </x:c>
      <x:c r="B1989" t="str">
        <x:v>buying</x:v>
      </x:c>
      <x:c r="C1989" t="str">
        <x:v>easy</x:v>
      </x:c>
      <x:c r="D1989" s="17" t="str">
        <x:v>next ask before hit/override</x:v>
      </x:c>
      <x:c r="E1989" s="17" t="str">
        <x:v>style</x:v>
      </x:c>
      <x:c r="F1989" s="17" t="str">
        <x:v>no new constraint</x:v>
      </x:c>
      <x:c r="G1989" s="17" t="str"/>
      <x:c r="H1989" s="17" t="str">
        <x:v>I don't have an additional preference for style.</x:v>
      </x:c>
      <x:c r="I1989" s="17" t="str"/>
    </x:row>
    <x:row r="1990">
      <x:c r="A1990" t="str">
        <x:v>public_0174</x:v>
      </x:c>
      <x:c r="B1990" t="str">
        <x:v>buying</x:v>
      </x:c>
      <x:c r="C1990" t="str">
        <x:v>easy</x:v>
      </x:c>
      <x:c r="D1990" s="17" t="str">
        <x:v>next ask before hit/override</x:v>
      </x:c>
      <x:c r="E1990" s="17" t="str">
        <x:v>brand</x:v>
      </x:c>
      <x:c r="F1990" s="17" t="str">
        <x:v>no new constraint</x:v>
      </x:c>
      <x:c r="G1990" s="17" t="str"/>
      <x:c r="H1990" s="17" t="str">
        <x:v>I don't have an additional preference for brand.</x:v>
      </x:c>
      <x:c r="I1990" s="17" t="str"/>
    </x:row>
    <x:row r="1991">
      <x:c r="A1991" t="str">
        <x:v>public_0174</x:v>
      </x:c>
      <x:c r="B1991" t="str">
        <x:v>buying</x:v>
      </x:c>
      <x:c r="C1991" t="str">
        <x:v>easy</x:v>
      </x:c>
      <x:c r="D1991" s="17" t="str">
        <x:v>next ask before hit/override</x:v>
      </x:c>
      <x:c r="E1991" s="17" t="str">
        <x:v>budget</x:v>
      </x:c>
      <x:c r="F1991" s="17" t="str">
        <x:v>no new constraint</x:v>
      </x:c>
      <x:c r="G1991" s="17" t="str"/>
      <x:c r="H1991" s="17" t="str">
        <x:v>I don't have an additional preference for budget.</x:v>
      </x:c>
      <x:c r="I1991" s="17" t="str"/>
    </x:row>
    <x:row r="1992">
      <x:c r="A1992" t="str">
        <x:v>public_0174</x:v>
      </x:c>
      <x:c r="B1992" t="str">
        <x:v>buying</x:v>
      </x:c>
      <x:c r="C1992" t="str">
        <x:v>easy</x:v>
      </x:c>
      <x:c r="D1992" s="17" t="str">
        <x:v>next ask before hit/override</x:v>
      </x:c>
      <x:c r="E1992" s="17" t="str">
        <x:v>feature</x:v>
      </x:c>
      <x:c r="F1992" s="17" t="str">
        <x:v>constraint revealed</x:v>
      </x:c>
      <x:c r="G1992" s="17" t="str">
        <x:v>Imported | Tie closure</x:v>
      </x:c>
      <x:c r="H1992" s="17" t="str">
        <x:v>For that, what matters is: Imported; Tie closure.</x:v>
      </x:c>
      <x:c r="I1992" s="17" t="str"/>
    </x:row>
    <x:row r="1993">
      <x:c r="A1993" t="str">
        <x:v>public_0174</x:v>
      </x:c>
      <x:c r="B1993" t="str">
        <x:v>buying</x:v>
      </x:c>
      <x:c r="C1993" t="str">
        <x:v>easy</x:v>
      </x:c>
      <x:c r="D1993" s="17" t="str">
        <x:v>next ask before hit/override</x:v>
      </x:c>
      <x:c r="E1993" s="17" t="str">
        <x:v>use_case</x:v>
      </x:c>
      <x:c r="F1993" s="17" t="str">
        <x:v>no new constraint</x:v>
      </x:c>
      <x:c r="G1993" s="17" t="str"/>
      <x:c r="H1993" s="17" t="str">
        <x:v>I don't have an additional preference for use_case.</x:v>
      </x:c>
      <x:c r="I1993" s="17" t="str"/>
    </x:row>
    <x:row r="1994">
      <x:c r="A1994" t="str">
        <x:v>public_0174</x:v>
      </x:c>
      <x:c r="B1994" t="str">
        <x:v>buying</x:v>
      </x:c>
      <x:c r="C1994" t="str">
        <x:v>easy</x:v>
      </x:c>
      <x:c r="D1994" s="17" t="str">
        <x:v>next ask before hit/override</x:v>
      </x:c>
      <x:c r="E1994" s="17" t="str">
        <x:v>other</x:v>
      </x:c>
      <x:c r="F1994" s="17" t="str">
        <x:v>constraint revealed</x:v>
      </x:c>
      <x:c r="G1994" s="17" t="str">
        <x:v>100% Polyester | Imported</x:v>
      </x:c>
      <x:c r="H1994" s="17" t="str">
        <x:v>For that, what matters is: 100% Polyester; Imported.</x:v>
      </x:c>
      <x:c r="I1994" s="17" t="str"/>
    </x:row>
    <x:row r="1995">
      <x:c r="A1995" t="str">
        <x:v>public_0174</x:v>
      </x:c>
      <x:c r="B1995" t="str">
        <x:v>buying</x:v>
      </x:c>
      <x:c r="C1995" t="str">
        <x:v>easy</x:v>
      </x:c>
      <x:c r="D1995" s="17" t="str">
        <x:v>next ask before hit/override</x:v>
      </x:c>
      <x:c r="E1995" s="17" t="str">
        <x:v>(no ask_attribute)</x:v>
      </x:c>
      <x:c r="F1995" s="17" t="str">
        <x:v>agent did not ask</x:v>
      </x:c>
      <x:c r="G1995" s="17" t="str"/>
      <x:c r="H1995" s="17" t="str">
        <x:v>Those options are not quite right yet. Ask me about one specific attribute.</x:v>
      </x:c>
      <x:c r="I1995" s="17" t="str"/>
    </x:row>
    <x:row r="1996">
      <x:c r="A1996" t="str">
        <x:v>public_0175</x:v>
      </x:c>
      <x:c r="B1996" t="str">
        <x:v>browsing</x:v>
      </x:c>
      <x:c r="C1996" t="str">
        <x:v>medium</x:v>
      </x:c>
      <x:c r="D1996" s="17" t="str">
        <x:v>next ask before hit/override</x:v>
      </x:c>
      <x:c r="E1996" s="17" t="str">
        <x:v>category</x:v>
      </x:c>
      <x:c r="F1996" s="17" t="str">
        <x:v>no new constraint</x:v>
      </x:c>
      <x:c r="G1996" s="17" t="str"/>
      <x:c r="H1996" s="17" t="str">
        <x:v>I don't have an additional preference for category.</x:v>
      </x:c>
      <x:c r="I1996" s="17" t="str"/>
    </x:row>
    <x:row r="1997">
      <x:c r="A1997" t="str">
        <x:v>public_0175</x:v>
      </x:c>
      <x:c r="B1997" t="str">
        <x:v>browsing</x:v>
      </x:c>
      <x:c r="C1997" t="str">
        <x:v>medium</x:v>
      </x:c>
      <x:c r="D1997" s="17" t="str">
        <x:v>next ask before hit/override</x:v>
      </x:c>
      <x:c r="E1997" s="17" t="str">
        <x:v>material</x:v>
      </x:c>
      <x:c r="F1997" s="17" t="str">
        <x:v>constraint revealed</x:v>
      </x:c>
      <x:c r="G1997" s="17" t="str">
        <x:v>cotton | 100% Cotton</x:v>
      </x:c>
      <x:c r="H1997" s="17" t="str">
        <x:v>For that, what matters is: cotton; 100% Cotton.</x:v>
      </x:c>
      <x:c r="I1997" s="17" t="str"/>
    </x:row>
    <x:row r="1998">
      <x:c r="A1998" t="str">
        <x:v>public_0175</x:v>
      </x:c>
      <x:c r="B1998" t="str">
        <x:v>browsing</x:v>
      </x:c>
      <x:c r="C1998" t="str">
        <x:v>medium</x:v>
      </x:c>
      <x:c r="D1998" s="17" t="str">
        <x:v>next ask before hit/override</x:v>
      </x:c>
      <x:c r="E1998" s="17" t="str">
        <x:v>color</x:v>
      </x:c>
      <x:c r="F1998" s="17" t="str">
        <x:v>no new constraint</x:v>
      </x:c>
      <x:c r="G1998" s="17" t="str"/>
      <x:c r="H1998" s="17" t="str">
        <x:v>I don't have an additional preference for color.</x:v>
      </x:c>
      <x:c r="I1998" s="17" t="str"/>
    </x:row>
    <x:row r="1999">
      <x:c r="A1999" t="str">
        <x:v>public_0175</x:v>
      </x:c>
      <x:c r="B1999" t="str">
        <x:v>browsing</x:v>
      </x:c>
      <x:c r="C1999" t="str">
        <x:v>medium</x:v>
      </x:c>
      <x:c r="D1999" s="17" t="str">
        <x:v>next ask before hit/override</x:v>
      </x:c>
      <x:c r="E1999" s="17" t="str">
        <x:v>size</x:v>
      </x:c>
      <x:c r="F1999" s="17" t="str">
        <x:v>no new constraint</x:v>
      </x:c>
      <x:c r="G1999" s="17" t="str"/>
      <x:c r="H1999" s="17" t="str">
        <x:v>I don't have an additional preference for size.</x:v>
      </x:c>
      <x:c r="I1999" s="17" t="str"/>
    </x:row>
    <x:row r="2000">
      <x:c r="A2000" t="str">
        <x:v>public_0175</x:v>
      </x:c>
      <x:c r="B2000" t="str">
        <x:v>browsing</x:v>
      </x:c>
      <x:c r="C2000" t="str">
        <x:v>medium</x:v>
      </x:c>
      <x:c r="D2000" s="17" t="str">
        <x:v>next ask before hit/override</x:v>
      </x:c>
      <x:c r="E2000" s="17" t="str">
        <x:v>style</x:v>
      </x:c>
      <x:c r="F2000" s="17" t="str">
        <x:v>no new constraint</x:v>
      </x:c>
      <x:c r="G2000" s="17" t="str"/>
      <x:c r="H2000" s="17" t="str">
        <x:v>I don't have an additional preference for style.</x:v>
      </x:c>
      <x:c r="I2000" s="17" t="str"/>
    </x:row>
    <x:row r="2001">
      <x:c r="A2001" t="str">
        <x:v>public_0175</x:v>
      </x:c>
      <x:c r="B2001" t="str">
        <x:v>browsing</x:v>
      </x:c>
      <x:c r="C2001" t="str">
        <x:v>medium</x:v>
      </x:c>
      <x:c r="D2001" s="17" t="str">
        <x:v>next ask before hit/override</x:v>
      </x:c>
      <x:c r="E2001" s="17" t="str">
        <x:v>brand</x:v>
      </x:c>
      <x:c r="F2001" s="17" t="str">
        <x:v>no new constraint</x:v>
      </x:c>
      <x:c r="G2001" s="17" t="str"/>
      <x:c r="H2001" s="17" t="str">
        <x:v>I don't have an additional preference for brand.</x:v>
      </x:c>
      <x:c r="I2001" s="17" t="str"/>
    </x:row>
    <x:row r="2002">
      <x:c r="A2002" t="str">
        <x:v>public_0175</x:v>
      </x:c>
      <x:c r="B2002" t="str">
        <x:v>browsing</x:v>
      </x:c>
      <x:c r="C2002" t="str">
        <x:v>medium</x:v>
      </x:c>
      <x:c r="D2002" s="17" t="str">
        <x:v>next ask before hit/override</x:v>
      </x:c>
      <x:c r="E2002" s="17" t="str">
        <x:v>budget</x:v>
      </x:c>
      <x:c r="F2002" s="17" t="str">
        <x:v>no new constraint</x:v>
      </x:c>
      <x:c r="G2002" s="17" t="str"/>
      <x:c r="H2002" s="17" t="str">
        <x:v>I don't have an additional preference for budget.</x:v>
      </x:c>
      <x:c r="I2002" s="17" t="str"/>
    </x:row>
    <x:row r="2003">
      <x:c r="A2003" t="str">
        <x:v>public_0175</x:v>
      </x:c>
      <x:c r="B2003" t="str">
        <x:v>browsing</x:v>
      </x:c>
      <x:c r="C2003" t="str">
        <x:v>medium</x:v>
      </x:c>
      <x:c r="D2003" s="17" t="str">
        <x:v>next ask before hit/override</x:v>
      </x:c>
      <x:c r="E2003" s="17" t="str">
        <x:v>feature</x:v>
      </x:c>
      <x:c r="F2003" s="17" t="str">
        <x:v>constraint revealed</x:v>
      </x:c>
      <x:c r="G2003" s="17" t="str">
        <x:v>Imported | Zipper closure</x:v>
      </x:c>
      <x:c r="H2003" s="17" t="str">
        <x:v>For that, what matters is: Imported; Zipper closure.</x:v>
      </x:c>
      <x:c r="I2003" s="17" t="str"/>
    </x:row>
    <x:row r="2004">
      <x:c r="A2004" t="str">
        <x:v>public_0175</x:v>
      </x:c>
      <x:c r="B2004" t="str">
        <x:v>browsing</x:v>
      </x:c>
      <x:c r="C2004" t="str">
        <x:v>medium</x:v>
      </x:c>
      <x:c r="D2004" s="17" t="str">
        <x:v>next ask before hit/override</x:v>
      </x:c>
      <x:c r="E2004" s="17" t="str">
        <x:v>use_case</x:v>
      </x:c>
      <x:c r="F2004" s="17" t="str">
        <x:v>no new constraint</x:v>
      </x:c>
      <x:c r="G2004" s="17" t="str"/>
      <x:c r="H2004" s="17" t="str">
        <x:v>I don't have an additional preference for use_case.</x:v>
      </x:c>
      <x:c r="I2004" s="17" t="str"/>
    </x:row>
    <x:row r="2005">
      <x:c r="A2005" t="str">
        <x:v>public_0175</x:v>
      </x:c>
      <x:c r="B2005" t="str">
        <x:v>browsing</x:v>
      </x:c>
      <x:c r="C2005" t="str">
        <x:v>medium</x:v>
      </x:c>
      <x:c r="D2005" s="17" t="str">
        <x:v>next ask before hit/override</x:v>
      </x:c>
      <x:c r="E2005" s="17" t="str">
        <x:v>other</x:v>
      </x:c>
      <x:c r="F2005" s="17" t="str">
        <x:v>constraint revealed</x:v>
      </x:c>
      <x:c r="G2005" s="17" t="str">
        <x:v>cotton | 100% Cotton</x:v>
      </x:c>
      <x:c r="H2005" s="17" t="str">
        <x:v>For that, what matters is: cotton; 100% Cotton.</x:v>
      </x:c>
      <x:c r="I2005" s="17" t="str"/>
    </x:row>
    <x:row r="2006">
      <x:c r="A2006" t="str">
        <x:v>public_0175</x:v>
      </x:c>
      <x:c r="B2006" t="str">
        <x:v>browsing</x:v>
      </x:c>
      <x:c r="C2006" t="str">
        <x:v>medium</x:v>
      </x:c>
      <x:c r="D2006" s="17" t="str">
        <x:v>next ask before hit/override</x:v>
      </x:c>
      <x:c r="E2006" s="17" t="str">
        <x:v>(no ask_attribute)</x:v>
      </x:c>
      <x:c r="F2006" s="17" t="str">
        <x:v>agent did not ask</x:v>
      </x:c>
      <x:c r="G2006" s="17" t="str"/>
      <x:c r="H2006" s="17" t="str">
        <x:v>Those options are not quite right yet. Ask me about one specific attribute.</x:v>
      </x:c>
      <x:c r="I2006" s="17" t="str"/>
    </x:row>
    <x:row r="2007">
      <x:c r="A2007" t="str">
        <x:v>public_0176</x:v>
      </x:c>
      <x:c r="B2007" t="str">
        <x:v>browsing</x:v>
      </x:c>
      <x:c r="C2007" t="str">
        <x:v>medium</x:v>
      </x:c>
      <x:c r="D2007" s="17" t="str">
        <x:v>next ask before hit/override</x:v>
      </x:c>
      <x:c r="E2007" s="17" t="str">
        <x:v>category</x:v>
      </x:c>
      <x:c r="F2007" s="17" t="str">
        <x:v>no new constraint</x:v>
      </x:c>
      <x:c r="G2007" s="17" t="str"/>
      <x:c r="H2007" s="17" t="str">
        <x:v>I don't have an additional preference for category.</x:v>
      </x:c>
      <x:c r="I2007" s="17" t="str"/>
    </x:row>
    <x:row r="2008">
      <x:c r="A2008" t="str">
        <x:v>public_0176</x:v>
      </x:c>
      <x:c r="B2008" t="str">
        <x:v>browsing</x:v>
      </x:c>
      <x:c r="C2008" t="str">
        <x:v>medium</x:v>
      </x:c>
      <x:c r="D2008" s="17" t="str">
        <x:v>next ask before hit/override</x:v>
      </x:c>
      <x:c r="E2008" s="17" t="str">
        <x:v>material</x:v>
      </x:c>
      <x:c r="F2008" s="17" t="str">
        <x:v>constraint revealed</x:v>
      </x:c>
      <x:c r="G2008" s="17" t="str">
        <x:v>polyester | 93% Polyester, 3% Natural Latex Rubber, 2% Spandex, 2% Nylon</x:v>
      </x:c>
      <x:c r="H2008" s="17" t="str">
        <x:v>For that, what matters is: polyester; 93% Polyester, 3% Natural Latex Rubber, 2% Spandex, 2% Nylon.</x:v>
      </x:c>
      <x:c r="I2008" s="17" t="str"/>
    </x:row>
    <x:row r="2009">
      <x:c r="A2009" t="str">
        <x:v>public_0176</x:v>
      </x:c>
      <x:c r="B2009" t="str">
        <x:v>browsing</x:v>
      </x:c>
      <x:c r="C2009" t="str">
        <x:v>medium</x:v>
      </x:c>
      <x:c r="D2009" s="17" t="str">
        <x:v>next ask before hit/override</x:v>
      </x:c>
      <x:c r="E2009" s="17" t="str">
        <x:v>color</x:v>
      </x:c>
      <x:c r="F2009" s="17" t="str">
        <x:v>no new constraint</x:v>
      </x:c>
      <x:c r="G2009" s="17" t="str"/>
      <x:c r="H2009" s="17" t="str">
        <x:v>I don't have an additional preference for color.</x:v>
      </x:c>
      <x:c r="I2009" s="17" t="str"/>
    </x:row>
    <x:row r="2010">
      <x:c r="A2010" t="str">
        <x:v>public_0176</x:v>
      </x:c>
      <x:c r="B2010" t="str">
        <x:v>browsing</x:v>
      </x:c>
      <x:c r="C2010" t="str">
        <x:v>medium</x:v>
      </x:c>
      <x:c r="D2010" s="17" t="str">
        <x:v>next ask before hit/override</x:v>
      </x:c>
      <x:c r="E2010" s="17" t="str">
        <x:v>size</x:v>
      </x:c>
      <x:c r="F2010" s="17" t="str">
        <x:v>no new constraint</x:v>
      </x:c>
      <x:c r="G2010" s="17" t="str"/>
      <x:c r="H2010" s="17" t="str">
        <x:v>I don't have an additional preference for size.</x:v>
      </x:c>
      <x:c r="I2010" s="17" t="str"/>
    </x:row>
    <x:row r="2011">
      <x:c r="A2011" t="str">
        <x:v>public_0176</x:v>
      </x:c>
      <x:c r="B2011" t="str">
        <x:v>browsing</x:v>
      </x:c>
      <x:c r="C2011" t="str">
        <x:v>medium</x:v>
      </x:c>
      <x:c r="D2011" s="17" t="str">
        <x:v>next ask before hit/override</x:v>
      </x:c>
      <x:c r="E2011" s="17" t="str">
        <x:v>style</x:v>
      </x:c>
      <x:c r="F2011" s="17" t="str">
        <x:v>no new constraint</x:v>
      </x:c>
      <x:c r="G2011" s="17" t="str"/>
      <x:c r="H2011" s="17" t="str">
        <x:v>I don't have an additional preference for style.</x:v>
      </x:c>
      <x:c r="I2011" s="17" t="str"/>
    </x:row>
    <x:row r="2012">
      <x:c r="A2012" t="str">
        <x:v>public_0176</x:v>
      </x:c>
      <x:c r="B2012" t="str">
        <x:v>browsing</x:v>
      </x:c>
      <x:c r="C2012" t="str">
        <x:v>medium</x:v>
      </x:c>
      <x:c r="D2012" s="17" t="str">
        <x:v>next ask before hit/override</x:v>
      </x:c>
      <x:c r="E2012" s="17" t="str">
        <x:v>brand</x:v>
      </x:c>
      <x:c r="F2012" s="17" t="str">
        <x:v>no new constraint</x:v>
      </x:c>
      <x:c r="G2012" s="17" t="str"/>
      <x:c r="H2012" s="17" t="str">
        <x:v>I don't have an additional preference for brand.</x:v>
      </x:c>
      <x:c r="I2012" s="17" t="str"/>
    </x:row>
    <x:row r="2013">
      <x:c r="A2013" t="str">
        <x:v>public_0176</x:v>
      </x:c>
      <x:c r="B2013" t="str">
        <x:v>browsing</x:v>
      </x:c>
      <x:c r="C2013" t="str">
        <x:v>medium</x:v>
      </x:c>
      <x:c r="D2013" s="17" t="str">
        <x:v>next ask before hit/override</x:v>
      </x:c>
      <x:c r="E2013" s="17" t="str">
        <x:v>budget</x:v>
      </x:c>
      <x:c r="F2013" s="17" t="str">
        <x:v>no new constraint</x:v>
      </x:c>
      <x:c r="G2013" s="17" t="str"/>
      <x:c r="H2013" s="17" t="str">
        <x:v>I don't have an additional preference for budget.</x:v>
      </x:c>
      <x:c r="I2013" s="17" t="str"/>
    </x:row>
    <x:row r="2014">
      <x:c r="A2014" t="str">
        <x:v>public_0176</x:v>
      </x:c>
      <x:c r="B2014" t="str">
        <x:v>browsing</x:v>
      </x:c>
      <x:c r="C2014" t="str">
        <x:v>medium</x:v>
      </x:c>
      <x:c r="D2014" s="17" t="str">
        <x:v>next ask before hit/override</x:v>
      </x:c>
      <x:c r="E2014" s="17" t="str">
        <x:v>feature</x:v>
      </x:c>
      <x:c r="F2014" s="17" t="str">
        <x:v>constraint revealed</x:v>
      </x:c>
      <x:c r="G2014" s="17" t="str">
        <x:v>Imported</x:v>
      </x:c>
      <x:c r="H2014" s="17" t="str">
        <x:v>For that, what matters is: Imported.</x:v>
      </x:c>
      <x:c r="I2014" s="17" t="str"/>
    </x:row>
    <x:row r="2015">
      <x:c r="A2015" t="str">
        <x:v>public_0176</x:v>
      </x:c>
      <x:c r="B2015" t="str">
        <x:v>browsing</x:v>
      </x:c>
      <x:c r="C2015" t="str">
        <x:v>medium</x:v>
      </x:c>
      <x:c r="D2015" s="17" t="str">
        <x:v>next ask before hit/override</x:v>
      </x:c>
      <x:c r="E2015" s="17" t="str">
        <x:v>use_case</x:v>
      </x:c>
      <x:c r="F2015" s="17" t="str">
        <x:v>no new constraint</x:v>
      </x:c>
      <x:c r="G2015" s="17" t="str"/>
      <x:c r="H2015" s="17" t="str">
        <x:v>I don't have an additional preference for use_case.</x:v>
      </x:c>
      <x:c r="I2015" s="17" t="str"/>
    </x:row>
    <x:row r="2016">
      <x:c r="A2016" t="str">
        <x:v>public_0176</x:v>
      </x:c>
      <x:c r="B2016" t="str">
        <x:v>browsing</x:v>
      </x:c>
      <x:c r="C2016" t="str">
        <x:v>medium</x:v>
      </x:c>
      <x:c r="D2016" s="17" t="str">
        <x:v>next ask before hit/override</x:v>
      </x:c>
      <x:c r="E2016" s="17" t="str">
        <x:v>other</x:v>
      </x:c>
      <x:c r="F2016" s="17" t="str">
        <x:v>constraint revealed</x:v>
      </x:c>
      <x:c r="G2016" s="17" t="str">
        <x:v>polyester | 93% Polyester, 3% Natural Latex Rubber, 2% Spandex, 2% Nylon</x:v>
      </x:c>
      <x:c r="H2016" s="17" t="str">
        <x:v>For that, what matters is: polyester; 93% Polyester, 3% Natural Latex Rubber, 2% Spandex, 2% Nylon.</x:v>
      </x:c>
      <x:c r="I2016" s="17" t="str"/>
    </x:row>
    <x:row r="2017">
      <x:c r="A2017" t="str">
        <x:v>public_0176</x:v>
      </x:c>
      <x:c r="B2017" t="str">
        <x:v>browsing</x:v>
      </x:c>
      <x:c r="C2017" t="str">
        <x:v>medium</x:v>
      </x:c>
      <x:c r="D2017" s="17" t="str">
        <x:v>next ask before hit/override</x:v>
      </x:c>
      <x:c r="E2017" s="17" t="str">
        <x:v>(no ask_attribute)</x:v>
      </x:c>
      <x:c r="F2017" s="17" t="str">
        <x:v>agent did not ask</x:v>
      </x:c>
      <x:c r="G2017" s="17" t="str"/>
      <x:c r="H2017" s="17" t="str">
        <x:v>Those options are not quite right yet. Ask me about one specific attribute.</x:v>
      </x:c>
      <x:c r="I2017" s="17" t="str"/>
    </x:row>
    <x:row r="2018">
      <x:c r="A2018" t="str">
        <x:v>public_0177</x:v>
      </x:c>
      <x:c r="B2018" t="str">
        <x:v>intent_override</x:v>
      </x:c>
      <x:c r="C2018" t="str">
        <x:v>hard</x:v>
      </x:c>
      <x:c r="D2018" s="17" t="str">
        <x:v>next ask before hit/override</x:v>
      </x:c>
      <x:c r="E2018" s="17" t="str">
        <x:v>category</x:v>
      </x:c>
      <x:c r="F2018" s="17" t="str">
        <x:v>no new constraint</x:v>
      </x:c>
      <x:c r="G2018" s="17" t="str"/>
      <x:c r="H2018" s="17" t="str">
        <x:v>I don't have an additional preference for category.</x:v>
      </x:c>
      <x:c r="I2018" s="17" t="str">
        <x:v>Override message occurs automatically on turn 3 or 4 before this reply when scheduled.</x:v>
      </x:c>
    </x:row>
    <x:row r="2019">
      <x:c r="A2019" t="str">
        <x:v>public_0177</x:v>
      </x:c>
      <x:c r="B2019" t="str">
        <x:v>intent_override</x:v>
      </x:c>
      <x:c r="C2019" t="str">
        <x:v>hard</x:v>
      </x:c>
      <x:c r="D2019" s="17" t="str">
        <x:v>next ask before hit/override</x:v>
      </x:c>
      <x:c r="E2019" s="17" t="str">
        <x:v>material</x:v>
      </x:c>
      <x:c r="F2019" s="17" t="str">
        <x:v>constraint revealed</x:v>
      </x:c>
      <x:c r="G2019" s="17" t="str">
        <x:v>cotton | Cotton, Rayon</x:v>
      </x:c>
      <x:c r="H2019" s="17" t="str">
        <x:v>For that, what matters is: cotton; Cotton, Rayon.</x:v>
      </x:c>
      <x:c r="I2019" s="17" t="str">
        <x:v>Override message occurs automatically on turn 3 or 4 before this reply when scheduled.</x:v>
      </x:c>
    </x:row>
    <x:row r="2020">
      <x:c r="A2020" t="str">
        <x:v>public_0177</x:v>
      </x:c>
      <x:c r="B2020" t="str">
        <x:v>intent_override</x:v>
      </x:c>
      <x:c r="C2020" t="str">
        <x:v>hard</x:v>
      </x:c>
      <x:c r="D2020" s="17" t="str">
        <x:v>next ask before hit/override</x:v>
      </x:c>
      <x:c r="E2020" s="17" t="str">
        <x:v>color</x:v>
      </x:c>
      <x:c r="F2020" s="17" t="str">
        <x:v>no new constraint</x:v>
      </x:c>
      <x:c r="G2020" s="17" t="str"/>
      <x:c r="H2020" s="17" t="str">
        <x:v>I don't have an additional preference for color.</x:v>
      </x:c>
      <x:c r="I2020" s="17" t="str">
        <x:v>Override message occurs automatically on turn 3 or 4 before this reply when scheduled.</x:v>
      </x:c>
    </x:row>
    <x:row r="2021">
      <x:c r="A2021" t="str">
        <x:v>public_0177</x:v>
      </x:c>
      <x:c r="B2021" t="str">
        <x:v>intent_override</x:v>
      </x:c>
      <x:c r="C2021" t="str">
        <x:v>hard</x:v>
      </x:c>
      <x:c r="D2021" s="17" t="str">
        <x:v>next ask before hit/override</x:v>
      </x:c>
      <x:c r="E2021" s="17" t="str">
        <x:v>size</x:v>
      </x:c>
      <x:c r="F2021" s="17" t="str">
        <x:v>no new constraint</x:v>
      </x:c>
      <x:c r="G2021" s="17" t="str"/>
      <x:c r="H2021" s="17" t="str">
        <x:v>I don't have an additional preference for size.</x:v>
      </x:c>
      <x:c r="I2021" s="17" t="str">
        <x:v>Override message occurs automatically on turn 3 or 4 before this reply when scheduled.</x:v>
      </x:c>
    </x:row>
    <x:row r="2022">
      <x:c r="A2022" t="str">
        <x:v>public_0177</x:v>
      </x:c>
      <x:c r="B2022" t="str">
        <x:v>intent_override</x:v>
      </x:c>
      <x:c r="C2022" t="str">
        <x:v>hard</x:v>
      </x:c>
      <x:c r="D2022" s="17" t="str">
        <x:v>next ask before hit/override</x:v>
      </x:c>
      <x:c r="E2022" s="17" t="str">
        <x:v>style</x:v>
      </x:c>
      <x:c r="F2022" s="17" t="str">
        <x:v>no new constraint</x:v>
      </x:c>
      <x:c r="G2022" s="17" t="str"/>
      <x:c r="H2022" s="17" t="str">
        <x:v>I don't have an additional preference for style.</x:v>
      </x:c>
      <x:c r="I2022" s="17" t="str">
        <x:v>Override message occurs automatically on turn 3 or 4 before this reply when scheduled.</x:v>
      </x:c>
    </x:row>
    <x:row r="2023">
      <x:c r="A2023" t="str">
        <x:v>public_0177</x:v>
      </x:c>
      <x:c r="B2023" t="str">
        <x:v>intent_override</x:v>
      </x:c>
      <x:c r="C2023" t="str">
        <x:v>hard</x:v>
      </x:c>
      <x:c r="D2023" s="17" t="str">
        <x:v>next ask before hit/override</x:v>
      </x:c>
      <x:c r="E2023" s="17" t="str">
        <x:v>brand</x:v>
      </x:c>
      <x:c r="F2023" s="17" t="str">
        <x:v>no new constraint</x:v>
      </x:c>
      <x:c r="G2023" s="17" t="str"/>
      <x:c r="H2023" s="17" t="str">
        <x:v>I don't have an additional preference for brand.</x:v>
      </x:c>
      <x:c r="I2023" s="17" t="str">
        <x:v>Override message occurs automatically on turn 3 or 4 before this reply when scheduled.</x:v>
      </x:c>
    </x:row>
    <x:row r="2024">
      <x:c r="A2024" t="str">
        <x:v>public_0177</x:v>
      </x:c>
      <x:c r="B2024" t="str">
        <x:v>intent_override</x:v>
      </x:c>
      <x:c r="C2024" t="str">
        <x:v>hard</x:v>
      </x:c>
      <x:c r="D2024" s="17" t="str">
        <x:v>next ask before hit/override</x:v>
      </x:c>
      <x:c r="E2024" s="17" t="str">
        <x:v>budget</x:v>
      </x:c>
      <x:c r="F2024" s="17" t="str">
        <x:v>no new constraint</x:v>
      </x:c>
      <x:c r="G2024" s="17" t="str"/>
      <x:c r="H2024" s="17" t="str">
        <x:v>I don't have an additional preference for budget.</x:v>
      </x:c>
      <x:c r="I2024" s="17" t="str">
        <x:v>Override message occurs automatically on turn 3 or 4 before this reply when scheduled.</x:v>
      </x:c>
    </x:row>
    <x:row r="2025">
      <x:c r="A2025" t="str">
        <x:v>public_0177</x:v>
      </x:c>
      <x:c r="B2025" t="str">
        <x:v>intent_override</x:v>
      </x:c>
      <x:c r="C2025" t="str">
        <x:v>hard</x:v>
      </x:c>
      <x:c r="D2025" s="17" t="str">
        <x:v>next ask before hit/override</x:v>
      </x:c>
      <x:c r="E2025" s="17" t="str">
        <x:v>feature</x:v>
      </x:c>
      <x:c r="F2025" s="17" t="str">
        <x:v>constraint revealed</x:v>
      </x:c>
      <x:c r="G2025" s="17" t="str">
        <x:v>Imported | Button closure</x:v>
      </x:c>
      <x:c r="H2025" s="17" t="str">
        <x:v>For that, what matters is: Imported; Button closure.</x:v>
      </x:c>
      <x:c r="I2025" s="17" t="str">
        <x:v>Override message occurs automatically on turn 3 or 4 before this reply when scheduled.</x:v>
      </x:c>
    </x:row>
    <x:row r="2026">
      <x:c r="A2026" t="str">
        <x:v>public_0177</x:v>
      </x:c>
      <x:c r="B2026" t="str">
        <x:v>intent_override</x:v>
      </x:c>
      <x:c r="C2026" t="str">
        <x:v>hard</x:v>
      </x:c>
      <x:c r="D2026" s="17" t="str">
        <x:v>next ask before hit/override</x:v>
      </x:c>
      <x:c r="E2026" s="17" t="str">
        <x:v>use_case</x:v>
      </x:c>
      <x:c r="F2026" s="17" t="str">
        <x:v>no new constraint</x:v>
      </x:c>
      <x:c r="G2026" s="17" t="str"/>
      <x:c r="H2026" s="17" t="str">
        <x:v>I don't have an additional preference for use_case.</x:v>
      </x:c>
      <x:c r="I2026" s="17" t="str">
        <x:v>Override message occurs automatically on turn 3 or 4 before this reply when scheduled.</x:v>
      </x:c>
    </x:row>
    <x:row r="2027">
      <x:c r="A2027" t="str">
        <x:v>public_0177</x:v>
      </x:c>
      <x:c r="B2027" t="str">
        <x:v>intent_override</x:v>
      </x:c>
      <x:c r="C2027" t="str">
        <x:v>hard</x:v>
      </x:c>
      <x:c r="D2027" s="17" t="str">
        <x:v>next ask before hit/override</x:v>
      </x:c>
      <x:c r="E2027" s="17" t="str">
        <x:v>other</x:v>
      </x:c>
      <x:c r="F2027" s="17" t="str">
        <x:v>constraint revealed</x:v>
      </x:c>
      <x:c r="G2027" s="17" t="str">
        <x:v>cotton | Cotton, Rayon</x:v>
      </x:c>
      <x:c r="H2027" s="17" t="str">
        <x:v>For that, what matters is: cotton; Cotton, Rayon.</x:v>
      </x:c>
      <x:c r="I2027" s="17" t="str">
        <x:v>Override message occurs automatically on turn 3 or 4 before this reply when scheduled.</x:v>
      </x:c>
    </x:row>
    <x:row r="2028">
      <x:c r="A2028" t="str">
        <x:v>public_0177</x:v>
      </x:c>
      <x:c r="B2028" t="str">
        <x:v>intent_override</x:v>
      </x:c>
      <x:c r="C2028" t="str">
        <x:v>hard</x:v>
      </x:c>
      <x:c r="D2028" s="17" t="str">
        <x:v>next ask before hit/override</x:v>
      </x:c>
      <x:c r="E2028" s="17" t="str">
        <x:v>(no ask_attribute)</x:v>
      </x:c>
      <x:c r="F2028" s="17" t="str">
        <x:v>agent did not ask</x:v>
      </x:c>
      <x:c r="G2028" s="17" t="str"/>
      <x:c r="H2028" s="17" t="str">
        <x:v>Those options are not quite right yet. Ask me about one specific attribute.</x:v>
      </x:c>
      <x:c r="I2028" s="17" t="str">
        <x:v>Override message occurs automatically on turn 3 or 4 before this reply when scheduled.</x:v>
      </x:c>
    </x:row>
    <x:row r="2029">
      <x:c r="A2029" t="str">
        <x:v>public_0178</x:v>
      </x:c>
      <x:c r="B2029" t="str">
        <x:v>buying</x:v>
      </x:c>
      <x:c r="C2029" t="str">
        <x:v>easy</x:v>
      </x:c>
      <x:c r="D2029" s="17" t="str">
        <x:v>next ask before hit/override</x:v>
      </x:c>
      <x:c r="E2029" s="17" t="str">
        <x:v>category</x:v>
      </x:c>
      <x:c r="F2029" s="17" t="str">
        <x:v>no new constraint</x:v>
      </x:c>
      <x:c r="G2029" s="17" t="str"/>
      <x:c r="H2029" s="17" t="str">
        <x:v>I don't have an additional preference for category.</x:v>
      </x:c>
      <x:c r="I2029" s="17" t="str"/>
    </x:row>
    <x:row r="2030">
      <x:c r="A2030" t="str">
        <x:v>public_0178</x:v>
      </x:c>
      <x:c r="B2030" t="str">
        <x:v>buying</x:v>
      </x:c>
      <x:c r="C2030" t="str">
        <x:v>easy</x:v>
      </x:c>
      <x:c r="D2030" s="17" t="str">
        <x:v>next ask before hit/override</x:v>
      </x:c>
      <x:c r="E2030" s="17" t="str">
        <x:v>material</x:v>
      </x:c>
      <x:c r="F2030" s="17" t="str">
        <x:v>constraint revealed</x:v>
      </x:c>
      <x:c r="G2030" s="17" t="str">
        <x:v>100% Cotton</x:v>
      </x:c>
      <x:c r="H2030" s="17" t="str">
        <x:v>For that, what matters is: 100% Cotton.</x:v>
      </x:c>
      <x:c r="I2030" s="17" t="str"/>
    </x:row>
    <x:row r="2031">
      <x:c r="A2031" t="str">
        <x:v>public_0178</x:v>
      </x:c>
      <x:c r="B2031" t="str">
        <x:v>buying</x:v>
      </x:c>
      <x:c r="C2031" t="str">
        <x:v>easy</x:v>
      </x:c>
      <x:c r="D2031" s="17" t="str">
        <x:v>next ask before hit/override</x:v>
      </x:c>
      <x:c r="E2031" s="17" t="str">
        <x:v>color</x:v>
      </x:c>
      <x:c r="F2031" s="17" t="str">
        <x:v>constraint revealed</x:v>
      </x:c>
      <x:c r="G2031" s="17" t="str">
        <x:v>color: red</x:v>
      </x:c>
      <x:c r="H2031" s="17" t="str">
        <x:v>For that, what matters is: color: red.</x:v>
      </x:c>
      <x:c r="I2031" s="17" t="str"/>
    </x:row>
    <x:row r="2032">
      <x:c r="A2032" t="str">
        <x:v>public_0178</x:v>
      </x:c>
      <x:c r="B2032" t="str">
        <x:v>buying</x:v>
      </x:c>
      <x:c r="C2032" t="str">
        <x:v>easy</x:v>
      </x:c>
      <x:c r="D2032" s="17" t="str">
        <x:v>next ask before hit/override</x:v>
      </x:c>
      <x:c r="E2032" s="17" t="str">
        <x:v>size</x:v>
      </x:c>
      <x:c r="F2032" s="17" t="str">
        <x:v>no new constraint</x:v>
      </x:c>
      <x:c r="G2032" s="17" t="str"/>
      <x:c r="H2032" s="17" t="str">
        <x:v>I don't have an additional preference for size.</x:v>
      </x:c>
      <x:c r="I2032" s="17" t="str"/>
    </x:row>
    <x:row r="2033">
      <x:c r="A2033" t="str">
        <x:v>public_0178</x:v>
      </x:c>
      <x:c r="B2033" t="str">
        <x:v>buying</x:v>
      </x:c>
      <x:c r="C2033" t="str">
        <x:v>easy</x:v>
      </x:c>
      <x:c r="D2033" s="17" t="str">
        <x:v>next ask before hit/override</x:v>
      </x:c>
      <x:c r="E2033" s="17" t="str">
        <x:v>style</x:v>
      </x:c>
      <x:c r="F2033" s="17" t="str">
        <x:v>no new constraint</x:v>
      </x:c>
      <x:c r="G2033" s="17" t="str"/>
      <x:c r="H2033" s="17" t="str">
        <x:v>I don't have an additional preference for style.</x:v>
      </x:c>
      <x:c r="I2033" s="17" t="str"/>
    </x:row>
    <x:row r="2034">
      <x:c r="A2034" t="str">
        <x:v>public_0178</x:v>
      </x:c>
      <x:c r="B2034" t="str">
        <x:v>buying</x:v>
      </x:c>
      <x:c r="C2034" t="str">
        <x:v>easy</x:v>
      </x:c>
      <x:c r="D2034" s="17" t="str">
        <x:v>next ask before hit/override</x:v>
      </x:c>
      <x:c r="E2034" s="17" t="str">
        <x:v>brand</x:v>
      </x:c>
      <x:c r="F2034" s="17" t="str">
        <x:v>no new constraint</x:v>
      </x:c>
      <x:c r="G2034" s="17" t="str"/>
      <x:c r="H2034" s="17" t="str">
        <x:v>I don't have an additional preference for brand.</x:v>
      </x:c>
      <x:c r="I2034" s="17" t="str"/>
    </x:row>
    <x:row r="2035">
      <x:c r="A2035" t="str">
        <x:v>public_0178</x:v>
      </x:c>
      <x:c r="B2035" t="str">
        <x:v>buying</x:v>
      </x:c>
      <x:c r="C2035" t="str">
        <x:v>easy</x:v>
      </x:c>
      <x:c r="D2035" s="17" t="str">
        <x:v>next ask before hit/override</x:v>
      </x:c>
      <x:c r="E2035" s="17" t="str">
        <x:v>budget</x:v>
      </x:c>
      <x:c r="F2035" s="17" t="str">
        <x:v>no new constraint</x:v>
      </x:c>
      <x:c r="G2035" s="17" t="str"/>
      <x:c r="H2035" s="17" t="str">
        <x:v>I don't have an additional preference for budget.</x:v>
      </x:c>
      <x:c r="I2035" s="17" t="str"/>
    </x:row>
    <x:row r="2036">
      <x:c r="A2036" t="str">
        <x:v>public_0178</x:v>
      </x:c>
      <x:c r="B2036" t="str">
        <x:v>buying</x:v>
      </x:c>
      <x:c r="C2036" t="str">
        <x:v>easy</x:v>
      </x:c>
      <x:c r="D2036" s="17" t="str">
        <x:v>next ask before hit/override</x:v>
      </x:c>
      <x:c r="E2036" s="17" t="str">
        <x:v>feature</x:v>
      </x:c>
      <x:c r="F2036" s="17" t="str">
        <x:v>constraint revealed</x:v>
      </x:c>
      <x:c r="G2036" s="17" t="str">
        <x:v>Made in the USA</x:v>
      </x:c>
      <x:c r="H2036" s="17" t="str">
        <x:v>For that, what matters is: Made in the USA.</x:v>
      </x:c>
      <x:c r="I2036" s="17" t="str"/>
    </x:row>
    <x:row r="2037">
      <x:c r="A2037" t="str">
        <x:v>public_0178</x:v>
      </x:c>
      <x:c r="B2037" t="str">
        <x:v>buying</x:v>
      </x:c>
      <x:c r="C2037" t="str">
        <x:v>easy</x:v>
      </x:c>
      <x:c r="D2037" s="17" t="str">
        <x:v>next ask before hit/override</x:v>
      </x:c>
      <x:c r="E2037" s="17" t="str">
        <x:v>use_case</x:v>
      </x:c>
      <x:c r="F2037" s="17" t="str">
        <x:v>no new constraint</x:v>
      </x:c>
      <x:c r="G2037" s="17" t="str"/>
      <x:c r="H2037" s="17" t="str">
        <x:v>I don't have an additional preference for use_case.</x:v>
      </x:c>
      <x:c r="I2037" s="17" t="str"/>
    </x:row>
    <x:row r="2038">
      <x:c r="A2038" t="str">
        <x:v>public_0178</x:v>
      </x:c>
      <x:c r="B2038" t="str">
        <x:v>buying</x:v>
      </x:c>
      <x:c r="C2038" t="str">
        <x:v>easy</x:v>
      </x:c>
      <x:c r="D2038" s="17" t="str">
        <x:v>next ask before hit/override</x:v>
      </x:c>
      <x:c r="E2038" s="17" t="str">
        <x:v>other</x:v>
      </x:c>
      <x:c r="F2038" s="17" t="str">
        <x:v>constraint revealed</x:v>
      </x:c>
      <x:c r="G2038" s="17" t="str">
        <x:v>color: red | 100% Cotton</x:v>
      </x:c>
      <x:c r="H2038" s="17" t="str">
        <x:v>For that, what matters is: color: red; 100% Cotton.</x:v>
      </x:c>
      <x:c r="I2038" s="17" t="str"/>
    </x:row>
    <x:row r="2039">
      <x:c r="A2039" t="str">
        <x:v>public_0178</x:v>
      </x:c>
      <x:c r="B2039" t="str">
        <x:v>buying</x:v>
      </x:c>
      <x:c r="C2039" t="str">
        <x:v>easy</x:v>
      </x:c>
      <x:c r="D2039" s="17" t="str">
        <x:v>next ask before hit/override</x:v>
      </x:c>
      <x:c r="E2039" s="17" t="str">
        <x:v>(no ask_attribute)</x:v>
      </x:c>
      <x:c r="F2039" s="17" t="str">
        <x:v>agent did not ask</x:v>
      </x:c>
      <x:c r="G2039" s="17" t="str"/>
      <x:c r="H2039" s="17" t="str">
        <x:v>Those options are not quite right yet. Ask me about one specific attribute.</x:v>
      </x:c>
      <x:c r="I2039" s="17" t="str"/>
    </x:row>
    <x:row r="2040">
      <x:c r="A2040" t="str">
        <x:v>public_0179</x:v>
      </x:c>
      <x:c r="B2040" t="str">
        <x:v>buying</x:v>
      </x:c>
      <x:c r="C2040" t="str">
        <x:v>easy</x:v>
      </x:c>
      <x:c r="D2040" s="17" t="str">
        <x:v>next ask before hit/override</x:v>
      </x:c>
      <x:c r="E2040" s="17" t="str">
        <x:v>category</x:v>
      </x:c>
      <x:c r="F2040" s="17" t="str">
        <x:v>no new constraint</x:v>
      </x:c>
      <x:c r="G2040" s="17" t="str"/>
      <x:c r="H2040" s="17" t="str">
        <x:v>I don't have an additional preference for category.</x:v>
      </x:c>
      <x:c r="I2040" s="17" t="str"/>
    </x:row>
    <x:row r="2041">
      <x:c r="A2041" t="str">
        <x:v>public_0179</x:v>
      </x:c>
      <x:c r="B2041" t="str">
        <x:v>buying</x:v>
      </x:c>
      <x:c r="C2041" t="str">
        <x:v>easy</x:v>
      </x:c>
      <x:c r="D2041" s="17" t="str">
        <x:v>next ask before hit/override</x:v>
      </x:c>
      <x:c r="E2041" s="17" t="str">
        <x:v>material</x:v>
      </x:c>
      <x:c r="F2041" s="17" t="str">
        <x:v>constraint revealed</x:v>
      </x:c>
      <x:c r="G2041" s="17" t="str">
        <x:v>5% spandex</x:v>
      </x:c>
      <x:c r="H2041" s="17" t="str">
        <x:v>For that, what matters is: 5% spandex.</x:v>
      </x:c>
      <x:c r="I2041" s="17" t="str"/>
    </x:row>
    <x:row r="2042">
      <x:c r="A2042" t="str">
        <x:v>public_0179</x:v>
      </x:c>
      <x:c r="B2042" t="str">
        <x:v>buying</x:v>
      </x:c>
      <x:c r="C2042" t="str">
        <x:v>easy</x:v>
      </x:c>
      <x:c r="D2042" s="17" t="str">
        <x:v>next ask before hit/override</x:v>
      </x:c>
      <x:c r="E2042" s="17" t="str">
        <x:v>color</x:v>
      </x:c>
      <x:c r="F2042" s="17" t="str">
        <x:v>no new constraint</x:v>
      </x:c>
      <x:c r="G2042" s="17" t="str"/>
      <x:c r="H2042" s="17" t="str">
        <x:v>I don't have an additional preference for color.</x:v>
      </x:c>
      <x:c r="I2042" s="17" t="str"/>
    </x:row>
    <x:row r="2043">
      <x:c r="A2043" t="str">
        <x:v>public_0179</x:v>
      </x:c>
      <x:c r="B2043" t="str">
        <x:v>buying</x:v>
      </x:c>
      <x:c r="C2043" t="str">
        <x:v>easy</x:v>
      </x:c>
      <x:c r="D2043" s="17" t="str">
        <x:v>next ask before hit/override</x:v>
      </x:c>
      <x:c r="E2043" s="17" t="str">
        <x:v>size</x:v>
      </x:c>
      <x:c r="F2043" s="17" t="str">
        <x:v>no new constraint</x:v>
      </x:c>
      <x:c r="G2043" s="17" t="str"/>
      <x:c r="H2043" s="17" t="str">
        <x:v>I don't have an additional preference for size.</x:v>
      </x:c>
      <x:c r="I2043" s="17" t="str"/>
    </x:row>
    <x:row r="2044">
      <x:c r="A2044" t="str">
        <x:v>public_0179</x:v>
      </x:c>
      <x:c r="B2044" t="str">
        <x:v>buying</x:v>
      </x:c>
      <x:c r="C2044" t="str">
        <x:v>easy</x:v>
      </x:c>
      <x:c r="D2044" s="17" t="str">
        <x:v>next ask before hit/override</x:v>
      </x:c>
      <x:c r="E2044" s="17" t="str">
        <x:v>style</x:v>
      </x:c>
      <x:c r="F2044" s="17" t="str">
        <x:v>no new constraint</x:v>
      </x:c>
      <x:c r="G2044" s="17" t="str"/>
      <x:c r="H2044" s="17" t="str">
        <x:v>I don't have an additional preference for style.</x:v>
      </x:c>
      <x:c r="I2044" s="17" t="str"/>
    </x:row>
    <x:row r="2045">
      <x:c r="A2045" t="str">
        <x:v>public_0179</x:v>
      </x:c>
      <x:c r="B2045" t="str">
        <x:v>buying</x:v>
      </x:c>
      <x:c r="C2045" t="str">
        <x:v>easy</x:v>
      </x:c>
      <x:c r="D2045" s="17" t="str">
        <x:v>next ask before hit/override</x:v>
      </x:c>
      <x:c r="E2045" s="17" t="str">
        <x:v>brand</x:v>
      </x:c>
      <x:c r="F2045" s="17" t="str">
        <x:v>no new constraint</x:v>
      </x:c>
      <x:c r="G2045" s="17" t="str"/>
      <x:c r="H2045" s="17" t="str">
        <x:v>I don't have an additional preference for brand.</x:v>
      </x:c>
      <x:c r="I2045" s="17" t="str"/>
    </x:row>
    <x:row r="2046">
      <x:c r="A2046" t="str">
        <x:v>public_0179</x:v>
      </x:c>
      <x:c r="B2046" t="str">
        <x:v>buying</x:v>
      </x:c>
      <x:c r="C2046" t="str">
        <x:v>easy</x:v>
      </x:c>
      <x:c r="D2046" s="17" t="str">
        <x:v>next ask before hit/override</x:v>
      </x:c>
      <x:c r="E2046" s="17" t="str">
        <x:v>budget</x:v>
      </x:c>
      <x:c r="F2046" s="17" t="str">
        <x:v>no new constraint</x:v>
      </x:c>
      <x:c r="G2046" s="17" t="str"/>
      <x:c r="H2046" s="17" t="str">
        <x:v>I don't have an additional preference for budget.</x:v>
      </x:c>
      <x:c r="I2046" s="17" t="str"/>
    </x:row>
    <x:row r="2047">
      <x:c r="A2047" t="str">
        <x:v>public_0179</x:v>
      </x:c>
      <x:c r="B2047" t="str">
        <x:v>buying</x:v>
      </x:c>
      <x:c r="C2047" t="str">
        <x:v>easy</x:v>
      </x:c>
      <x:c r="D2047" s="17" t="str">
        <x:v>next ask before hit/override</x:v>
      </x:c>
      <x:c r="E2047" s="17" t="str">
        <x:v>feature</x:v>
      </x:c>
      <x:c r="F2047" s="17" t="str">
        <x:v>constraint revealed</x:v>
      </x:c>
      <x:c r="G2047" s="17" t="str">
        <x:v>Made in the USA | Pull On closure</x:v>
      </x:c>
      <x:c r="H2047" s="17" t="str">
        <x:v>For that, what matters is: Made in the USA; Pull On closure.</x:v>
      </x:c>
      <x:c r="I2047" s="17" t="str"/>
    </x:row>
    <x:row r="2048">
      <x:c r="A2048" t="str">
        <x:v>public_0179</x:v>
      </x:c>
      <x:c r="B2048" t="str">
        <x:v>buying</x:v>
      </x:c>
      <x:c r="C2048" t="str">
        <x:v>easy</x:v>
      </x:c>
      <x:c r="D2048" s="17" t="str">
        <x:v>next ask before hit/override</x:v>
      </x:c>
      <x:c r="E2048" s="17" t="str">
        <x:v>use_case</x:v>
      </x:c>
      <x:c r="F2048" s="17" t="str">
        <x:v>no new constraint</x:v>
      </x:c>
      <x:c r="G2048" s="17" t="str"/>
      <x:c r="H2048" s="17" t="str">
        <x:v>I don't have an additional preference for use_case.</x:v>
      </x:c>
      <x:c r="I2048" s="17" t="str"/>
    </x:row>
    <x:row r="2049">
      <x:c r="A2049" t="str">
        <x:v>public_0179</x:v>
      </x:c>
      <x:c r="B2049" t="str">
        <x:v>buying</x:v>
      </x:c>
      <x:c r="C2049" t="str">
        <x:v>easy</x:v>
      </x:c>
      <x:c r="D2049" s="17" t="str">
        <x:v>next ask before hit/override</x:v>
      </x:c>
      <x:c r="E2049" s="17" t="str">
        <x:v>other</x:v>
      </x:c>
      <x:c r="F2049" s="17" t="str">
        <x:v>constraint revealed</x:v>
      </x:c>
      <x:c r="G2049" s="17" t="str">
        <x:v>5% spandex | Made in the USA</x:v>
      </x:c>
      <x:c r="H2049" s="17" t="str">
        <x:v>For that, what matters is: 5% spandex; Made in the USA.</x:v>
      </x:c>
      <x:c r="I2049" s="17" t="str"/>
    </x:row>
    <x:row r="2050">
      <x:c r="A2050" t="str">
        <x:v>public_0179</x:v>
      </x:c>
      <x:c r="B2050" t="str">
        <x:v>buying</x:v>
      </x:c>
      <x:c r="C2050" t="str">
        <x:v>easy</x:v>
      </x:c>
      <x:c r="D2050" s="17" t="str">
        <x:v>next ask before hit/override</x:v>
      </x:c>
      <x:c r="E2050" s="17" t="str">
        <x:v>(no ask_attribute)</x:v>
      </x:c>
      <x:c r="F2050" s="17" t="str">
        <x:v>agent did not ask</x:v>
      </x:c>
      <x:c r="G2050" s="17" t="str"/>
      <x:c r="H2050" s="17" t="str">
        <x:v>Those options are not quite right yet. Ask me about one specific attribute.</x:v>
      </x:c>
      <x:c r="I2050" s="17" t="str"/>
    </x:row>
    <x:row r="2051">
      <x:c r="A2051" t="str">
        <x:v>public_0180</x:v>
      </x:c>
      <x:c r="B2051" t="str">
        <x:v>boundary</x:v>
      </x:c>
      <x:c r="C2051" t="str">
        <x:v>medium</x:v>
      </x:c>
      <x:c r="D2051" s="17" t="str">
        <x:v>first ask (boundary unused)</x:v>
      </x:c>
      <x:c r="E2051" s="17" t="str">
        <x:v>category</x:v>
      </x:c>
      <x:c r="F2051" s="17" t="str">
        <x:v>boundary no-preference</x:v>
      </x:c>
      <x:c r="G2051" s="17" t="str"/>
      <x:c r="H2051" s="17" t="str">
        <x:v>I don't have a preference for category; please use your judgment.</x:v>
      </x:c>
      <x:c r="I2051" s="17" t="str"/>
    </x:row>
    <x:row r="2052">
      <x:c r="A2052" t="str">
        <x:v>public_0180</x:v>
      </x:c>
      <x:c r="B2052" t="str">
        <x:v>boundary</x:v>
      </x:c>
      <x:c r="C2052" t="str">
        <x:v>medium</x:v>
      </x:c>
      <x:c r="D2052" s="17" t="str">
        <x:v>first ask (boundary unused)</x:v>
      </x:c>
      <x:c r="E2052" s="17" t="str">
        <x:v>material</x:v>
      </x:c>
      <x:c r="F2052" s="17" t="str">
        <x:v>boundary no-preference</x:v>
      </x:c>
      <x:c r="G2052" s="17" t="str"/>
      <x:c r="H2052" s="17" t="str">
        <x:v>I don't have a preference for material; please use your judgment.</x:v>
      </x:c>
      <x:c r="I2052" s="17" t="str"/>
    </x:row>
    <x:row r="2053">
      <x:c r="A2053" t="str">
        <x:v>public_0180</x:v>
      </x:c>
      <x:c r="B2053" t="str">
        <x:v>boundary</x:v>
      </x:c>
      <x:c r="C2053" t="str">
        <x:v>medium</x:v>
      </x:c>
      <x:c r="D2053" s="17" t="str">
        <x:v>first ask (boundary unused)</x:v>
      </x:c>
      <x:c r="E2053" s="17" t="str">
        <x:v>color</x:v>
      </x:c>
      <x:c r="F2053" s="17" t="str">
        <x:v>boundary no-preference</x:v>
      </x:c>
      <x:c r="G2053" s="17" t="str"/>
      <x:c r="H2053" s="17" t="str">
        <x:v>I don't have a preference for color; please use your judgment.</x:v>
      </x:c>
      <x:c r="I2053" s="17" t="str"/>
    </x:row>
    <x:row r="2054">
      <x:c r="A2054" t="str">
        <x:v>public_0180</x:v>
      </x:c>
      <x:c r="B2054" t="str">
        <x:v>boundary</x:v>
      </x:c>
      <x:c r="C2054" t="str">
        <x:v>medium</x:v>
      </x:c>
      <x:c r="D2054" s="17" t="str">
        <x:v>first ask (boundary unused)</x:v>
      </x:c>
      <x:c r="E2054" s="17" t="str">
        <x:v>size</x:v>
      </x:c>
      <x:c r="F2054" s="17" t="str">
        <x:v>boundary no-preference</x:v>
      </x:c>
      <x:c r="G2054" s="17" t="str"/>
      <x:c r="H2054" s="17" t="str">
        <x:v>I don't have a preference for size; please use your judgment.</x:v>
      </x:c>
      <x:c r="I2054" s="17" t="str"/>
    </x:row>
    <x:row r="2055">
      <x:c r="A2055" t="str">
        <x:v>public_0180</x:v>
      </x:c>
      <x:c r="B2055" t="str">
        <x:v>boundary</x:v>
      </x:c>
      <x:c r="C2055" t="str">
        <x:v>medium</x:v>
      </x:c>
      <x:c r="D2055" s="17" t="str">
        <x:v>first ask (boundary unused)</x:v>
      </x:c>
      <x:c r="E2055" s="17" t="str">
        <x:v>style</x:v>
      </x:c>
      <x:c r="F2055" s="17" t="str">
        <x:v>boundary no-preference</x:v>
      </x:c>
      <x:c r="G2055" s="17" t="str"/>
      <x:c r="H2055" s="17" t="str">
        <x:v>I don't have a preference for style; please use your judgment.</x:v>
      </x:c>
      <x:c r="I2055" s="17" t="str"/>
    </x:row>
    <x:row r="2056">
      <x:c r="A2056" t="str">
        <x:v>public_0180</x:v>
      </x:c>
      <x:c r="B2056" t="str">
        <x:v>boundary</x:v>
      </x:c>
      <x:c r="C2056" t="str">
        <x:v>medium</x:v>
      </x:c>
      <x:c r="D2056" s="17" t="str">
        <x:v>first ask (boundary unused)</x:v>
      </x:c>
      <x:c r="E2056" s="17" t="str">
        <x:v>brand</x:v>
      </x:c>
      <x:c r="F2056" s="17" t="str">
        <x:v>boundary no-preference</x:v>
      </x:c>
      <x:c r="G2056" s="17" t="str"/>
      <x:c r="H2056" s="17" t="str">
        <x:v>I don't have a preference for brand; please use your judgment.</x:v>
      </x:c>
      <x:c r="I2056" s="17" t="str"/>
    </x:row>
    <x:row r="2057">
      <x:c r="A2057" t="str">
        <x:v>public_0180</x:v>
      </x:c>
      <x:c r="B2057" t="str">
        <x:v>boundary</x:v>
      </x:c>
      <x:c r="C2057" t="str">
        <x:v>medium</x:v>
      </x:c>
      <x:c r="D2057" s="17" t="str">
        <x:v>first ask (boundary unused)</x:v>
      </x:c>
      <x:c r="E2057" s="17" t="str">
        <x:v>budget</x:v>
      </x:c>
      <x:c r="F2057" s="17" t="str">
        <x:v>boundary no-preference</x:v>
      </x:c>
      <x:c r="G2057" s="17" t="str"/>
      <x:c r="H2057" s="17" t="str">
        <x:v>I don't have a preference for budget; please use your judgment.</x:v>
      </x:c>
      <x:c r="I2057" s="17" t="str"/>
    </x:row>
    <x:row r="2058">
      <x:c r="A2058" t="str">
        <x:v>public_0180</x:v>
      </x:c>
      <x:c r="B2058" t="str">
        <x:v>boundary</x:v>
      </x:c>
      <x:c r="C2058" t="str">
        <x:v>medium</x:v>
      </x:c>
      <x:c r="D2058" s="17" t="str">
        <x:v>first ask (boundary unused)</x:v>
      </x:c>
      <x:c r="E2058" s="17" t="str">
        <x:v>feature</x:v>
      </x:c>
      <x:c r="F2058" s="17" t="str">
        <x:v>boundary no-preference</x:v>
      </x:c>
      <x:c r="G2058" s="17" t="str"/>
      <x:c r="H2058" s="17" t="str">
        <x:v>I don't have a preference for feature; please use your judgment.</x:v>
      </x:c>
      <x:c r="I2058" s="17" t="str"/>
    </x:row>
    <x:row r="2059">
      <x:c r="A2059" t="str">
        <x:v>public_0180</x:v>
      </x:c>
      <x:c r="B2059" t="str">
        <x:v>boundary</x:v>
      </x:c>
      <x:c r="C2059" t="str">
        <x:v>medium</x:v>
      </x:c>
      <x:c r="D2059" s="17" t="str">
        <x:v>first ask (boundary unused)</x:v>
      </x:c>
      <x:c r="E2059" s="17" t="str">
        <x:v>use_case</x:v>
      </x:c>
      <x:c r="F2059" s="17" t="str">
        <x:v>boundary no-preference</x:v>
      </x:c>
      <x:c r="G2059" s="17" t="str"/>
      <x:c r="H2059" s="17" t="str">
        <x:v>I don't have a preference for use_case; please use your judgment.</x:v>
      </x:c>
      <x:c r="I2059" s="17" t="str"/>
    </x:row>
    <x:row r="2060">
      <x:c r="A2060" t="str">
        <x:v>public_0180</x:v>
      </x:c>
      <x:c r="B2060" t="str">
        <x:v>boundary</x:v>
      </x:c>
      <x:c r="C2060" t="str">
        <x:v>medium</x:v>
      </x:c>
      <x:c r="D2060" s="17" t="str">
        <x:v>first ask (boundary unused)</x:v>
      </x:c>
      <x:c r="E2060" s="17" t="str">
        <x:v>other</x:v>
      </x:c>
      <x:c r="F2060" s="17" t="str">
        <x:v>boundary no-preference</x:v>
      </x:c>
      <x:c r="G2060" s="17" t="str"/>
      <x:c r="H2060" s="17" t="str">
        <x:v>I don't have a preference for other; please use your judgment.</x:v>
      </x:c>
      <x:c r="I2060" s="17" t="str"/>
    </x:row>
    <x:row r="2061">
      <x:c r="A2061" t="str">
        <x:v>public_0180</x:v>
      </x:c>
      <x:c r="B2061" t="str">
        <x:v>boundary</x:v>
      </x:c>
      <x:c r="C2061" t="str">
        <x:v>medium</x:v>
      </x:c>
      <x:c r="D2061" s="17" t="str">
        <x:v>first ask (boundary unused)</x:v>
      </x:c>
      <x:c r="E2061" s="17" t="str">
        <x:v>(no ask_attribute)</x:v>
      </x:c>
      <x:c r="F2061" s="17" t="str">
        <x:v>agent did not ask</x:v>
      </x:c>
      <x:c r="G2061" s="17" t="str"/>
      <x:c r="H2061" s="17" t="str">
        <x:v>Those options are not quite right yet. Ask me about one specific attribute.</x:v>
      </x:c>
      <x:c r="I2061" s="17" t="str"/>
    </x:row>
    <x:row r="2062">
      <x:c r="A2062" t="str">
        <x:v>public_0180</x:v>
      </x:c>
      <x:c r="B2062" t="str">
        <x:v>boundary</x:v>
      </x:c>
      <x:c r="C2062" t="str">
        <x:v>medium</x:v>
      </x:c>
      <x:c r="D2062" s="17" t="str">
        <x:v>after no-preference used</x:v>
      </x:c>
      <x:c r="E2062" s="17" t="str">
        <x:v>category</x:v>
      </x:c>
      <x:c r="F2062" s="17" t="str">
        <x:v>no new constraint</x:v>
      </x:c>
      <x:c r="G2062" s="17" t="str"/>
      <x:c r="H2062" s="17" t="str">
        <x:v>I don't have an additional preference for category.</x:v>
      </x:c>
      <x:c r="I2062" s="17" t="str"/>
    </x:row>
    <x:row r="2063">
      <x:c r="A2063" t="str">
        <x:v>public_0180</x:v>
      </x:c>
      <x:c r="B2063" t="str">
        <x:v>boundary</x:v>
      </x:c>
      <x:c r="C2063" t="str">
        <x:v>medium</x:v>
      </x:c>
      <x:c r="D2063" s="17" t="str">
        <x:v>after no-preference used</x:v>
      </x:c>
      <x:c r="E2063" s="17" t="str">
        <x:v>material</x:v>
      </x:c>
      <x:c r="F2063" s="17" t="str">
        <x:v>no new constraint</x:v>
      </x:c>
      <x:c r="G2063" s="17" t="str"/>
      <x:c r="H2063" s="17" t="str">
        <x:v>I don't have an additional preference for material.</x:v>
      </x:c>
      <x:c r="I2063" s="17" t="str"/>
    </x:row>
    <x:row r="2064">
      <x:c r="A2064" t="str">
        <x:v>public_0180</x:v>
      </x:c>
      <x:c r="B2064" t="str">
        <x:v>boundary</x:v>
      </x:c>
      <x:c r="C2064" t="str">
        <x:v>medium</x:v>
      </x:c>
      <x:c r="D2064" s="17" t="str">
        <x:v>after no-preference used</x:v>
      </x:c>
      <x:c r="E2064" s="17" t="str">
        <x:v>color</x:v>
      </x:c>
      <x:c r="F2064" s="17" t="str">
        <x:v>no new constraint</x:v>
      </x:c>
      <x:c r="G2064" s="17" t="str"/>
      <x:c r="H2064" s="17" t="str">
        <x:v>I don't have an additional preference for color.</x:v>
      </x:c>
      <x:c r="I2064" s="17" t="str"/>
    </x:row>
    <x:row r="2065">
      <x:c r="A2065" t="str">
        <x:v>public_0180</x:v>
      </x:c>
      <x:c r="B2065" t="str">
        <x:v>boundary</x:v>
      </x:c>
      <x:c r="C2065" t="str">
        <x:v>medium</x:v>
      </x:c>
      <x:c r="D2065" s="17" t="str">
        <x:v>after no-preference used</x:v>
      </x:c>
      <x:c r="E2065" s="17" t="str">
        <x:v>size</x:v>
      </x:c>
      <x:c r="F2065" s="17" t="str">
        <x:v>no new constraint</x:v>
      </x:c>
      <x:c r="G2065" s="17" t="str"/>
      <x:c r="H2065" s="17" t="str">
        <x:v>I don't have an additional preference for size.</x:v>
      </x:c>
      <x:c r="I2065" s="17" t="str"/>
    </x:row>
    <x:row r="2066">
      <x:c r="A2066" t="str">
        <x:v>public_0180</x:v>
      </x:c>
      <x:c r="B2066" t="str">
        <x:v>boundary</x:v>
      </x:c>
      <x:c r="C2066" t="str">
        <x:v>medium</x:v>
      </x:c>
      <x:c r="D2066" s="17" t="str">
        <x:v>after no-preference used</x:v>
      </x:c>
      <x:c r="E2066" s="17" t="str">
        <x:v>style</x:v>
      </x:c>
      <x:c r="F2066" s="17" t="str">
        <x:v>no new constraint</x:v>
      </x:c>
      <x:c r="G2066" s="17" t="str"/>
      <x:c r="H2066" s="17" t="str">
        <x:v>I don't have an additional preference for style.</x:v>
      </x:c>
      <x:c r="I2066" s="17" t="str"/>
    </x:row>
    <x:row r="2067">
      <x:c r="A2067" t="str">
        <x:v>public_0180</x:v>
      </x:c>
      <x:c r="B2067" t="str">
        <x:v>boundary</x:v>
      </x:c>
      <x:c r="C2067" t="str">
        <x:v>medium</x:v>
      </x:c>
      <x:c r="D2067" s="17" t="str">
        <x:v>after no-preference used</x:v>
      </x:c>
      <x:c r="E2067" s="17" t="str">
        <x:v>brand</x:v>
      </x:c>
      <x:c r="F2067" s="17" t="str">
        <x:v>no new constraint</x:v>
      </x:c>
      <x:c r="G2067" s="17" t="str"/>
      <x:c r="H2067" s="17" t="str">
        <x:v>I don't have an additional preference for brand.</x:v>
      </x:c>
      <x:c r="I2067" s="17" t="str"/>
    </x:row>
    <x:row r="2068">
      <x:c r="A2068" t="str">
        <x:v>public_0180</x:v>
      </x:c>
      <x:c r="B2068" t="str">
        <x:v>boundary</x:v>
      </x:c>
      <x:c r="C2068" t="str">
        <x:v>medium</x:v>
      </x:c>
      <x:c r="D2068" s="17" t="str">
        <x:v>after no-preference used</x:v>
      </x:c>
      <x:c r="E2068" s="17" t="str">
        <x:v>budget</x:v>
      </x:c>
      <x:c r="F2068" s="17" t="str">
        <x:v>no new constraint</x:v>
      </x:c>
      <x:c r="G2068" s="17" t="str"/>
      <x:c r="H2068" s="17" t="str">
        <x:v>I don't have an additional preference for budget.</x:v>
      </x:c>
      <x:c r="I2068" s="17" t="str"/>
    </x:row>
    <x:row r="2069">
      <x:c r="A2069" t="str">
        <x:v>public_0180</x:v>
      </x:c>
      <x:c r="B2069" t="str">
        <x:v>boundary</x:v>
      </x:c>
      <x:c r="C2069" t="str">
        <x:v>medium</x:v>
      </x:c>
      <x:c r="D2069" s="17" t="str">
        <x:v>after no-preference used</x:v>
      </x:c>
      <x:c r="E2069" s="17" t="str">
        <x:v>feature</x:v>
      </x:c>
      <x:c r="F2069" s="17" t="str">
        <x:v>constraint revealed</x:v>
      </x:c>
      <x:c r="G2069" s="17" t="str">
        <x:v>100% Mesh | Imported</x:v>
      </x:c>
      <x:c r="H2069" s="17" t="str">
        <x:v>For that, what matters is: 100% Mesh; Imported.</x:v>
      </x:c>
      <x:c r="I2069" s="17" t="str"/>
    </x:row>
    <x:row r="2070">
      <x:c r="A2070" t="str">
        <x:v>public_0180</x:v>
      </x:c>
      <x:c r="B2070" t="str">
        <x:v>boundary</x:v>
      </x:c>
      <x:c r="C2070" t="str">
        <x:v>medium</x:v>
      </x:c>
      <x:c r="D2070" s="17" t="str">
        <x:v>after no-preference used</x:v>
      </x:c>
      <x:c r="E2070" s="17" t="str">
        <x:v>use_case</x:v>
      </x:c>
      <x:c r="F2070" s="17" t="str">
        <x:v>no new constraint</x:v>
      </x:c>
      <x:c r="G2070" s="17" t="str"/>
      <x:c r="H2070" s="17" t="str">
        <x:v>I don't have an additional preference for use_case.</x:v>
      </x:c>
      <x:c r="I2070" s="17" t="str"/>
    </x:row>
    <x:row r="2071">
      <x:c r="A2071" t="str">
        <x:v>public_0180</x:v>
      </x:c>
      <x:c r="B2071" t="str">
        <x:v>boundary</x:v>
      </x:c>
      <x:c r="C2071" t="str">
        <x:v>medium</x:v>
      </x:c>
      <x:c r="D2071" s="17" t="str">
        <x:v>after no-preference used</x:v>
      </x:c>
      <x:c r="E2071" s="17" t="str">
        <x:v>other</x:v>
      </x:c>
      <x:c r="F2071" s="17" t="str">
        <x:v>constraint revealed</x:v>
      </x:c>
      <x:c r="G2071" s="17" t="str">
        <x:v>100% Mesh | Imported</x:v>
      </x:c>
      <x:c r="H2071" s="17" t="str">
        <x:v>For that, what matters is: 100% Mesh; Imported.</x:v>
      </x:c>
      <x:c r="I2071" s="17" t="str"/>
    </x:row>
    <x:row r="2072">
      <x:c r="A2072" t="str">
        <x:v>public_0180</x:v>
      </x:c>
      <x:c r="B2072" t="str">
        <x:v>boundary</x:v>
      </x:c>
      <x:c r="C2072" t="str">
        <x:v>medium</x:v>
      </x:c>
      <x:c r="D2072" s="17" t="str">
        <x:v>after no-preference used</x:v>
      </x:c>
      <x:c r="E2072" s="17" t="str">
        <x:v>(no ask_attribute)</x:v>
      </x:c>
      <x:c r="F2072" s="17" t="str">
        <x:v>agent did not ask</x:v>
      </x:c>
      <x:c r="G2072" s="17" t="str"/>
      <x:c r="H2072" s="17" t="str">
        <x:v>Those options are not quite right yet. Ask me about one specific attribute.</x:v>
      </x:c>
      <x:c r="I2072" s="17" t="str"/>
    </x:row>
    <x:row r="2073">
      <x:c r="A2073" t="str">
        <x:v>public_0181</x:v>
      </x:c>
      <x:c r="B2073" t="str">
        <x:v>browsing</x:v>
      </x:c>
      <x:c r="C2073" t="str">
        <x:v>medium</x:v>
      </x:c>
      <x:c r="D2073" s="17" t="str">
        <x:v>next ask before hit/override</x:v>
      </x:c>
      <x:c r="E2073" s="17" t="str">
        <x:v>category</x:v>
      </x:c>
      <x:c r="F2073" s="17" t="str">
        <x:v>no new constraint</x:v>
      </x:c>
      <x:c r="G2073" s="17" t="str"/>
      <x:c r="H2073" s="17" t="str">
        <x:v>I don't have an additional preference for category.</x:v>
      </x:c>
      <x:c r="I2073" s="17" t="str"/>
    </x:row>
    <x:row r="2074">
      <x:c r="A2074" t="str">
        <x:v>public_0181</x:v>
      </x:c>
      <x:c r="B2074" t="str">
        <x:v>browsing</x:v>
      </x:c>
      <x:c r="C2074" t="str">
        <x:v>medium</x:v>
      </x:c>
      <x:c r="D2074" s="17" t="str">
        <x:v>next ask before hit/override</x:v>
      </x:c>
      <x:c r="E2074" s="17" t="str">
        <x:v>material</x:v>
      </x:c>
      <x:c r="F2074" s="17" t="str">
        <x:v>constraint revealed</x:v>
      </x:c>
      <x:c r="G2074" s="17" t="str">
        <x:v>polyester</x:v>
      </x:c>
      <x:c r="H2074" s="17" t="str">
        <x:v>For that, what matters is: polyester.</x:v>
      </x:c>
      <x:c r="I2074" s="17" t="str"/>
    </x:row>
    <x:row r="2075">
      <x:c r="A2075" t="str">
        <x:v>public_0181</x:v>
      </x:c>
      <x:c r="B2075" t="str">
        <x:v>browsing</x:v>
      </x:c>
      <x:c r="C2075" t="str">
        <x:v>medium</x:v>
      </x:c>
      <x:c r="D2075" s="17" t="str">
        <x:v>next ask before hit/override</x:v>
      </x:c>
      <x:c r="E2075" s="17" t="str">
        <x:v>color</x:v>
      </x:c>
      <x:c r="F2075" s="17" t="str">
        <x:v>no new constraint</x:v>
      </x:c>
      <x:c r="G2075" s="17" t="str"/>
      <x:c r="H2075" s="17" t="str">
        <x:v>I don't have an additional preference for color.</x:v>
      </x:c>
      <x:c r="I2075" s="17" t="str"/>
    </x:row>
    <x:row r="2076">
      <x:c r="A2076" t="str">
        <x:v>public_0181</x:v>
      </x:c>
      <x:c r="B2076" t="str">
        <x:v>browsing</x:v>
      </x:c>
      <x:c r="C2076" t="str">
        <x:v>medium</x:v>
      </x:c>
      <x:c r="D2076" s="17" t="str">
        <x:v>next ask before hit/override</x:v>
      </x:c>
      <x:c r="E2076" s="17" t="str">
        <x:v>size</x:v>
      </x:c>
      <x:c r="F2076" s="17" t="str">
        <x:v>no new constraint</x:v>
      </x:c>
      <x:c r="G2076" s="17" t="str"/>
      <x:c r="H2076" s="17" t="str">
        <x:v>I don't have an additional preference for size.</x:v>
      </x:c>
      <x:c r="I2076" s="17" t="str"/>
    </x:row>
    <x:row r="2077">
      <x:c r="A2077" t="str">
        <x:v>public_0181</x:v>
      </x:c>
      <x:c r="B2077" t="str">
        <x:v>browsing</x:v>
      </x:c>
      <x:c r="C2077" t="str">
        <x:v>medium</x:v>
      </x:c>
      <x:c r="D2077" s="17" t="str">
        <x:v>next ask before hit/override</x:v>
      </x:c>
      <x:c r="E2077" s="17" t="str">
        <x:v>style</x:v>
      </x:c>
      <x:c r="F2077" s="17" t="str">
        <x:v>no new constraint</x:v>
      </x:c>
      <x:c r="G2077" s="17" t="str"/>
      <x:c r="H2077" s="17" t="str">
        <x:v>I don't have an additional preference for style.</x:v>
      </x:c>
      <x:c r="I2077" s="17" t="str"/>
    </x:row>
    <x:row r="2078">
      <x:c r="A2078" t="str">
        <x:v>public_0181</x:v>
      </x:c>
      <x:c r="B2078" t="str">
        <x:v>browsing</x:v>
      </x:c>
      <x:c r="C2078" t="str">
        <x:v>medium</x:v>
      </x:c>
      <x:c r="D2078" s="17" t="str">
        <x:v>next ask before hit/override</x:v>
      </x:c>
      <x:c r="E2078" s="17" t="str">
        <x:v>brand</x:v>
      </x:c>
      <x:c r="F2078" s="17" t="str">
        <x:v>no new constraint</x:v>
      </x:c>
      <x:c r="G2078" s="17" t="str"/>
      <x:c r="H2078" s="17" t="str">
        <x:v>I don't have an additional preference for brand.</x:v>
      </x:c>
      <x:c r="I2078" s="17" t="str"/>
    </x:row>
    <x:row r="2079">
      <x:c r="A2079" t="str">
        <x:v>public_0181</x:v>
      </x:c>
      <x:c r="B2079" t="str">
        <x:v>browsing</x:v>
      </x:c>
      <x:c r="C2079" t="str">
        <x:v>medium</x:v>
      </x:c>
      <x:c r="D2079" s="17" t="str">
        <x:v>next ask before hit/override</x:v>
      </x:c>
      <x:c r="E2079" s="17" t="str">
        <x:v>budget</x:v>
      </x:c>
      <x:c r="F2079" s="17" t="str">
        <x:v>no new constraint</x:v>
      </x:c>
      <x:c r="G2079" s="17" t="str"/>
      <x:c r="H2079" s="17" t="str">
        <x:v>I don't have an additional preference for budget.</x:v>
      </x:c>
      <x:c r="I2079" s="17" t="str"/>
    </x:row>
    <x:row r="2080">
      <x:c r="A2080" t="str">
        <x:v>public_0181</x:v>
      </x:c>
      <x:c r="B2080" t="str">
        <x:v>browsing</x:v>
      </x:c>
      <x:c r="C2080" t="str">
        <x:v>medium</x:v>
      </x:c>
      <x:c r="D2080" s="17" t="str">
        <x:v>next ask before hit/override</x:v>
      </x:c>
      <x:c r="E2080" s="17" t="str">
        <x:v>feature</x:v>
      </x:c>
      <x:c r="F2080" s="17" t="str">
        <x:v>constraint revealed</x:v>
      </x:c>
      <x:c r="G2080" s="17" t="str">
        <x:v>Drawstring closure | Hand Wash Only</x:v>
      </x:c>
      <x:c r="H2080" s="17" t="str">
        <x:v>For that, what matters is: Drawstring closure; Hand Wash Only.</x:v>
      </x:c>
      <x:c r="I2080" s="17" t="str"/>
    </x:row>
    <x:row r="2081">
      <x:c r="A2081" t="str">
        <x:v>public_0181</x:v>
      </x:c>
      <x:c r="B2081" t="str">
        <x:v>browsing</x:v>
      </x:c>
      <x:c r="C2081" t="str">
        <x:v>medium</x:v>
      </x:c>
      <x:c r="D2081" s="17" t="str">
        <x:v>next ask before hit/override</x:v>
      </x:c>
      <x:c r="E2081" s="17" t="str">
        <x:v>use_case</x:v>
      </x:c>
      <x:c r="F2081" s="17" t="str">
        <x:v>no new constraint</x:v>
      </x:c>
      <x:c r="G2081" s="17" t="str"/>
      <x:c r="H2081" s="17" t="str">
        <x:v>I don't have an additional preference for use_case.</x:v>
      </x:c>
      <x:c r="I2081" s="17" t="str"/>
    </x:row>
    <x:row r="2082">
      <x:c r="A2082" t="str">
        <x:v>public_0181</x:v>
      </x:c>
      <x:c r="B2082" t="str">
        <x:v>browsing</x:v>
      </x:c>
      <x:c r="C2082" t="str">
        <x:v>medium</x:v>
      </x:c>
      <x:c r="D2082" s="17" t="str">
        <x:v>next ask before hit/override</x:v>
      </x:c>
      <x:c r="E2082" s="17" t="str">
        <x:v>other</x:v>
      </x:c>
      <x:c r="F2082" s="17" t="str">
        <x:v>constraint revealed</x:v>
      </x:c>
      <x:c r="G2082" s="17" t="str">
        <x:v>polyester | Drawstring closure</x:v>
      </x:c>
      <x:c r="H2082" s="17" t="str">
        <x:v>For that, what matters is: polyester; Drawstring closure.</x:v>
      </x:c>
      <x:c r="I2082" s="17" t="str"/>
    </x:row>
    <x:row r="2083">
      <x:c r="A2083" t="str">
        <x:v>public_0181</x:v>
      </x:c>
      <x:c r="B2083" t="str">
        <x:v>browsing</x:v>
      </x:c>
      <x:c r="C2083" t="str">
        <x:v>medium</x:v>
      </x:c>
      <x:c r="D2083" s="17" t="str">
        <x:v>next ask before hit/override</x:v>
      </x:c>
      <x:c r="E2083" s="17" t="str">
        <x:v>(no ask_attribute)</x:v>
      </x:c>
      <x:c r="F2083" s="17" t="str">
        <x:v>agent did not ask</x:v>
      </x:c>
      <x:c r="G2083" s="17" t="str"/>
      <x:c r="H2083" s="17" t="str">
        <x:v>Those options are not quite right yet. Ask me about one specific attribute.</x:v>
      </x:c>
      <x:c r="I2083" s="17" t="str"/>
    </x:row>
    <x:row r="2084">
      <x:c r="A2084" t="str">
        <x:v>public_0182</x:v>
      </x:c>
      <x:c r="B2084" t="str">
        <x:v>browsing</x:v>
      </x:c>
      <x:c r="C2084" t="str">
        <x:v>medium</x:v>
      </x:c>
      <x:c r="D2084" s="17" t="str">
        <x:v>next ask before hit/override</x:v>
      </x:c>
      <x:c r="E2084" s="17" t="str">
        <x:v>category</x:v>
      </x:c>
      <x:c r="F2084" s="17" t="str">
        <x:v>no new constraint</x:v>
      </x:c>
      <x:c r="G2084" s="17" t="str"/>
      <x:c r="H2084" s="17" t="str">
        <x:v>I don't have an additional preference for category.</x:v>
      </x:c>
      <x:c r="I2084" s="17" t="str"/>
    </x:row>
    <x:row r="2085">
      <x:c r="A2085" t="str">
        <x:v>public_0182</x:v>
      </x:c>
      <x:c r="B2085" t="str">
        <x:v>browsing</x:v>
      </x:c>
      <x:c r="C2085" t="str">
        <x:v>medium</x:v>
      </x:c>
      <x:c r="D2085" s="17" t="str">
        <x:v>next ask before hit/override</x:v>
      </x:c>
      <x:c r="E2085" s="17" t="str">
        <x:v>material</x:v>
      </x:c>
      <x:c r="F2085" s="17" t="str">
        <x:v>no new constraint</x:v>
      </x:c>
      <x:c r="G2085" s="17" t="str"/>
      <x:c r="H2085" s="17" t="str">
        <x:v>I don't have an additional preference for material.</x:v>
      </x:c>
      <x:c r="I2085" s="17" t="str"/>
    </x:row>
    <x:row r="2086">
      <x:c r="A2086" t="str">
        <x:v>public_0182</x:v>
      </x:c>
      <x:c r="B2086" t="str">
        <x:v>browsing</x:v>
      </x:c>
      <x:c r="C2086" t="str">
        <x:v>medium</x:v>
      </x:c>
      <x:c r="D2086" s="17" t="str">
        <x:v>next ask before hit/override</x:v>
      </x:c>
      <x:c r="E2086" s="17" t="str">
        <x:v>color</x:v>
      </x:c>
      <x:c r="F2086" s="17" t="str">
        <x:v>constraint revealed</x:v>
      </x:c>
      <x:c r="G2086" s="17" t="str">
        <x:v>color: black</x:v>
      </x:c>
      <x:c r="H2086" s="17" t="str">
        <x:v>For that, what matters is: color: black.</x:v>
      </x:c>
      <x:c r="I2086" s="17" t="str"/>
    </x:row>
    <x:row r="2087">
      <x:c r="A2087" t="str">
        <x:v>public_0182</x:v>
      </x:c>
      <x:c r="B2087" t="str">
        <x:v>browsing</x:v>
      </x:c>
      <x:c r="C2087" t="str">
        <x:v>medium</x:v>
      </x:c>
      <x:c r="D2087" s="17" t="str">
        <x:v>next ask before hit/override</x:v>
      </x:c>
      <x:c r="E2087" s="17" t="str">
        <x:v>size</x:v>
      </x:c>
      <x:c r="F2087" s="17" t="str">
        <x:v>no new constraint</x:v>
      </x:c>
      <x:c r="G2087" s="17" t="str"/>
      <x:c r="H2087" s="17" t="str">
        <x:v>I don't have an additional preference for size.</x:v>
      </x:c>
      <x:c r="I2087" s="17" t="str"/>
    </x:row>
    <x:row r="2088">
      <x:c r="A2088" t="str">
        <x:v>public_0182</x:v>
      </x:c>
      <x:c r="B2088" t="str">
        <x:v>browsing</x:v>
      </x:c>
      <x:c r="C2088" t="str">
        <x:v>medium</x:v>
      </x:c>
      <x:c r="D2088" s="17" t="str">
        <x:v>next ask before hit/override</x:v>
      </x:c>
      <x:c r="E2088" s="17" t="str">
        <x:v>style</x:v>
      </x:c>
      <x:c r="F2088" s="17" t="str">
        <x:v>no new constraint</x:v>
      </x:c>
      <x:c r="G2088" s="17" t="str"/>
      <x:c r="H2088" s="17" t="str">
        <x:v>I don't have an additional preference for style.</x:v>
      </x:c>
      <x:c r="I2088" s="17" t="str"/>
    </x:row>
    <x:row r="2089">
      <x:c r="A2089" t="str">
        <x:v>public_0182</x:v>
      </x:c>
      <x:c r="B2089" t="str">
        <x:v>browsing</x:v>
      </x:c>
      <x:c r="C2089" t="str">
        <x:v>medium</x:v>
      </x:c>
      <x:c r="D2089" s="17" t="str">
        <x:v>next ask before hit/override</x:v>
      </x:c>
      <x:c r="E2089" s="17" t="str">
        <x:v>brand</x:v>
      </x:c>
      <x:c r="F2089" s="17" t="str">
        <x:v>no new constraint</x:v>
      </x:c>
      <x:c r="G2089" s="17" t="str"/>
      <x:c r="H2089" s="17" t="str">
        <x:v>I don't have an additional preference for brand.</x:v>
      </x:c>
      <x:c r="I2089" s="17" t="str"/>
    </x:row>
    <x:row r="2090">
      <x:c r="A2090" t="str">
        <x:v>public_0182</x:v>
      </x:c>
      <x:c r="B2090" t="str">
        <x:v>browsing</x:v>
      </x:c>
      <x:c r="C2090" t="str">
        <x:v>medium</x:v>
      </x:c>
      <x:c r="D2090" s="17" t="str">
        <x:v>next ask before hit/override</x:v>
      </x:c>
      <x:c r="E2090" s="17" t="str">
        <x:v>budget</x:v>
      </x:c>
      <x:c r="F2090" s="17" t="str">
        <x:v>no new constraint</x:v>
      </x:c>
      <x:c r="G2090" s="17" t="str"/>
      <x:c r="H2090" s="17" t="str">
        <x:v>I don't have an additional preference for budget.</x:v>
      </x:c>
      <x:c r="I2090" s="17" t="str"/>
    </x:row>
    <x:row r="2091">
      <x:c r="A2091" t="str">
        <x:v>public_0182</x:v>
      </x:c>
      <x:c r="B2091" t="str">
        <x:v>browsing</x:v>
      </x:c>
      <x:c r="C2091" t="str">
        <x:v>medium</x:v>
      </x:c>
      <x:c r="D2091" s="17" t="str">
        <x:v>next ask before hit/override</x:v>
      </x:c>
      <x:c r="E2091" s="17" t="str">
        <x:v>feature</x:v>
      </x:c>
      <x:c r="F2091" s="17" t="str">
        <x:v>constraint revealed</x:v>
      </x:c>
      <x:c r="G2091" s="17" t="str">
        <x:v>UPDATED ALUMINUM WALLET with high quality aluminum materials and Environmentally friendly plastic(ABS) clasp closure | PEACE OF MIND when Travelling: It is a Must Have a protector case ID slots when on vacations or traveling overseas. Using on public transportation and crowded places - keep the wor</x:v>
      </x:c>
      <x:c r="H2091" s="17" t="str">
        <x:v>For that, what matters is: UPDATED ALUMINUM WALLET with high quality aluminum materials and Environmentally friendly plastic(ABS) clasp closure; PEACE OF MIND when Travelling: It is a Must Have a protector case ID slots when on vacations or traveling overseas. Using on public transportation and crowded places - keep the wor.</x:v>
      </x:c>
      <x:c r="I2091" s="17" t="str"/>
    </x:row>
    <x:row r="2092">
      <x:c r="A2092" t="str">
        <x:v>public_0182</x:v>
      </x:c>
      <x:c r="B2092" t="str">
        <x:v>browsing</x:v>
      </x:c>
      <x:c r="C2092" t="str">
        <x:v>medium</x:v>
      </x:c>
      <x:c r="D2092" s="17" t="str">
        <x:v>next ask before hit/override</x:v>
      </x:c>
      <x:c r="E2092" s="17" t="str">
        <x:v>use_case</x:v>
      </x:c>
      <x:c r="F2092" s="17" t="str">
        <x:v>no new constraint</x:v>
      </x:c>
      <x:c r="G2092" s="17" t="str"/>
      <x:c r="H2092" s="17" t="str">
        <x:v>I don't have an additional preference for use_case.</x:v>
      </x:c>
      <x:c r="I2092" s="17" t="str"/>
    </x:row>
    <x:row r="2093">
      <x:c r="A2093" t="str">
        <x:v>public_0182</x:v>
      </x:c>
      <x:c r="B2093" t="str">
        <x:v>browsing</x:v>
      </x:c>
      <x:c r="C2093" t="str">
        <x:v>medium</x:v>
      </x:c>
      <x:c r="D2093" s="17" t="str">
        <x:v>next ask before hit/override</x:v>
      </x:c>
      <x:c r="E2093" s="17" t="str">
        <x:v>other</x:v>
      </x:c>
      <x:c r="F2093" s="17" t="str">
        <x:v>constraint revealed</x:v>
      </x:c>
      <x:c r="G2093" s="17" t="str">
        <x:v>UPDATED ALUMINUM WALLET with high quality aluminum materials and Environmentally friendly plastic(ABS) clasp closure | color: black</x:v>
      </x:c>
      <x:c r="H2093" s="17" t="str">
        <x:v>For that, what matters is: UPDATED ALUMINUM WALLET with high quality aluminum materials and Environmentally friendly plastic(ABS) clasp closure; color: black.</x:v>
      </x:c>
      <x:c r="I2093" s="17" t="str"/>
    </x:row>
    <x:row r="2094">
      <x:c r="A2094" t="str">
        <x:v>public_0182</x:v>
      </x:c>
      <x:c r="B2094" t="str">
        <x:v>browsing</x:v>
      </x:c>
      <x:c r="C2094" t="str">
        <x:v>medium</x:v>
      </x:c>
      <x:c r="D2094" s="17" t="str">
        <x:v>next ask before hit/override</x:v>
      </x:c>
      <x:c r="E2094" s="17" t="str">
        <x:v>(no ask_attribute)</x:v>
      </x:c>
      <x:c r="F2094" s="17" t="str">
        <x:v>agent did not ask</x:v>
      </x:c>
      <x:c r="G2094" s="17" t="str"/>
      <x:c r="H2094" s="17" t="str">
        <x:v>Those options are not quite right yet. Ask me about one specific attribute.</x:v>
      </x:c>
      <x:c r="I2094" s="17" t="str"/>
    </x:row>
    <x:row r="2095">
      <x:c r="A2095" t="str">
        <x:v>public_0183</x:v>
      </x:c>
      <x:c r="B2095" t="str">
        <x:v>intent_override</x:v>
      </x:c>
      <x:c r="C2095" t="str">
        <x:v>hard</x:v>
      </x:c>
      <x:c r="D2095" s="17" t="str">
        <x:v>next ask before hit/override</x:v>
      </x:c>
      <x:c r="E2095" s="17" t="str">
        <x:v>category</x:v>
      </x:c>
      <x:c r="F2095" s="17" t="str">
        <x:v>no new constraint</x:v>
      </x:c>
      <x:c r="G2095" s="17" t="str"/>
      <x:c r="H2095" s="17" t="str">
        <x:v>I don't have an additional preference for category.</x:v>
      </x:c>
      <x:c r="I2095" s="17" t="str">
        <x:v>Override message occurs automatically on turn 3 or 4 before this reply when scheduled.</x:v>
      </x:c>
    </x:row>
    <x:row r="2096">
      <x:c r="A2096" t="str">
        <x:v>public_0183</x:v>
      </x:c>
      <x:c r="B2096" t="str">
        <x:v>intent_override</x:v>
      </x:c>
      <x:c r="C2096" t="str">
        <x:v>hard</x:v>
      </x:c>
      <x:c r="D2096" s="17" t="str">
        <x:v>next ask before hit/override</x:v>
      </x:c>
      <x:c r="E2096" s="17" t="str">
        <x:v>material</x:v>
      </x:c>
      <x:c r="F2096" s="17" t="str">
        <x:v>constraint revealed</x:v>
      </x:c>
      <x:c r="G2096" s="17" t="str">
        <x:v>polyester | 100% Polyester</x:v>
      </x:c>
      <x:c r="H2096" s="17" t="str">
        <x:v>For that, what matters is: polyester; 100% Polyester.</x:v>
      </x:c>
      <x:c r="I2096" s="17" t="str">
        <x:v>Override message occurs automatically on turn 3 or 4 before this reply when scheduled.</x:v>
      </x:c>
    </x:row>
    <x:row r="2097">
      <x:c r="A2097" t="str">
        <x:v>public_0183</x:v>
      </x:c>
      <x:c r="B2097" t="str">
        <x:v>intent_override</x:v>
      </x:c>
      <x:c r="C2097" t="str">
        <x:v>hard</x:v>
      </x:c>
      <x:c r="D2097" s="17" t="str">
        <x:v>next ask before hit/override</x:v>
      </x:c>
      <x:c r="E2097" s="17" t="str">
        <x:v>color</x:v>
      </x:c>
      <x:c r="F2097" s="17" t="str">
        <x:v>no new constraint</x:v>
      </x:c>
      <x:c r="G2097" s="17" t="str"/>
      <x:c r="H2097" s="17" t="str">
        <x:v>I don't have an additional preference for color.</x:v>
      </x:c>
      <x:c r="I2097" s="17" t="str">
        <x:v>Override message occurs automatically on turn 3 or 4 before this reply when scheduled.</x:v>
      </x:c>
    </x:row>
    <x:row r="2098">
      <x:c r="A2098" t="str">
        <x:v>public_0183</x:v>
      </x:c>
      <x:c r="B2098" t="str">
        <x:v>intent_override</x:v>
      </x:c>
      <x:c r="C2098" t="str">
        <x:v>hard</x:v>
      </x:c>
      <x:c r="D2098" s="17" t="str">
        <x:v>next ask before hit/override</x:v>
      </x:c>
      <x:c r="E2098" s="17" t="str">
        <x:v>size</x:v>
      </x:c>
      <x:c r="F2098" s="17" t="str">
        <x:v>no new constraint</x:v>
      </x:c>
      <x:c r="G2098" s="17" t="str"/>
      <x:c r="H2098" s="17" t="str">
        <x:v>I don't have an additional preference for size.</x:v>
      </x:c>
      <x:c r="I2098" s="17" t="str">
        <x:v>Override message occurs automatically on turn 3 or 4 before this reply when scheduled.</x:v>
      </x:c>
    </x:row>
    <x:row r="2099">
      <x:c r="A2099" t="str">
        <x:v>public_0183</x:v>
      </x:c>
      <x:c r="B2099" t="str">
        <x:v>intent_override</x:v>
      </x:c>
      <x:c r="C2099" t="str">
        <x:v>hard</x:v>
      </x:c>
      <x:c r="D2099" s="17" t="str">
        <x:v>next ask before hit/override</x:v>
      </x:c>
      <x:c r="E2099" s="17" t="str">
        <x:v>style</x:v>
      </x:c>
      <x:c r="F2099" s="17" t="str">
        <x:v>no new constraint</x:v>
      </x:c>
      <x:c r="G2099" s="17" t="str"/>
      <x:c r="H2099" s="17" t="str">
        <x:v>I don't have an additional preference for style.</x:v>
      </x:c>
      <x:c r="I2099" s="17" t="str">
        <x:v>Override message occurs automatically on turn 3 or 4 before this reply when scheduled.</x:v>
      </x:c>
    </x:row>
    <x:row r="2100">
      <x:c r="A2100" t="str">
        <x:v>public_0183</x:v>
      </x:c>
      <x:c r="B2100" t="str">
        <x:v>intent_override</x:v>
      </x:c>
      <x:c r="C2100" t="str">
        <x:v>hard</x:v>
      </x:c>
      <x:c r="D2100" s="17" t="str">
        <x:v>next ask before hit/override</x:v>
      </x:c>
      <x:c r="E2100" s="17" t="str">
        <x:v>brand</x:v>
      </x:c>
      <x:c r="F2100" s="17" t="str">
        <x:v>no new constraint</x:v>
      </x:c>
      <x:c r="G2100" s="17" t="str"/>
      <x:c r="H2100" s="17" t="str">
        <x:v>I don't have an additional preference for brand.</x:v>
      </x:c>
      <x:c r="I2100" s="17" t="str">
        <x:v>Override message occurs automatically on turn 3 or 4 before this reply when scheduled.</x:v>
      </x:c>
    </x:row>
    <x:row r="2101">
      <x:c r="A2101" t="str">
        <x:v>public_0183</x:v>
      </x:c>
      <x:c r="B2101" t="str">
        <x:v>intent_override</x:v>
      </x:c>
      <x:c r="C2101" t="str">
        <x:v>hard</x:v>
      </x:c>
      <x:c r="D2101" s="17" t="str">
        <x:v>next ask before hit/override</x:v>
      </x:c>
      <x:c r="E2101" s="17" t="str">
        <x:v>budget</x:v>
      </x:c>
      <x:c r="F2101" s="17" t="str">
        <x:v>no new constraint</x:v>
      </x:c>
      <x:c r="G2101" s="17" t="str"/>
      <x:c r="H2101" s="17" t="str">
        <x:v>I don't have an additional preference for budget.</x:v>
      </x:c>
      <x:c r="I2101" s="17" t="str">
        <x:v>Override message occurs automatically on turn 3 or 4 before this reply when scheduled.</x:v>
      </x:c>
    </x:row>
    <x:row r="2102">
      <x:c r="A2102" t="str">
        <x:v>public_0183</x:v>
      </x:c>
      <x:c r="B2102" t="str">
        <x:v>intent_override</x:v>
      </x:c>
      <x:c r="C2102" t="str">
        <x:v>hard</x:v>
      </x:c>
      <x:c r="D2102" s="17" t="str">
        <x:v>next ask before hit/override</x:v>
      </x:c>
      <x:c r="E2102" s="17" t="str">
        <x:v>feature</x:v>
      </x:c>
      <x:c r="F2102" s="17" t="str">
        <x:v>constraint revealed</x:v>
      </x:c>
      <x:c r="G2102" s="17" t="str">
        <x:v>Button closure | Hand Wash Only</x:v>
      </x:c>
      <x:c r="H2102" s="17" t="str">
        <x:v>For that, what matters is: Button closure; Hand Wash Only.</x:v>
      </x:c>
      <x:c r="I2102" s="17" t="str">
        <x:v>Override message occurs automatically on turn 3 or 4 before this reply when scheduled.</x:v>
      </x:c>
    </x:row>
    <x:row r="2103">
      <x:c r="A2103" t="str">
        <x:v>public_0183</x:v>
      </x:c>
      <x:c r="B2103" t="str">
        <x:v>intent_override</x:v>
      </x:c>
      <x:c r="C2103" t="str">
        <x:v>hard</x:v>
      </x:c>
      <x:c r="D2103" s="17" t="str">
        <x:v>next ask before hit/override</x:v>
      </x:c>
      <x:c r="E2103" s="17" t="str">
        <x:v>use_case</x:v>
      </x:c>
      <x:c r="F2103" s="17" t="str">
        <x:v>no new constraint</x:v>
      </x:c>
      <x:c r="G2103" s="17" t="str"/>
      <x:c r="H2103" s="17" t="str">
        <x:v>I don't have an additional preference for use_case.</x:v>
      </x:c>
      <x:c r="I2103" s="17" t="str">
        <x:v>Override message occurs automatically on turn 3 or 4 before this reply when scheduled.</x:v>
      </x:c>
    </x:row>
    <x:row r="2104">
      <x:c r="A2104" t="str">
        <x:v>public_0183</x:v>
      </x:c>
      <x:c r="B2104" t="str">
        <x:v>intent_override</x:v>
      </x:c>
      <x:c r="C2104" t="str">
        <x:v>hard</x:v>
      </x:c>
      <x:c r="D2104" s="17" t="str">
        <x:v>next ask before hit/override</x:v>
      </x:c>
      <x:c r="E2104" s="17" t="str">
        <x:v>other</x:v>
      </x:c>
      <x:c r="F2104" s="17" t="str">
        <x:v>constraint revealed</x:v>
      </x:c>
      <x:c r="G2104" s="17" t="str">
        <x:v>polyester | 100% Polyester</x:v>
      </x:c>
      <x:c r="H2104" s="17" t="str">
        <x:v>For that, what matters is: polyester; 100% Polyester.</x:v>
      </x:c>
      <x:c r="I2104" s="17" t="str">
        <x:v>Override message occurs automatically on turn 3 or 4 before this reply when scheduled.</x:v>
      </x:c>
    </x:row>
    <x:row r="2105">
      <x:c r="A2105" t="str">
        <x:v>public_0183</x:v>
      </x:c>
      <x:c r="B2105" t="str">
        <x:v>intent_override</x:v>
      </x:c>
      <x:c r="C2105" t="str">
        <x:v>hard</x:v>
      </x:c>
      <x:c r="D2105" s="17" t="str">
        <x:v>next ask before hit/override</x:v>
      </x:c>
      <x:c r="E2105" s="17" t="str">
        <x:v>(no ask_attribute)</x:v>
      </x:c>
      <x:c r="F2105" s="17" t="str">
        <x:v>agent did not ask</x:v>
      </x:c>
      <x:c r="G2105" s="17" t="str"/>
      <x:c r="H2105" s="17" t="str">
        <x:v>Those options are not quite right yet. Ask me about one specific attribute.</x:v>
      </x:c>
      <x:c r="I2105" s="17" t="str">
        <x:v>Override message occurs automatically on turn 3 or 4 before this reply when scheduled.</x:v>
      </x:c>
    </x:row>
    <x:row r="2106">
      <x:c r="A2106" t="str">
        <x:v>public_0184</x:v>
      </x:c>
      <x:c r="B2106" t="str">
        <x:v>browsing</x:v>
      </x:c>
      <x:c r="C2106" t="str">
        <x:v>medium</x:v>
      </x:c>
      <x:c r="D2106" s="17" t="str">
        <x:v>next ask before hit/override</x:v>
      </x:c>
      <x:c r="E2106" s="17" t="str">
        <x:v>category</x:v>
      </x:c>
      <x:c r="F2106" s="17" t="str">
        <x:v>no new constraint</x:v>
      </x:c>
      <x:c r="G2106" s="17" t="str"/>
      <x:c r="H2106" s="17" t="str">
        <x:v>I don't have an additional preference for category.</x:v>
      </x:c>
      <x:c r="I2106" s="17" t="str"/>
    </x:row>
    <x:row r="2107">
      <x:c r="A2107" t="str">
        <x:v>public_0184</x:v>
      </x:c>
      <x:c r="B2107" t="str">
        <x:v>browsing</x:v>
      </x:c>
      <x:c r="C2107" t="str">
        <x:v>medium</x:v>
      </x:c>
      <x:c r="D2107" s="17" t="str">
        <x:v>next ask before hit/override</x:v>
      </x:c>
      <x:c r="E2107" s="17" t="str">
        <x:v>material</x:v>
      </x:c>
      <x:c r="F2107" s="17" t="str">
        <x:v>constraint revealed</x:v>
      </x:c>
      <x:c r="G2107" s="17" t="str">
        <x:v>nylon</x:v>
      </x:c>
      <x:c r="H2107" s="17" t="str">
        <x:v>For that, what matters is: nylon.</x:v>
      </x:c>
      <x:c r="I2107" s="17" t="str"/>
    </x:row>
    <x:row r="2108">
      <x:c r="A2108" t="str">
        <x:v>public_0184</x:v>
      </x:c>
      <x:c r="B2108" t="str">
        <x:v>browsing</x:v>
      </x:c>
      <x:c r="C2108" t="str">
        <x:v>medium</x:v>
      </x:c>
      <x:c r="D2108" s="17" t="str">
        <x:v>next ask before hit/override</x:v>
      </x:c>
      <x:c r="E2108" s="17" t="str">
        <x:v>color</x:v>
      </x:c>
      <x:c r="F2108" s="17" t="str">
        <x:v>constraint revealed</x:v>
      </x:c>
      <x:c r="G2108" s="17" t="str">
        <x:v>color: black</x:v>
      </x:c>
      <x:c r="H2108" s="17" t="str">
        <x:v>For that, what matters is: color: black.</x:v>
      </x:c>
      <x:c r="I2108" s="17" t="str"/>
    </x:row>
    <x:row r="2109">
      <x:c r="A2109" t="str">
        <x:v>public_0184</x:v>
      </x:c>
      <x:c r="B2109" t="str">
        <x:v>browsing</x:v>
      </x:c>
      <x:c r="C2109" t="str">
        <x:v>medium</x:v>
      </x:c>
      <x:c r="D2109" s="17" t="str">
        <x:v>next ask before hit/override</x:v>
      </x:c>
      <x:c r="E2109" s="17" t="str">
        <x:v>size</x:v>
      </x:c>
      <x:c r="F2109" s="17" t="str">
        <x:v>no new constraint</x:v>
      </x:c>
      <x:c r="G2109" s="17" t="str"/>
      <x:c r="H2109" s="17" t="str">
        <x:v>I don't have an additional preference for size.</x:v>
      </x:c>
      <x:c r="I2109" s="17" t="str"/>
    </x:row>
    <x:row r="2110">
      <x:c r="A2110" t="str">
        <x:v>public_0184</x:v>
      </x:c>
      <x:c r="B2110" t="str">
        <x:v>browsing</x:v>
      </x:c>
      <x:c r="C2110" t="str">
        <x:v>medium</x:v>
      </x:c>
      <x:c r="D2110" s="17" t="str">
        <x:v>next ask before hit/override</x:v>
      </x:c>
      <x:c r="E2110" s="17" t="str">
        <x:v>style</x:v>
      </x:c>
      <x:c r="F2110" s="17" t="str">
        <x:v>no new constraint</x:v>
      </x:c>
      <x:c r="G2110" s="17" t="str"/>
      <x:c r="H2110" s="17" t="str">
        <x:v>I don't have an additional preference for style.</x:v>
      </x:c>
      <x:c r="I2110" s="17" t="str"/>
    </x:row>
    <x:row r="2111">
      <x:c r="A2111" t="str">
        <x:v>public_0184</x:v>
      </x:c>
      <x:c r="B2111" t="str">
        <x:v>browsing</x:v>
      </x:c>
      <x:c r="C2111" t="str">
        <x:v>medium</x:v>
      </x:c>
      <x:c r="D2111" s="17" t="str">
        <x:v>next ask before hit/override</x:v>
      </x:c>
      <x:c r="E2111" s="17" t="str">
        <x:v>brand</x:v>
      </x:c>
      <x:c r="F2111" s="17" t="str">
        <x:v>no new constraint</x:v>
      </x:c>
      <x:c r="G2111" s="17" t="str"/>
      <x:c r="H2111" s="17" t="str">
        <x:v>I don't have an additional preference for brand.</x:v>
      </x:c>
      <x:c r="I2111" s="17" t="str"/>
    </x:row>
    <x:row r="2112">
      <x:c r="A2112" t="str">
        <x:v>public_0184</x:v>
      </x:c>
      <x:c r="B2112" t="str">
        <x:v>browsing</x:v>
      </x:c>
      <x:c r="C2112" t="str">
        <x:v>medium</x:v>
      </x:c>
      <x:c r="D2112" s="17" t="str">
        <x:v>next ask before hit/override</x:v>
      </x:c>
      <x:c r="E2112" s="17" t="str">
        <x:v>budget</x:v>
      </x:c>
      <x:c r="F2112" s="17" t="str">
        <x:v>no new constraint</x:v>
      </x:c>
      <x:c r="G2112" s="17" t="str"/>
      <x:c r="H2112" s="17" t="str">
        <x:v>I don't have an additional preference for budget.</x:v>
      </x:c>
      <x:c r="I2112" s="17" t="str"/>
    </x:row>
    <x:row r="2113">
      <x:c r="A2113" t="str">
        <x:v>public_0184</x:v>
      </x:c>
      <x:c r="B2113" t="str">
        <x:v>browsing</x:v>
      </x:c>
      <x:c r="C2113" t="str">
        <x:v>medium</x:v>
      </x:c>
      <x:c r="D2113" s="17" t="str">
        <x:v>next ask before hit/override</x:v>
      </x:c>
      <x:c r="E2113" s="17" t="str">
        <x:v>feature</x:v>
      </x:c>
      <x:c r="F2113" s="17" t="str">
        <x:v>constraint revealed</x:v>
      </x:c>
      <x:c r="G2113" s="17" t="str">
        <x:v>Composite/Plastic Frame | Imported</x:v>
      </x:c>
      <x:c r="H2113" s="17" t="str">
        <x:v>For that, what matters is: Composite/Plastic Frame; Imported.</x:v>
      </x:c>
      <x:c r="I2113" s="17" t="str"/>
    </x:row>
    <x:row r="2114">
      <x:c r="A2114" t="str">
        <x:v>public_0184</x:v>
      </x:c>
      <x:c r="B2114" t="str">
        <x:v>browsing</x:v>
      </x:c>
      <x:c r="C2114" t="str">
        <x:v>medium</x:v>
      </x:c>
      <x:c r="D2114" s="17" t="str">
        <x:v>next ask before hit/override</x:v>
      </x:c>
      <x:c r="E2114" s="17" t="str">
        <x:v>use_case</x:v>
      </x:c>
      <x:c r="F2114" s="17" t="str">
        <x:v>no new constraint</x:v>
      </x:c>
      <x:c r="G2114" s="17" t="str"/>
      <x:c r="H2114" s="17" t="str">
        <x:v>I don't have an additional preference for use_case.</x:v>
      </x:c>
      <x:c r="I2114" s="17" t="str"/>
    </x:row>
    <x:row r="2115">
      <x:c r="A2115" t="str">
        <x:v>public_0184</x:v>
      </x:c>
      <x:c r="B2115" t="str">
        <x:v>browsing</x:v>
      </x:c>
      <x:c r="C2115" t="str">
        <x:v>medium</x:v>
      </x:c>
      <x:c r="D2115" s="17" t="str">
        <x:v>next ask before hit/override</x:v>
      </x:c>
      <x:c r="E2115" s="17" t="str">
        <x:v>other</x:v>
      </x:c>
      <x:c r="F2115" s="17" t="str">
        <x:v>constraint revealed</x:v>
      </x:c>
      <x:c r="G2115" s="17" t="str">
        <x:v>nylon | color: black</x:v>
      </x:c>
      <x:c r="H2115" s="17" t="str">
        <x:v>For that, what matters is: nylon; color: black.</x:v>
      </x:c>
      <x:c r="I2115" s="17" t="str"/>
    </x:row>
    <x:row r="2116">
      <x:c r="A2116" t="str">
        <x:v>public_0184</x:v>
      </x:c>
      <x:c r="B2116" t="str">
        <x:v>browsing</x:v>
      </x:c>
      <x:c r="C2116" t="str">
        <x:v>medium</x:v>
      </x:c>
      <x:c r="D2116" s="17" t="str">
        <x:v>next ask before hit/override</x:v>
      </x:c>
      <x:c r="E2116" s="17" t="str">
        <x:v>(no ask_attribute)</x:v>
      </x:c>
      <x:c r="F2116" s="17" t="str">
        <x:v>agent did not ask</x:v>
      </x:c>
      <x:c r="G2116" s="17" t="str"/>
      <x:c r="H2116" s="17" t="str">
        <x:v>Those options are not quite right yet. Ask me about one specific attribute.</x:v>
      </x:c>
      <x:c r="I2116" s="17" t="str"/>
    </x:row>
    <x:row r="2117">
      <x:c r="A2117" t="str">
        <x:v>public_0185</x:v>
      </x:c>
      <x:c r="B2117" t="str">
        <x:v>buying</x:v>
      </x:c>
      <x:c r="C2117" t="str">
        <x:v>easy</x:v>
      </x:c>
      <x:c r="D2117" s="17" t="str">
        <x:v>next ask before hit/override</x:v>
      </x:c>
      <x:c r="E2117" s="17" t="str">
        <x:v>category</x:v>
      </x:c>
      <x:c r="F2117" s="17" t="str">
        <x:v>no new constraint</x:v>
      </x:c>
      <x:c r="G2117" s="17" t="str"/>
      <x:c r="H2117" s="17" t="str">
        <x:v>I don't have an additional preference for category.</x:v>
      </x:c>
      <x:c r="I2117" s="17" t="str"/>
    </x:row>
    <x:row r="2118">
      <x:c r="A2118" t="str">
        <x:v>public_0185</x:v>
      </x:c>
      <x:c r="B2118" t="str">
        <x:v>buying</x:v>
      </x:c>
      <x:c r="C2118" t="str">
        <x:v>easy</x:v>
      </x:c>
      <x:c r="D2118" s="17" t="str">
        <x:v>next ask before hit/override</x:v>
      </x:c>
      <x:c r="E2118" s="17" t="str">
        <x:v>material</x:v>
      </x:c>
      <x:c r="F2118" s="17" t="str">
        <x:v>constraint revealed</x:v>
      </x:c>
      <x:c r="G2118" s="17" t="str">
        <x:v>92%Cotton/8%Spandex</x:v>
      </x:c>
      <x:c r="H2118" s="17" t="str">
        <x:v>For that, what matters is: 92%Cotton/8%Spandex.</x:v>
      </x:c>
      <x:c r="I2118" s="17" t="str"/>
    </x:row>
    <x:row r="2119">
      <x:c r="A2119" t="str">
        <x:v>public_0185</x:v>
      </x:c>
      <x:c r="B2119" t="str">
        <x:v>buying</x:v>
      </x:c>
      <x:c r="C2119" t="str">
        <x:v>easy</x:v>
      </x:c>
      <x:c r="D2119" s="17" t="str">
        <x:v>next ask before hit/override</x:v>
      </x:c>
      <x:c r="E2119" s="17" t="str">
        <x:v>color</x:v>
      </x:c>
      <x:c r="F2119" s="17" t="str">
        <x:v>no new constraint</x:v>
      </x:c>
      <x:c r="G2119" s="17" t="str"/>
      <x:c r="H2119" s="17" t="str">
        <x:v>I don't have an additional preference for color.</x:v>
      </x:c>
      <x:c r="I2119" s="17" t="str"/>
    </x:row>
    <x:row r="2120">
      <x:c r="A2120" t="str">
        <x:v>public_0185</x:v>
      </x:c>
      <x:c r="B2120" t="str">
        <x:v>buying</x:v>
      </x:c>
      <x:c r="C2120" t="str">
        <x:v>easy</x:v>
      </x:c>
      <x:c r="D2120" s="17" t="str">
        <x:v>next ask before hit/override</x:v>
      </x:c>
      <x:c r="E2120" s="17" t="str">
        <x:v>size</x:v>
      </x:c>
      <x:c r="F2120" s="17" t="str">
        <x:v>no new constraint</x:v>
      </x:c>
      <x:c r="G2120" s="17" t="str"/>
      <x:c r="H2120" s="17" t="str">
        <x:v>I don't have an additional preference for size.</x:v>
      </x:c>
      <x:c r="I2120" s="17" t="str"/>
    </x:row>
    <x:row r="2121">
      <x:c r="A2121" t="str">
        <x:v>public_0185</x:v>
      </x:c>
      <x:c r="B2121" t="str">
        <x:v>buying</x:v>
      </x:c>
      <x:c r="C2121" t="str">
        <x:v>easy</x:v>
      </x:c>
      <x:c r="D2121" s="17" t="str">
        <x:v>next ask before hit/override</x:v>
      </x:c>
      <x:c r="E2121" s="17" t="str">
        <x:v>style</x:v>
      </x:c>
      <x:c r="F2121" s="17" t="str">
        <x:v>no new constraint</x:v>
      </x:c>
      <x:c r="G2121" s="17" t="str"/>
      <x:c r="H2121" s="17" t="str">
        <x:v>I don't have an additional preference for style.</x:v>
      </x:c>
      <x:c r="I2121" s="17" t="str"/>
    </x:row>
    <x:row r="2122">
      <x:c r="A2122" t="str">
        <x:v>public_0185</x:v>
      </x:c>
      <x:c r="B2122" t="str">
        <x:v>buying</x:v>
      </x:c>
      <x:c r="C2122" t="str">
        <x:v>easy</x:v>
      </x:c>
      <x:c r="D2122" s="17" t="str">
        <x:v>next ask before hit/override</x:v>
      </x:c>
      <x:c r="E2122" s="17" t="str">
        <x:v>brand</x:v>
      </x:c>
      <x:c r="F2122" s="17" t="str">
        <x:v>no new constraint</x:v>
      </x:c>
      <x:c r="G2122" s="17" t="str"/>
      <x:c r="H2122" s="17" t="str">
        <x:v>I don't have an additional preference for brand.</x:v>
      </x:c>
      <x:c r="I2122" s="17" t="str"/>
    </x:row>
    <x:row r="2123">
      <x:c r="A2123" t="str">
        <x:v>public_0185</x:v>
      </x:c>
      <x:c r="B2123" t="str">
        <x:v>buying</x:v>
      </x:c>
      <x:c r="C2123" t="str">
        <x:v>easy</x:v>
      </x:c>
      <x:c r="D2123" s="17" t="str">
        <x:v>next ask before hit/override</x:v>
      </x:c>
      <x:c r="E2123" s="17" t="str">
        <x:v>budget</x:v>
      </x:c>
      <x:c r="F2123" s="17" t="str">
        <x:v>no new constraint</x:v>
      </x:c>
      <x:c r="G2123" s="17" t="str"/>
      <x:c r="H2123" s="17" t="str">
        <x:v>I don't have an additional preference for budget.</x:v>
      </x:c>
      <x:c r="I2123" s="17" t="str"/>
    </x:row>
    <x:row r="2124">
      <x:c r="A2124" t="str">
        <x:v>public_0185</x:v>
      </x:c>
      <x:c r="B2124" t="str">
        <x:v>buying</x:v>
      </x:c>
      <x:c r="C2124" t="str">
        <x:v>easy</x:v>
      </x:c>
      <x:c r="D2124" s="17" t="str">
        <x:v>next ask before hit/override</x:v>
      </x:c>
      <x:c r="E2124" s="17" t="str">
        <x:v>feature</x:v>
      </x:c>
      <x:c r="F2124" s="17" t="str">
        <x:v>constraint revealed</x:v>
      </x:c>
      <x:c r="G2124" s="17" t="str">
        <x:v>Imported | Pull On closure</x:v>
      </x:c>
      <x:c r="H2124" s="17" t="str">
        <x:v>For that, what matters is: Imported; Pull On closure.</x:v>
      </x:c>
      <x:c r="I2124" s="17" t="str"/>
    </x:row>
    <x:row r="2125">
      <x:c r="A2125" t="str">
        <x:v>public_0185</x:v>
      </x:c>
      <x:c r="B2125" t="str">
        <x:v>buying</x:v>
      </x:c>
      <x:c r="C2125" t="str">
        <x:v>easy</x:v>
      </x:c>
      <x:c r="D2125" s="17" t="str">
        <x:v>next ask before hit/override</x:v>
      </x:c>
      <x:c r="E2125" s="17" t="str">
        <x:v>use_case</x:v>
      </x:c>
      <x:c r="F2125" s="17" t="str">
        <x:v>no new constraint</x:v>
      </x:c>
      <x:c r="G2125" s="17" t="str"/>
      <x:c r="H2125" s="17" t="str">
        <x:v>I don't have an additional preference for use_case.</x:v>
      </x:c>
      <x:c r="I2125" s="17" t="str"/>
    </x:row>
    <x:row r="2126">
      <x:c r="A2126" t="str">
        <x:v>public_0185</x:v>
      </x:c>
      <x:c r="B2126" t="str">
        <x:v>buying</x:v>
      </x:c>
      <x:c r="C2126" t="str">
        <x:v>easy</x:v>
      </x:c>
      <x:c r="D2126" s="17" t="str">
        <x:v>next ask before hit/override</x:v>
      </x:c>
      <x:c r="E2126" s="17" t="str">
        <x:v>other</x:v>
      </x:c>
      <x:c r="F2126" s="17" t="str">
        <x:v>constraint revealed</x:v>
      </x:c>
      <x:c r="G2126" s="17" t="str">
        <x:v>92%Cotton/8%Spandex | Imported</x:v>
      </x:c>
      <x:c r="H2126" s="17" t="str">
        <x:v>For that, what matters is: 92%Cotton/8%Spandex; Imported.</x:v>
      </x:c>
      <x:c r="I2126" s="17" t="str"/>
    </x:row>
    <x:row r="2127">
      <x:c r="A2127" t="str">
        <x:v>public_0185</x:v>
      </x:c>
      <x:c r="B2127" t="str">
        <x:v>buying</x:v>
      </x:c>
      <x:c r="C2127" t="str">
        <x:v>easy</x:v>
      </x:c>
      <x:c r="D2127" s="17" t="str">
        <x:v>next ask before hit/override</x:v>
      </x:c>
      <x:c r="E2127" s="17" t="str">
        <x:v>(no ask_attribute)</x:v>
      </x:c>
      <x:c r="F2127" s="17" t="str">
        <x:v>agent did not ask</x:v>
      </x:c>
      <x:c r="G2127" s="17" t="str"/>
      <x:c r="H2127" s="17" t="str">
        <x:v>Those options are not quite right yet. Ask me about one specific attribute.</x:v>
      </x:c>
      <x:c r="I2127" s="17" t="str"/>
    </x:row>
    <x:row r="2128">
      <x:c r="A2128" t="str">
        <x:v>public_0186</x:v>
      </x:c>
      <x:c r="B2128" t="str">
        <x:v>intent_override</x:v>
      </x:c>
      <x:c r="C2128" t="str">
        <x:v>hard</x:v>
      </x:c>
      <x:c r="D2128" s="17" t="str">
        <x:v>next ask before hit/override</x:v>
      </x:c>
      <x:c r="E2128" s="17" t="str">
        <x:v>category</x:v>
      </x:c>
      <x:c r="F2128" s="17" t="str">
        <x:v>no new constraint</x:v>
      </x:c>
      <x:c r="G2128" s="17" t="str"/>
      <x:c r="H2128" s="17" t="str">
        <x:v>I don't have an additional preference for category.</x:v>
      </x:c>
      <x:c r="I2128" s="17" t="str">
        <x:v>Override message occurs automatically on turn 3 or 4 before this reply when scheduled.</x:v>
      </x:c>
    </x:row>
    <x:row r="2129">
      <x:c r="A2129" t="str">
        <x:v>public_0186</x:v>
      </x:c>
      <x:c r="B2129" t="str">
        <x:v>intent_override</x:v>
      </x:c>
      <x:c r="C2129" t="str">
        <x:v>hard</x:v>
      </x:c>
      <x:c r="D2129" s="17" t="str">
        <x:v>next ask before hit/override</x:v>
      </x:c>
      <x:c r="E2129" s="17" t="str">
        <x:v>material</x:v>
      </x:c>
      <x:c r="F2129" s="17" t="str">
        <x:v>no new constraint</x:v>
      </x:c>
      <x:c r="G2129" s="17" t="str"/>
      <x:c r="H2129" s="17" t="str">
        <x:v>I don't have an additional preference for material.</x:v>
      </x:c>
      <x:c r="I2129" s="17" t="str">
        <x:v>Override message occurs automatically on turn 3 or 4 before this reply when scheduled.</x:v>
      </x:c>
    </x:row>
    <x:row r="2130">
      <x:c r="A2130" t="str">
        <x:v>public_0186</x:v>
      </x:c>
      <x:c r="B2130" t="str">
        <x:v>intent_override</x:v>
      </x:c>
      <x:c r="C2130" t="str">
        <x:v>hard</x:v>
      </x:c>
      <x:c r="D2130" s="17" t="str">
        <x:v>next ask before hit/override</x:v>
      </x:c>
      <x:c r="E2130" s="17" t="str">
        <x:v>color</x:v>
      </x:c>
      <x:c r="F2130" s="17" t="str">
        <x:v>constraint revealed</x:v>
      </x:c>
      <x:c r="G2130" s="17" t="str">
        <x:v>AmpliFoam Midsole: Engineered to maintain durability at softer densities, providing better flexibility, comfort, and platform adaptability ideal for natural running | Ortholite Sockliner: Moisture management (Ortholite is a registered trademark of O2 Partners LLC)</x:v>
      </x:c>
      <x:c r="H2130" s="17" t="str">
        <x:v>For that, what matters is: AmpliFoam Midsole: Engineered to maintain durability at softer densities, providing better flexibility, comfort, and platform adaptability ideal for natural running; Ortholite Sockliner: Moisture management (Ortholite is a registered trademark of O2 Partners LLC).</x:v>
      </x:c>
      <x:c r="I2130" s="17" t="str">
        <x:v>Override message occurs automatically on turn 3 or 4 before this reply when scheduled.</x:v>
      </x:c>
    </x:row>
    <x:row r="2131">
      <x:c r="A2131" t="str">
        <x:v>public_0186</x:v>
      </x:c>
      <x:c r="B2131" t="str">
        <x:v>intent_override</x:v>
      </x:c>
      <x:c r="C2131" t="str">
        <x:v>hard</x:v>
      </x:c>
      <x:c r="D2131" s="17" t="str">
        <x:v>next ask before hit/override</x:v>
      </x:c>
      <x:c r="E2131" s="17" t="str">
        <x:v>size</x:v>
      </x:c>
      <x:c r="F2131" s="17" t="str">
        <x:v>no new constraint</x:v>
      </x:c>
      <x:c r="G2131" s="17" t="str"/>
      <x:c r="H2131" s="17" t="str">
        <x:v>I don't have an additional preference for size.</x:v>
      </x:c>
      <x:c r="I2131" s="17" t="str">
        <x:v>Override message occurs automatically on turn 3 or 4 before this reply when scheduled.</x:v>
      </x:c>
    </x:row>
    <x:row r="2132">
      <x:c r="A2132" t="str">
        <x:v>public_0186</x:v>
      </x:c>
      <x:c r="B2132" t="str">
        <x:v>intent_override</x:v>
      </x:c>
      <x:c r="C2132" t="str">
        <x:v>hard</x:v>
      </x:c>
      <x:c r="D2132" s="17" t="str">
        <x:v>next ask before hit/override</x:v>
      </x:c>
      <x:c r="E2132" s="17" t="str">
        <x:v>style</x:v>
      </x:c>
      <x:c r="F2132" s="17" t="str">
        <x:v>no new constraint</x:v>
      </x:c>
      <x:c r="G2132" s="17" t="str"/>
      <x:c r="H2132" s="17" t="str">
        <x:v>I don't have an additional preference for style.</x:v>
      </x:c>
      <x:c r="I2132" s="17" t="str">
        <x:v>Override message occurs automatically on turn 3 or 4 before this reply when scheduled.</x:v>
      </x:c>
    </x:row>
    <x:row r="2133">
      <x:c r="A2133" t="str">
        <x:v>public_0186</x:v>
      </x:c>
      <x:c r="B2133" t="str">
        <x:v>intent_override</x:v>
      </x:c>
      <x:c r="C2133" t="str">
        <x:v>hard</x:v>
      </x:c>
      <x:c r="D2133" s="17" t="str">
        <x:v>next ask before hit/override</x:v>
      </x:c>
      <x:c r="E2133" s="17" t="str">
        <x:v>brand</x:v>
      </x:c>
      <x:c r="F2133" s="17" t="str">
        <x:v>no new constraint</x:v>
      </x:c>
      <x:c r="G2133" s="17" t="str"/>
      <x:c r="H2133" s="17" t="str">
        <x:v>I don't have an additional preference for brand.</x:v>
      </x:c>
      <x:c r="I2133" s="17" t="str">
        <x:v>Override message occurs automatically on turn 3 or 4 before this reply when scheduled.</x:v>
      </x:c>
    </x:row>
    <x:row r="2134">
      <x:c r="A2134" t="str">
        <x:v>public_0186</x:v>
      </x:c>
      <x:c r="B2134" t="str">
        <x:v>intent_override</x:v>
      </x:c>
      <x:c r="C2134" t="str">
        <x:v>hard</x:v>
      </x:c>
      <x:c r="D2134" s="17" t="str">
        <x:v>next ask before hit/override</x:v>
      </x:c>
      <x:c r="E2134" s="17" t="str">
        <x:v>budget</x:v>
      </x:c>
      <x:c r="F2134" s="17" t="str">
        <x:v>no new constraint</x:v>
      </x:c>
      <x:c r="G2134" s="17" t="str"/>
      <x:c r="H2134" s="17" t="str">
        <x:v>I don't have an additional preference for budget.</x:v>
      </x:c>
      <x:c r="I2134" s="17" t="str">
        <x:v>Override message occurs automatically on turn 3 or 4 before this reply when scheduled.</x:v>
      </x:c>
    </x:row>
    <x:row r="2135">
      <x:c r="A2135" t="str">
        <x:v>public_0186</x:v>
      </x:c>
      <x:c r="B2135" t="str">
        <x:v>intent_override</x:v>
      </x:c>
      <x:c r="C2135" t="str">
        <x:v>hard</x:v>
      </x:c>
      <x:c r="D2135" s="17" t="str">
        <x:v>next ask before hit/override</x:v>
      </x:c>
      <x:c r="E2135" s="17" t="str">
        <x:v>feature</x:v>
      </x:c>
      <x:c r="F2135" s="17" t="str">
        <x:v>constraint revealed</x:v>
      </x:c>
      <x:c r="G2135" s="17" t="str">
        <x:v>100% Synthetic | Rubber sole</x:v>
      </x:c>
      <x:c r="H2135" s="17" t="str">
        <x:v>For that, what matters is: 100% Synthetic; Rubber sole.</x:v>
      </x:c>
      <x:c r="I2135" s="17" t="str">
        <x:v>Override message occurs automatically on turn 3 or 4 before this reply when scheduled.</x:v>
      </x:c>
    </x:row>
    <x:row r="2136">
      <x:c r="A2136" t="str">
        <x:v>public_0186</x:v>
      </x:c>
      <x:c r="B2136" t="str">
        <x:v>intent_override</x:v>
      </x:c>
      <x:c r="C2136" t="str">
        <x:v>hard</x:v>
      </x:c>
      <x:c r="D2136" s="17" t="str">
        <x:v>next ask before hit/override</x:v>
      </x:c>
      <x:c r="E2136" s="17" t="str">
        <x:v>use_case</x:v>
      </x:c>
      <x:c r="F2136" s="17" t="str">
        <x:v>no new constraint</x:v>
      </x:c>
      <x:c r="G2136" s="17" t="str"/>
      <x:c r="H2136" s="17" t="str">
        <x:v>I don't have an additional preference for use_case.</x:v>
      </x:c>
      <x:c r="I2136" s="17" t="str">
        <x:v>Override message occurs automatically on turn 3 or 4 before this reply when scheduled.</x:v>
      </x:c>
    </x:row>
    <x:row r="2137">
      <x:c r="A2137" t="str">
        <x:v>public_0186</x:v>
      </x:c>
      <x:c r="B2137" t="str">
        <x:v>intent_override</x:v>
      </x:c>
      <x:c r="C2137" t="str">
        <x:v>hard</x:v>
      </x:c>
      <x:c r="D2137" s="17" t="str">
        <x:v>next ask before hit/override</x:v>
      </x:c>
      <x:c r="E2137" s="17" t="str">
        <x:v>other</x:v>
      </x:c>
      <x:c r="F2137" s="17" t="str">
        <x:v>constraint revealed</x:v>
      </x:c>
      <x:c r="G2137" s="17" t="str">
        <x:v>100% Synthetic | Rubber sole</x:v>
      </x:c>
      <x:c r="H2137" s="17" t="str">
        <x:v>For that, what matters is: 100% Synthetic; Rubber sole.</x:v>
      </x:c>
      <x:c r="I2137" s="17" t="str">
        <x:v>Override message occurs automatically on turn 3 or 4 before this reply when scheduled.</x:v>
      </x:c>
    </x:row>
    <x:row r="2138">
      <x:c r="A2138" t="str">
        <x:v>public_0186</x:v>
      </x:c>
      <x:c r="B2138" t="str">
        <x:v>intent_override</x:v>
      </x:c>
      <x:c r="C2138" t="str">
        <x:v>hard</x:v>
      </x:c>
      <x:c r="D2138" s="17" t="str">
        <x:v>next ask before hit/override</x:v>
      </x:c>
      <x:c r="E2138" s="17" t="str">
        <x:v>(no ask_attribute)</x:v>
      </x:c>
      <x:c r="F2138" s="17" t="str">
        <x:v>agent did not ask</x:v>
      </x:c>
      <x:c r="G2138" s="17" t="str"/>
      <x:c r="H2138" s="17" t="str">
        <x:v>Those options are not quite right yet. Ask me about one specific attribute.</x:v>
      </x:c>
      <x:c r="I2138" s="17" t="str">
        <x:v>Override message occurs automatically on turn 3 or 4 before this reply when scheduled.</x:v>
      </x:c>
    </x:row>
    <x:row r="2139">
      <x:c r="A2139" t="str">
        <x:v>public_0187</x:v>
      </x:c>
      <x:c r="B2139" t="str">
        <x:v>boundary</x:v>
      </x:c>
      <x:c r="C2139" t="str">
        <x:v>medium</x:v>
      </x:c>
      <x:c r="D2139" s="17" t="str">
        <x:v>first ask (boundary unused)</x:v>
      </x:c>
      <x:c r="E2139" s="17" t="str">
        <x:v>category</x:v>
      </x:c>
      <x:c r="F2139" s="17" t="str">
        <x:v>boundary no-preference</x:v>
      </x:c>
      <x:c r="G2139" s="17" t="str"/>
      <x:c r="H2139" s="17" t="str">
        <x:v>I don't have a preference for category; please use your judgment.</x:v>
      </x:c>
      <x:c r="I2139" s="17" t="str"/>
    </x:row>
    <x:row r="2140">
      <x:c r="A2140" t="str">
        <x:v>public_0187</x:v>
      </x:c>
      <x:c r="B2140" t="str">
        <x:v>boundary</x:v>
      </x:c>
      <x:c r="C2140" t="str">
        <x:v>medium</x:v>
      </x:c>
      <x:c r="D2140" s="17" t="str">
        <x:v>first ask (boundary unused)</x:v>
      </x:c>
      <x:c r="E2140" s="17" t="str">
        <x:v>material</x:v>
      </x:c>
      <x:c r="F2140" s="17" t="str">
        <x:v>boundary no-preference</x:v>
      </x:c>
      <x:c r="G2140" s="17" t="str"/>
      <x:c r="H2140" s="17" t="str">
        <x:v>I don't have a preference for material; please use your judgment.</x:v>
      </x:c>
      <x:c r="I2140" s="17" t="str"/>
    </x:row>
    <x:row r="2141">
      <x:c r="A2141" t="str">
        <x:v>public_0187</x:v>
      </x:c>
      <x:c r="B2141" t="str">
        <x:v>boundary</x:v>
      </x:c>
      <x:c r="C2141" t="str">
        <x:v>medium</x:v>
      </x:c>
      <x:c r="D2141" s="17" t="str">
        <x:v>first ask (boundary unused)</x:v>
      </x:c>
      <x:c r="E2141" s="17" t="str">
        <x:v>color</x:v>
      </x:c>
      <x:c r="F2141" s="17" t="str">
        <x:v>boundary no-preference</x:v>
      </x:c>
      <x:c r="G2141" s="17" t="str"/>
      <x:c r="H2141" s="17" t="str">
        <x:v>I don't have a preference for color; please use your judgment.</x:v>
      </x:c>
      <x:c r="I2141" s="17" t="str"/>
    </x:row>
    <x:row r="2142">
      <x:c r="A2142" t="str">
        <x:v>public_0187</x:v>
      </x:c>
      <x:c r="B2142" t="str">
        <x:v>boundary</x:v>
      </x:c>
      <x:c r="C2142" t="str">
        <x:v>medium</x:v>
      </x:c>
      <x:c r="D2142" s="17" t="str">
        <x:v>first ask (boundary unused)</x:v>
      </x:c>
      <x:c r="E2142" s="17" t="str">
        <x:v>size</x:v>
      </x:c>
      <x:c r="F2142" s="17" t="str">
        <x:v>boundary no-preference</x:v>
      </x:c>
      <x:c r="G2142" s="17" t="str"/>
      <x:c r="H2142" s="17" t="str">
        <x:v>I don't have a preference for size; please use your judgment.</x:v>
      </x:c>
      <x:c r="I2142" s="17" t="str"/>
    </x:row>
    <x:row r="2143">
      <x:c r="A2143" t="str">
        <x:v>public_0187</x:v>
      </x:c>
      <x:c r="B2143" t="str">
        <x:v>boundary</x:v>
      </x:c>
      <x:c r="C2143" t="str">
        <x:v>medium</x:v>
      </x:c>
      <x:c r="D2143" s="17" t="str">
        <x:v>first ask (boundary unused)</x:v>
      </x:c>
      <x:c r="E2143" s="17" t="str">
        <x:v>style</x:v>
      </x:c>
      <x:c r="F2143" s="17" t="str">
        <x:v>boundary no-preference</x:v>
      </x:c>
      <x:c r="G2143" s="17" t="str"/>
      <x:c r="H2143" s="17" t="str">
        <x:v>I don't have a preference for style; please use your judgment.</x:v>
      </x:c>
      <x:c r="I2143" s="17" t="str"/>
    </x:row>
    <x:row r="2144">
      <x:c r="A2144" t="str">
        <x:v>public_0187</x:v>
      </x:c>
      <x:c r="B2144" t="str">
        <x:v>boundary</x:v>
      </x:c>
      <x:c r="C2144" t="str">
        <x:v>medium</x:v>
      </x:c>
      <x:c r="D2144" s="17" t="str">
        <x:v>first ask (boundary unused)</x:v>
      </x:c>
      <x:c r="E2144" s="17" t="str">
        <x:v>brand</x:v>
      </x:c>
      <x:c r="F2144" s="17" t="str">
        <x:v>boundary no-preference</x:v>
      </x:c>
      <x:c r="G2144" s="17" t="str"/>
      <x:c r="H2144" s="17" t="str">
        <x:v>I don't have a preference for brand; please use your judgment.</x:v>
      </x:c>
      <x:c r="I2144" s="17" t="str"/>
    </x:row>
    <x:row r="2145">
      <x:c r="A2145" t="str">
        <x:v>public_0187</x:v>
      </x:c>
      <x:c r="B2145" t="str">
        <x:v>boundary</x:v>
      </x:c>
      <x:c r="C2145" t="str">
        <x:v>medium</x:v>
      </x:c>
      <x:c r="D2145" s="17" t="str">
        <x:v>first ask (boundary unused)</x:v>
      </x:c>
      <x:c r="E2145" s="17" t="str">
        <x:v>budget</x:v>
      </x:c>
      <x:c r="F2145" s="17" t="str">
        <x:v>boundary no-preference</x:v>
      </x:c>
      <x:c r="G2145" s="17" t="str"/>
      <x:c r="H2145" s="17" t="str">
        <x:v>I don't have a preference for budget; please use your judgment.</x:v>
      </x:c>
      <x:c r="I2145" s="17" t="str"/>
    </x:row>
    <x:row r="2146">
      <x:c r="A2146" t="str">
        <x:v>public_0187</x:v>
      </x:c>
      <x:c r="B2146" t="str">
        <x:v>boundary</x:v>
      </x:c>
      <x:c r="C2146" t="str">
        <x:v>medium</x:v>
      </x:c>
      <x:c r="D2146" s="17" t="str">
        <x:v>first ask (boundary unused)</x:v>
      </x:c>
      <x:c r="E2146" s="17" t="str">
        <x:v>feature</x:v>
      </x:c>
      <x:c r="F2146" s="17" t="str">
        <x:v>boundary no-preference</x:v>
      </x:c>
      <x:c r="G2146" s="17" t="str"/>
      <x:c r="H2146" s="17" t="str">
        <x:v>I don't have a preference for feature; please use your judgment.</x:v>
      </x:c>
      <x:c r="I2146" s="17" t="str"/>
    </x:row>
    <x:row r="2147">
      <x:c r="A2147" t="str">
        <x:v>public_0187</x:v>
      </x:c>
      <x:c r="B2147" t="str">
        <x:v>boundary</x:v>
      </x:c>
      <x:c r="C2147" t="str">
        <x:v>medium</x:v>
      </x:c>
      <x:c r="D2147" s="17" t="str">
        <x:v>first ask (boundary unused)</x:v>
      </x:c>
      <x:c r="E2147" s="17" t="str">
        <x:v>use_case</x:v>
      </x:c>
      <x:c r="F2147" s="17" t="str">
        <x:v>boundary no-preference</x:v>
      </x:c>
      <x:c r="G2147" s="17" t="str"/>
      <x:c r="H2147" s="17" t="str">
        <x:v>I don't have a preference for use_case; please use your judgment.</x:v>
      </x:c>
      <x:c r="I2147" s="17" t="str"/>
    </x:row>
    <x:row r="2148">
      <x:c r="A2148" t="str">
        <x:v>public_0187</x:v>
      </x:c>
      <x:c r="B2148" t="str">
        <x:v>boundary</x:v>
      </x:c>
      <x:c r="C2148" t="str">
        <x:v>medium</x:v>
      </x:c>
      <x:c r="D2148" s="17" t="str">
        <x:v>first ask (boundary unused)</x:v>
      </x:c>
      <x:c r="E2148" s="17" t="str">
        <x:v>other</x:v>
      </x:c>
      <x:c r="F2148" s="17" t="str">
        <x:v>boundary no-preference</x:v>
      </x:c>
      <x:c r="G2148" s="17" t="str"/>
      <x:c r="H2148" s="17" t="str">
        <x:v>I don't have a preference for other; please use your judgment.</x:v>
      </x:c>
      <x:c r="I2148" s="17" t="str"/>
    </x:row>
    <x:row r="2149">
      <x:c r="A2149" t="str">
        <x:v>public_0187</x:v>
      </x:c>
      <x:c r="B2149" t="str">
        <x:v>boundary</x:v>
      </x:c>
      <x:c r="C2149" t="str">
        <x:v>medium</x:v>
      </x:c>
      <x:c r="D2149" s="17" t="str">
        <x:v>first ask (boundary unused)</x:v>
      </x:c>
      <x:c r="E2149" s="17" t="str">
        <x:v>(no ask_attribute)</x:v>
      </x:c>
      <x:c r="F2149" s="17" t="str">
        <x:v>agent did not ask</x:v>
      </x:c>
      <x:c r="G2149" s="17" t="str"/>
      <x:c r="H2149" s="17" t="str">
        <x:v>Those options are not quite right yet. Ask me about one specific attribute.</x:v>
      </x:c>
      <x:c r="I2149" s="17" t="str"/>
    </x:row>
    <x:row r="2150">
      <x:c r="A2150" t="str">
        <x:v>public_0187</x:v>
      </x:c>
      <x:c r="B2150" t="str">
        <x:v>boundary</x:v>
      </x:c>
      <x:c r="C2150" t="str">
        <x:v>medium</x:v>
      </x:c>
      <x:c r="D2150" s="17" t="str">
        <x:v>after no-preference used</x:v>
      </x:c>
      <x:c r="E2150" s="17" t="str">
        <x:v>category</x:v>
      </x:c>
      <x:c r="F2150" s="17" t="str">
        <x:v>no new constraint</x:v>
      </x:c>
      <x:c r="G2150" s="17" t="str"/>
      <x:c r="H2150" s="17" t="str">
        <x:v>I don't have an additional preference for category.</x:v>
      </x:c>
      <x:c r="I2150" s="17" t="str"/>
    </x:row>
    <x:row r="2151">
      <x:c r="A2151" t="str">
        <x:v>public_0187</x:v>
      </x:c>
      <x:c r="B2151" t="str">
        <x:v>boundary</x:v>
      </x:c>
      <x:c r="C2151" t="str">
        <x:v>medium</x:v>
      </x:c>
      <x:c r="D2151" s="17" t="str">
        <x:v>after no-preference used</x:v>
      </x:c>
      <x:c r="E2151" s="17" t="str">
        <x:v>material</x:v>
      </x:c>
      <x:c r="F2151" s="17" t="str">
        <x:v>constraint revealed</x:v>
      </x:c>
      <x:c r="G2151" s="17" t="str">
        <x:v>leather | 100% Leather</x:v>
      </x:c>
      <x:c r="H2151" s="17" t="str">
        <x:v>For that, what matters is: leather; 100% Leather.</x:v>
      </x:c>
      <x:c r="I2151" s="17" t="str"/>
    </x:row>
    <x:row r="2152">
      <x:c r="A2152" t="str">
        <x:v>public_0187</x:v>
      </x:c>
      <x:c r="B2152" t="str">
        <x:v>boundary</x:v>
      </x:c>
      <x:c r="C2152" t="str">
        <x:v>medium</x:v>
      </x:c>
      <x:c r="D2152" s="17" t="str">
        <x:v>after no-preference used</x:v>
      </x:c>
      <x:c r="E2152" s="17" t="str">
        <x:v>color</x:v>
      </x:c>
      <x:c r="F2152" s="17" t="str">
        <x:v>no new constraint</x:v>
      </x:c>
      <x:c r="G2152" s="17" t="str"/>
      <x:c r="H2152" s="17" t="str">
        <x:v>I don't have an additional preference for color.</x:v>
      </x:c>
      <x:c r="I2152" s="17" t="str"/>
    </x:row>
    <x:row r="2153">
      <x:c r="A2153" t="str">
        <x:v>public_0187</x:v>
      </x:c>
      <x:c r="B2153" t="str">
        <x:v>boundary</x:v>
      </x:c>
      <x:c r="C2153" t="str">
        <x:v>medium</x:v>
      </x:c>
      <x:c r="D2153" s="17" t="str">
        <x:v>after no-preference used</x:v>
      </x:c>
      <x:c r="E2153" s="17" t="str">
        <x:v>size</x:v>
      </x:c>
      <x:c r="F2153" s="17" t="str">
        <x:v>no new constraint</x:v>
      </x:c>
      <x:c r="G2153" s="17" t="str"/>
      <x:c r="H2153" s="17" t="str">
        <x:v>I don't have an additional preference for size.</x:v>
      </x:c>
      <x:c r="I2153" s="17" t="str"/>
    </x:row>
    <x:row r="2154">
      <x:c r="A2154" t="str">
        <x:v>public_0187</x:v>
      </x:c>
      <x:c r="B2154" t="str">
        <x:v>boundary</x:v>
      </x:c>
      <x:c r="C2154" t="str">
        <x:v>medium</x:v>
      </x:c>
      <x:c r="D2154" s="17" t="str">
        <x:v>after no-preference used</x:v>
      </x:c>
      <x:c r="E2154" s="17" t="str">
        <x:v>style</x:v>
      </x:c>
      <x:c r="F2154" s="17" t="str">
        <x:v>no new constraint</x:v>
      </x:c>
      <x:c r="G2154" s="17" t="str"/>
      <x:c r="H2154" s="17" t="str">
        <x:v>I don't have an additional preference for style.</x:v>
      </x:c>
      <x:c r="I2154" s="17" t="str"/>
    </x:row>
    <x:row r="2155">
      <x:c r="A2155" t="str">
        <x:v>public_0187</x:v>
      </x:c>
      <x:c r="B2155" t="str">
        <x:v>boundary</x:v>
      </x:c>
      <x:c r="C2155" t="str">
        <x:v>medium</x:v>
      </x:c>
      <x:c r="D2155" s="17" t="str">
        <x:v>after no-preference used</x:v>
      </x:c>
      <x:c r="E2155" s="17" t="str">
        <x:v>brand</x:v>
      </x:c>
      <x:c r="F2155" s="17" t="str">
        <x:v>no new constraint</x:v>
      </x:c>
      <x:c r="G2155" s="17" t="str"/>
      <x:c r="H2155" s="17" t="str">
        <x:v>I don't have an additional preference for brand.</x:v>
      </x:c>
      <x:c r="I2155" s="17" t="str"/>
    </x:row>
    <x:row r="2156">
      <x:c r="A2156" t="str">
        <x:v>public_0187</x:v>
      </x:c>
      <x:c r="B2156" t="str">
        <x:v>boundary</x:v>
      </x:c>
      <x:c r="C2156" t="str">
        <x:v>medium</x:v>
      </x:c>
      <x:c r="D2156" s="17" t="str">
        <x:v>after no-preference used</x:v>
      </x:c>
      <x:c r="E2156" s="17" t="str">
        <x:v>budget</x:v>
      </x:c>
      <x:c r="F2156" s="17" t="str">
        <x:v>no new constraint</x:v>
      </x:c>
      <x:c r="G2156" s="17" t="str"/>
      <x:c r="H2156" s="17" t="str">
        <x:v>I don't have an additional preference for budget.</x:v>
      </x:c>
      <x:c r="I2156" s="17" t="str"/>
    </x:row>
    <x:row r="2157">
      <x:c r="A2157" t="str">
        <x:v>public_0187</x:v>
      </x:c>
      <x:c r="B2157" t="str">
        <x:v>boundary</x:v>
      </x:c>
      <x:c r="C2157" t="str">
        <x:v>medium</x:v>
      </x:c>
      <x:c r="D2157" s="17" t="str">
        <x:v>after no-preference used</x:v>
      </x:c>
      <x:c r="E2157" s="17" t="str">
        <x:v>feature</x:v>
      </x:c>
      <x:c r="F2157" s="17" t="str">
        <x:v>no new constraint</x:v>
      </x:c>
      <x:c r="G2157" s="17" t="str"/>
      <x:c r="H2157" s="17" t="str">
        <x:v>I don't have an additional preference for feature.</x:v>
      </x:c>
      <x:c r="I2157" s="17" t="str"/>
    </x:row>
    <x:row r="2158">
      <x:c r="A2158" t="str">
        <x:v>public_0187</x:v>
      </x:c>
      <x:c r="B2158" t="str">
        <x:v>boundary</x:v>
      </x:c>
      <x:c r="C2158" t="str">
        <x:v>medium</x:v>
      </x:c>
      <x:c r="D2158" s="17" t="str">
        <x:v>after no-preference used</x:v>
      </x:c>
      <x:c r="E2158" s="17" t="str">
        <x:v>use_case</x:v>
      </x:c>
      <x:c r="F2158" s="17" t="str">
        <x:v>no new constraint</x:v>
      </x:c>
      <x:c r="G2158" s="17" t="str"/>
      <x:c r="H2158" s="17" t="str">
        <x:v>I don't have an additional preference for use_case.</x:v>
      </x:c>
      <x:c r="I2158" s="17" t="str"/>
    </x:row>
    <x:row r="2159">
      <x:c r="A2159" t="str">
        <x:v>public_0187</x:v>
      </x:c>
      <x:c r="B2159" t="str">
        <x:v>boundary</x:v>
      </x:c>
      <x:c r="C2159" t="str">
        <x:v>medium</x:v>
      </x:c>
      <x:c r="D2159" s="17" t="str">
        <x:v>after no-preference used</x:v>
      </x:c>
      <x:c r="E2159" s="17" t="str">
        <x:v>other</x:v>
      </x:c>
      <x:c r="F2159" s="17" t="str">
        <x:v>constraint revealed</x:v>
      </x:c>
      <x:c r="G2159" s="17" t="str">
        <x:v>leather | 100% Leather</x:v>
      </x:c>
      <x:c r="H2159" s="17" t="str">
        <x:v>For that, what matters is: leather; 100% Leather.</x:v>
      </x:c>
      <x:c r="I2159" s="17" t="str"/>
    </x:row>
    <x:row r="2160">
      <x:c r="A2160" t="str">
        <x:v>public_0187</x:v>
      </x:c>
      <x:c r="B2160" t="str">
        <x:v>boundary</x:v>
      </x:c>
      <x:c r="C2160" t="str">
        <x:v>medium</x:v>
      </x:c>
      <x:c r="D2160" s="17" t="str">
        <x:v>after no-preference used</x:v>
      </x:c>
      <x:c r="E2160" s="17" t="str">
        <x:v>(no ask_attribute)</x:v>
      </x:c>
      <x:c r="F2160" s="17" t="str">
        <x:v>agent did not ask</x:v>
      </x:c>
      <x:c r="G2160" s="17" t="str"/>
      <x:c r="H2160" s="17" t="str">
        <x:v>Those options are not quite right yet. Ask me about one specific attribute.</x:v>
      </x:c>
      <x:c r="I2160" s="17" t="str"/>
    </x:row>
    <x:row r="2161">
      <x:c r="A2161" t="str">
        <x:v>public_0188</x:v>
      </x:c>
      <x:c r="B2161" t="str">
        <x:v>buying</x:v>
      </x:c>
      <x:c r="C2161" t="str">
        <x:v>easy</x:v>
      </x:c>
      <x:c r="D2161" s="17" t="str">
        <x:v>next ask before hit/override</x:v>
      </x:c>
      <x:c r="E2161" s="17" t="str">
        <x:v>category</x:v>
      </x:c>
      <x:c r="F2161" s="17" t="str">
        <x:v>no new constraint</x:v>
      </x:c>
      <x:c r="G2161" s="17" t="str"/>
      <x:c r="H2161" s="17" t="str">
        <x:v>I don't have an additional preference for category.</x:v>
      </x:c>
      <x:c r="I2161" s="17" t="str"/>
    </x:row>
    <x:row r="2162">
      <x:c r="A2162" t="str">
        <x:v>public_0188</x:v>
      </x:c>
      <x:c r="B2162" t="str">
        <x:v>buying</x:v>
      </x:c>
      <x:c r="C2162" t="str">
        <x:v>easy</x:v>
      </x:c>
      <x:c r="D2162" s="17" t="str">
        <x:v>next ask before hit/override</x:v>
      </x:c>
      <x:c r="E2162" s="17" t="str">
        <x:v>material</x:v>
      </x:c>
      <x:c r="F2162" s="17" t="str">
        <x:v>constraint revealed</x:v>
      </x:c>
      <x:c r="G2162" s="17" t="str">
        <x:v>Artificial Leather,Leather,Pu Leather</x:v>
      </x:c>
      <x:c r="H2162" s="17" t="str">
        <x:v>For that, what matters is: Artificial Leather,Leather,Pu Leather.</x:v>
      </x:c>
      <x:c r="I2162" s="17" t="str"/>
    </x:row>
    <x:row r="2163">
      <x:c r="A2163" t="str">
        <x:v>public_0188</x:v>
      </x:c>
      <x:c r="B2163" t="str">
        <x:v>buying</x:v>
      </x:c>
      <x:c r="C2163" t="str">
        <x:v>easy</x:v>
      </x:c>
      <x:c r="D2163" s="17" t="str">
        <x:v>next ask before hit/override</x:v>
      </x:c>
      <x:c r="E2163" s="17" t="str">
        <x:v>color</x:v>
      </x:c>
      <x:c r="F2163" s="17" t="str">
        <x:v>no new constraint</x:v>
      </x:c>
      <x:c r="G2163" s="17" t="str"/>
      <x:c r="H2163" s="17" t="str">
        <x:v>I don't have an additional preference for color.</x:v>
      </x:c>
      <x:c r="I2163" s="17" t="str"/>
    </x:row>
    <x:row r="2164">
      <x:c r="A2164" t="str">
        <x:v>public_0188</x:v>
      </x:c>
      <x:c r="B2164" t="str">
        <x:v>buying</x:v>
      </x:c>
      <x:c r="C2164" t="str">
        <x:v>easy</x:v>
      </x:c>
      <x:c r="D2164" s="17" t="str">
        <x:v>next ask before hit/override</x:v>
      </x:c>
      <x:c r="E2164" s="17" t="str">
        <x:v>size</x:v>
      </x:c>
      <x:c r="F2164" s="17" t="str">
        <x:v>no new constraint</x:v>
      </x:c>
      <x:c r="G2164" s="17" t="str"/>
      <x:c r="H2164" s="17" t="str">
        <x:v>I don't have an additional preference for size.</x:v>
      </x:c>
      <x:c r="I2164" s="17" t="str"/>
    </x:row>
    <x:row r="2165">
      <x:c r="A2165" t="str">
        <x:v>public_0188</x:v>
      </x:c>
      <x:c r="B2165" t="str">
        <x:v>buying</x:v>
      </x:c>
      <x:c r="C2165" t="str">
        <x:v>easy</x:v>
      </x:c>
      <x:c r="D2165" s="17" t="str">
        <x:v>next ask before hit/override</x:v>
      </x:c>
      <x:c r="E2165" s="17" t="str">
        <x:v>style</x:v>
      </x:c>
      <x:c r="F2165" s="17" t="str">
        <x:v>no new constraint</x:v>
      </x:c>
      <x:c r="G2165" s="17" t="str"/>
      <x:c r="H2165" s="17" t="str">
        <x:v>I don't have an additional preference for style.</x:v>
      </x:c>
      <x:c r="I2165" s="17" t="str"/>
    </x:row>
    <x:row r="2166">
      <x:c r="A2166" t="str">
        <x:v>public_0188</x:v>
      </x:c>
      <x:c r="B2166" t="str">
        <x:v>buying</x:v>
      </x:c>
      <x:c r="C2166" t="str">
        <x:v>easy</x:v>
      </x:c>
      <x:c r="D2166" s="17" t="str">
        <x:v>next ask before hit/override</x:v>
      </x:c>
      <x:c r="E2166" s="17" t="str">
        <x:v>brand</x:v>
      </x:c>
      <x:c r="F2166" s="17" t="str">
        <x:v>no new constraint</x:v>
      </x:c>
      <x:c r="G2166" s="17" t="str"/>
      <x:c r="H2166" s="17" t="str">
        <x:v>I don't have an additional preference for brand.</x:v>
      </x:c>
      <x:c r="I2166" s="17" t="str"/>
    </x:row>
    <x:row r="2167">
      <x:c r="A2167" t="str">
        <x:v>public_0188</x:v>
      </x:c>
      <x:c r="B2167" t="str">
        <x:v>buying</x:v>
      </x:c>
      <x:c r="C2167" t="str">
        <x:v>easy</x:v>
      </x:c>
      <x:c r="D2167" s="17" t="str">
        <x:v>next ask before hit/override</x:v>
      </x:c>
      <x:c r="E2167" s="17" t="str">
        <x:v>budget</x:v>
      </x:c>
      <x:c r="F2167" s="17" t="str">
        <x:v>no new constraint</x:v>
      </x:c>
      <x:c r="G2167" s="17" t="str"/>
      <x:c r="H2167" s="17" t="str">
        <x:v>I don't have an additional preference for budget.</x:v>
      </x:c>
      <x:c r="I2167" s="17" t="str"/>
    </x:row>
    <x:row r="2168">
      <x:c r="A2168" t="str">
        <x:v>public_0188</x:v>
      </x:c>
      <x:c r="B2168" t="str">
        <x:v>buying</x:v>
      </x:c>
      <x:c r="C2168" t="str">
        <x:v>easy</x:v>
      </x:c>
      <x:c r="D2168" s="17" t="str">
        <x:v>next ask before hit/override</x:v>
      </x:c>
      <x:c r="E2168" s="17" t="str">
        <x:v>feature</x:v>
      </x:c>
      <x:c r="F2168" s="17" t="str">
        <x:v>constraint revealed</x:v>
      </x:c>
      <x:c r="G2168" s="17" t="str">
        <x:v>Imported | Zipper closure</x:v>
      </x:c>
      <x:c r="H2168" s="17" t="str">
        <x:v>For that, what matters is: Imported; Zipper closure.</x:v>
      </x:c>
      <x:c r="I2168" s="17" t="str"/>
    </x:row>
    <x:row r="2169">
      <x:c r="A2169" t="str">
        <x:v>public_0188</x:v>
      </x:c>
      <x:c r="B2169" t="str">
        <x:v>buying</x:v>
      </x:c>
      <x:c r="C2169" t="str">
        <x:v>easy</x:v>
      </x:c>
      <x:c r="D2169" s="17" t="str">
        <x:v>next ask before hit/override</x:v>
      </x:c>
      <x:c r="E2169" s="17" t="str">
        <x:v>use_case</x:v>
      </x:c>
      <x:c r="F2169" s="17" t="str">
        <x:v>no new constraint</x:v>
      </x:c>
      <x:c r="G2169" s="17" t="str"/>
      <x:c r="H2169" s="17" t="str">
        <x:v>I don't have an additional preference for use_case.</x:v>
      </x:c>
      <x:c r="I2169" s="17" t="str"/>
    </x:row>
    <x:row r="2170">
      <x:c r="A2170" t="str">
        <x:v>public_0188</x:v>
      </x:c>
      <x:c r="B2170" t="str">
        <x:v>buying</x:v>
      </x:c>
      <x:c r="C2170" t="str">
        <x:v>easy</x:v>
      </x:c>
      <x:c r="D2170" s="17" t="str">
        <x:v>next ask before hit/override</x:v>
      </x:c>
      <x:c r="E2170" s="17" t="str">
        <x:v>other</x:v>
      </x:c>
      <x:c r="F2170" s="17" t="str">
        <x:v>constraint revealed</x:v>
      </x:c>
      <x:c r="G2170" s="17" t="str">
        <x:v>Artificial Leather,Leather,Pu Leather | Imported</x:v>
      </x:c>
      <x:c r="H2170" s="17" t="str">
        <x:v>For that, what matters is: Artificial Leather,Leather,Pu Leather; Imported.</x:v>
      </x:c>
      <x:c r="I2170" s="17" t="str"/>
    </x:row>
    <x:row r="2171">
      <x:c r="A2171" t="str">
        <x:v>public_0188</x:v>
      </x:c>
      <x:c r="B2171" t="str">
        <x:v>buying</x:v>
      </x:c>
      <x:c r="C2171" t="str">
        <x:v>easy</x:v>
      </x:c>
      <x:c r="D2171" s="17" t="str">
        <x:v>next ask before hit/override</x:v>
      </x:c>
      <x:c r="E2171" s="17" t="str">
        <x:v>(no ask_attribute)</x:v>
      </x:c>
      <x:c r="F2171" s="17" t="str">
        <x:v>agent did not ask</x:v>
      </x:c>
      <x:c r="G2171" s="17" t="str"/>
      <x:c r="H2171" s="17" t="str">
        <x:v>Those options are not quite right yet. Ask me about one specific attribute.</x:v>
      </x:c>
      <x:c r="I2171" s="17" t="str"/>
    </x:row>
    <x:row r="2172">
      <x:c r="A2172" t="str">
        <x:v>public_0189</x:v>
      </x:c>
      <x:c r="B2172" t="str">
        <x:v>buying</x:v>
      </x:c>
      <x:c r="C2172" t="str">
        <x:v>easy</x:v>
      </x:c>
      <x:c r="D2172" s="17" t="str">
        <x:v>next ask before hit/override</x:v>
      </x:c>
      <x:c r="E2172" s="17" t="str">
        <x:v>category</x:v>
      </x:c>
      <x:c r="F2172" s="17" t="str">
        <x:v>no new constraint</x:v>
      </x:c>
      <x:c r="G2172" s="17" t="str"/>
      <x:c r="H2172" s="17" t="str">
        <x:v>I don't have an additional preference for category.</x:v>
      </x:c>
      <x:c r="I2172" s="17" t="str"/>
    </x:row>
    <x:row r="2173">
      <x:c r="A2173" t="str">
        <x:v>public_0189</x:v>
      </x:c>
      <x:c r="B2173" t="str">
        <x:v>buying</x:v>
      </x:c>
      <x:c r="C2173" t="str">
        <x:v>easy</x:v>
      </x:c>
      <x:c r="D2173" s="17" t="str">
        <x:v>next ask before hit/override</x:v>
      </x:c>
      <x:c r="E2173" s="17" t="str">
        <x:v>material</x:v>
      </x:c>
      <x:c r="F2173" s="17" t="str">
        <x:v>constraint revealed</x:v>
      </x:c>
      <x:c r="G2173" s="17" t="str">
        <x:v>100% Cotton</x:v>
      </x:c>
      <x:c r="H2173" s="17" t="str">
        <x:v>For that, what matters is: 100% Cotton.</x:v>
      </x:c>
      <x:c r="I2173" s="17" t="str"/>
    </x:row>
    <x:row r="2174">
      <x:c r="A2174" t="str">
        <x:v>public_0189</x:v>
      </x:c>
      <x:c r="B2174" t="str">
        <x:v>buying</x:v>
      </x:c>
      <x:c r="C2174" t="str">
        <x:v>easy</x:v>
      </x:c>
      <x:c r="D2174" s="17" t="str">
        <x:v>next ask before hit/override</x:v>
      </x:c>
      <x:c r="E2174" s="17" t="str">
        <x:v>color</x:v>
      </x:c>
      <x:c r="F2174" s="17" t="str">
        <x:v>constraint revealed</x:v>
      </x:c>
      <x:c r="G2174" s="17" t="str">
        <x:v>color: black</x:v>
      </x:c>
      <x:c r="H2174" s="17" t="str">
        <x:v>For that, what matters is: color: black.</x:v>
      </x:c>
      <x:c r="I2174" s="17" t="str"/>
    </x:row>
    <x:row r="2175">
      <x:c r="A2175" t="str">
        <x:v>public_0189</x:v>
      </x:c>
      <x:c r="B2175" t="str">
        <x:v>buying</x:v>
      </x:c>
      <x:c r="C2175" t="str">
        <x:v>easy</x:v>
      </x:c>
      <x:c r="D2175" s="17" t="str">
        <x:v>next ask before hit/override</x:v>
      </x:c>
      <x:c r="E2175" s="17" t="str">
        <x:v>size</x:v>
      </x:c>
      <x:c r="F2175" s="17" t="str">
        <x:v>no new constraint</x:v>
      </x:c>
      <x:c r="G2175" s="17" t="str"/>
      <x:c r="H2175" s="17" t="str">
        <x:v>I don't have an additional preference for size.</x:v>
      </x:c>
      <x:c r="I2175" s="17" t="str"/>
    </x:row>
    <x:row r="2176">
      <x:c r="A2176" t="str">
        <x:v>public_0189</x:v>
      </x:c>
      <x:c r="B2176" t="str">
        <x:v>buying</x:v>
      </x:c>
      <x:c r="C2176" t="str">
        <x:v>easy</x:v>
      </x:c>
      <x:c r="D2176" s="17" t="str">
        <x:v>next ask before hit/override</x:v>
      </x:c>
      <x:c r="E2176" s="17" t="str">
        <x:v>style</x:v>
      </x:c>
      <x:c r="F2176" s="17" t="str">
        <x:v>no new constraint</x:v>
      </x:c>
      <x:c r="G2176" s="17" t="str"/>
      <x:c r="H2176" s="17" t="str">
        <x:v>I don't have an additional preference for style.</x:v>
      </x:c>
      <x:c r="I2176" s="17" t="str"/>
    </x:row>
    <x:row r="2177">
      <x:c r="A2177" t="str">
        <x:v>public_0189</x:v>
      </x:c>
      <x:c r="B2177" t="str">
        <x:v>buying</x:v>
      </x:c>
      <x:c r="C2177" t="str">
        <x:v>easy</x:v>
      </x:c>
      <x:c r="D2177" s="17" t="str">
        <x:v>next ask before hit/override</x:v>
      </x:c>
      <x:c r="E2177" s="17" t="str">
        <x:v>brand</x:v>
      </x:c>
      <x:c r="F2177" s="17" t="str">
        <x:v>no new constraint</x:v>
      </x:c>
      <x:c r="G2177" s="17" t="str"/>
      <x:c r="H2177" s="17" t="str">
        <x:v>I don't have an additional preference for brand.</x:v>
      </x:c>
      <x:c r="I2177" s="17" t="str"/>
    </x:row>
    <x:row r="2178">
      <x:c r="A2178" t="str">
        <x:v>public_0189</x:v>
      </x:c>
      <x:c r="B2178" t="str">
        <x:v>buying</x:v>
      </x:c>
      <x:c r="C2178" t="str">
        <x:v>easy</x:v>
      </x:c>
      <x:c r="D2178" s="17" t="str">
        <x:v>next ask before hit/override</x:v>
      </x:c>
      <x:c r="E2178" s="17" t="str">
        <x:v>budget</x:v>
      </x:c>
      <x:c r="F2178" s="17" t="str">
        <x:v>no new constraint</x:v>
      </x:c>
      <x:c r="G2178" s="17" t="str"/>
      <x:c r="H2178" s="17" t="str">
        <x:v>I don't have an additional preference for budget.</x:v>
      </x:c>
      <x:c r="I2178" s="17" t="str"/>
    </x:row>
    <x:row r="2179">
      <x:c r="A2179" t="str">
        <x:v>public_0189</x:v>
      </x:c>
      <x:c r="B2179" t="str">
        <x:v>buying</x:v>
      </x:c>
      <x:c r="C2179" t="str">
        <x:v>easy</x:v>
      </x:c>
      <x:c r="D2179" s="17" t="str">
        <x:v>next ask before hit/override</x:v>
      </x:c>
      <x:c r="E2179" s="17" t="str">
        <x:v>feature</x:v>
      </x:c>
      <x:c r="F2179" s="17" t="str">
        <x:v>constraint revealed</x:v>
      </x:c>
      <x:c r="G2179" s="17" t="str">
        <x:v>Imported</x:v>
      </x:c>
      <x:c r="H2179" s="17" t="str">
        <x:v>For that, what matters is: Imported.</x:v>
      </x:c>
      <x:c r="I2179" s="17" t="str"/>
    </x:row>
    <x:row r="2180">
      <x:c r="A2180" t="str">
        <x:v>public_0189</x:v>
      </x:c>
      <x:c r="B2180" t="str">
        <x:v>buying</x:v>
      </x:c>
      <x:c r="C2180" t="str">
        <x:v>easy</x:v>
      </x:c>
      <x:c r="D2180" s="17" t="str">
        <x:v>next ask before hit/override</x:v>
      </x:c>
      <x:c r="E2180" s="17" t="str">
        <x:v>use_case</x:v>
      </x:c>
      <x:c r="F2180" s="17" t="str">
        <x:v>no new constraint</x:v>
      </x:c>
      <x:c r="G2180" s="17" t="str"/>
      <x:c r="H2180" s="17" t="str">
        <x:v>I don't have an additional preference for use_case.</x:v>
      </x:c>
      <x:c r="I2180" s="17" t="str"/>
    </x:row>
    <x:row r="2181">
      <x:c r="A2181" t="str">
        <x:v>public_0189</x:v>
      </x:c>
      <x:c r="B2181" t="str">
        <x:v>buying</x:v>
      </x:c>
      <x:c r="C2181" t="str">
        <x:v>easy</x:v>
      </x:c>
      <x:c r="D2181" s="17" t="str">
        <x:v>next ask before hit/override</x:v>
      </x:c>
      <x:c r="E2181" s="17" t="str">
        <x:v>other</x:v>
      </x:c>
      <x:c r="F2181" s="17" t="str">
        <x:v>constraint revealed</x:v>
      </x:c>
      <x:c r="G2181" s="17" t="str">
        <x:v>color: black | 100% Cotton</x:v>
      </x:c>
      <x:c r="H2181" s="17" t="str">
        <x:v>For that, what matters is: color: black; 100% Cotton.</x:v>
      </x:c>
      <x:c r="I2181" s="17" t="str"/>
    </x:row>
    <x:row r="2182">
      <x:c r="A2182" t="str">
        <x:v>public_0189</x:v>
      </x:c>
      <x:c r="B2182" t="str">
        <x:v>buying</x:v>
      </x:c>
      <x:c r="C2182" t="str">
        <x:v>easy</x:v>
      </x:c>
      <x:c r="D2182" s="17" t="str">
        <x:v>next ask before hit/override</x:v>
      </x:c>
      <x:c r="E2182" s="17" t="str">
        <x:v>(no ask_attribute)</x:v>
      </x:c>
      <x:c r="F2182" s="17" t="str">
        <x:v>agent did not ask</x:v>
      </x:c>
      <x:c r="G2182" s="17" t="str"/>
      <x:c r="H2182" s="17" t="str">
        <x:v>Those options are not quite right yet. Ask me about one specific attribute.</x:v>
      </x:c>
      <x:c r="I2182" s="17" t="str"/>
    </x:row>
    <x:row r="2183">
      <x:c r="A2183" t="str">
        <x:v>public_0190</x:v>
      </x:c>
      <x:c r="B2183" t="str">
        <x:v>buying</x:v>
      </x:c>
      <x:c r="C2183" t="str">
        <x:v>easy</x:v>
      </x:c>
      <x:c r="D2183" s="17" t="str">
        <x:v>next ask before hit/override</x:v>
      </x:c>
      <x:c r="E2183" s="17" t="str">
        <x:v>category</x:v>
      </x:c>
      <x:c r="F2183" s="17" t="str">
        <x:v>no new constraint</x:v>
      </x:c>
      <x:c r="G2183" s="17" t="str"/>
      <x:c r="H2183" s="17" t="str">
        <x:v>I don't have an additional preference for category.</x:v>
      </x:c>
      <x:c r="I2183" s="17" t="str"/>
    </x:row>
    <x:row r="2184">
      <x:c r="A2184" t="str">
        <x:v>public_0190</x:v>
      </x:c>
      <x:c r="B2184" t="str">
        <x:v>buying</x:v>
      </x:c>
      <x:c r="C2184" t="str">
        <x:v>easy</x:v>
      </x:c>
      <x:c r="D2184" s="17" t="str">
        <x:v>next ask before hit/override</x:v>
      </x:c>
      <x:c r="E2184" s="17" t="str">
        <x:v>material</x:v>
      </x:c>
      <x:c r="F2184" s="17" t="str">
        <x:v>constraint revealed</x:v>
      </x:c>
      <x:c r="G2184" s="17" t="str">
        <x:v>94% Polyester, 6% Spandex</x:v>
      </x:c>
      <x:c r="H2184" s="17" t="str">
        <x:v>For that, what matters is: 94% Polyester, 6% Spandex.</x:v>
      </x:c>
      <x:c r="I2184" s="17" t="str"/>
    </x:row>
    <x:row r="2185">
      <x:c r="A2185" t="str">
        <x:v>public_0190</x:v>
      </x:c>
      <x:c r="B2185" t="str">
        <x:v>buying</x:v>
      </x:c>
      <x:c r="C2185" t="str">
        <x:v>easy</x:v>
      </x:c>
      <x:c r="D2185" s="17" t="str">
        <x:v>next ask before hit/override</x:v>
      </x:c>
      <x:c r="E2185" s="17" t="str">
        <x:v>color</x:v>
      </x:c>
      <x:c r="F2185" s="17" t="str">
        <x:v>no new constraint</x:v>
      </x:c>
      <x:c r="G2185" s="17" t="str"/>
      <x:c r="H2185" s="17" t="str">
        <x:v>I don't have an additional preference for color.</x:v>
      </x:c>
      <x:c r="I2185" s="17" t="str"/>
    </x:row>
    <x:row r="2186">
      <x:c r="A2186" t="str">
        <x:v>public_0190</x:v>
      </x:c>
      <x:c r="B2186" t="str">
        <x:v>buying</x:v>
      </x:c>
      <x:c r="C2186" t="str">
        <x:v>easy</x:v>
      </x:c>
      <x:c r="D2186" s="17" t="str">
        <x:v>next ask before hit/override</x:v>
      </x:c>
      <x:c r="E2186" s="17" t="str">
        <x:v>size</x:v>
      </x:c>
      <x:c r="F2186" s="17" t="str">
        <x:v>no new constraint</x:v>
      </x:c>
      <x:c r="G2186" s="17" t="str"/>
      <x:c r="H2186" s="17" t="str">
        <x:v>I don't have an additional preference for size.</x:v>
      </x:c>
      <x:c r="I2186" s="17" t="str"/>
    </x:row>
    <x:row r="2187">
      <x:c r="A2187" t="str">
        <x:v>public_0190</x:v>
      </x:c>
      <x:c r="B2187" t="str">
        <x:v>buying</x:v>
      </x:c>
      <x:c r="C2187" t="str">
        <x:v>easy</x:v>
      </x:c>
      <x:c r="D2187" s="17" t="str">
        <x:v>next ask before hit/override</x:v>
      </x:c>
      <x:c r="E2187" s="17" t="str">
        <x:v>style</x:v>
      </x:c>
      <x:c r="F2187" s="17" t="str">
        <x:v>no new constraint</x:v>
      </x:c>
      <x:c r="G2187" s="17" t="str"/>
      <x:c r="H2187" s="17" t="str">
        <x:v>I don't have an additional preference for style.</x:v>
      </x:c>
      <x:c r="I2187" s="17" t="str"/>
    </x:row>
    <x:row r="2188">
      <x:c r="A2188" t="str">
        <x:v>public_0190</x:v>
      </x:c>
      <x:c r="B2188" t="str">
        <x:v>buying</x:v>
      </x:c>
      <x:c r="C2188" t="str">
        <x:v>easy</x:v>
      </x:c>
      <x:c r="D2188" s="17" t="str">
        <x:v>next ask before hit/override</x:v>
      </x:c>
      <x:c r="E2188" s="17" t="str">
        <x:v>brand</x:v>
      </x:c>
      <x:c r="F2188" s="17" t="str">
        <x:v>no new constraint</x:v>
      </x:c>
      <x:c r="G2188" s="17" t="str"/>
      <x:c r="H2188" s="17" t="str">
        <x:v>I don't have an additional preference for brand.</x:v>
      </x:c>
      <x:c r="I2188" s="17" t="str"/>
    </x:row>
    <x:row r="2189">
      <x:c r="A2189" t="str">
        <x:v>public_0190</x:v>
      </x:c>
      <x:c r="B2189" t="str">
        <x:v>buying</x:v>
      </x:c>
      <x:c r="C2189" t="str">
        <x:v>easy</x:v>
      </x:c>
      <x:c r="D2189" s="17" t="str">
        <x:v>next ask before hit/override</x:v>
      </x:c>
      <x:c r="E2189" s="17" t="str">
        <x:v>budget</x:v>
      </x:c>
      <x:c r="F2189" s="17" t="str">
        <x:v>no new constraint</x:v>
      </x:c>
      <x:c r="G2189" s="17" t="str"/>
      <x:c r="H2189" s="17" t="str">
        <x:v>I don't have an additional preference for budget.</x:v>
      </x:c>
      <x:c r="I2189" s="17" t="str"/>
    </x:row>
    <x:row r="2190">
      <x:c r="A2190" t="str">
        <x:v>public_0190</x:v>
      </x:c>
      <x:c r="B2190" t="str">
        <x:v>buying</x:v>
      </x:c>
      <x:c r="C2190" t="str">
        <x:v>easy</x:v>
      </x:c>
      <x:c r="D2190" s="17" t="str">
        <x:v>next ask before hit/override</x:v>
      </x:c>
      <x:c r="E2190" s="17" t="str">
        <x:v>feature</x:v>
      </x:c>
      <x:c r="F2190" s="17" t="str">
        <x:v>constraint revealed</x:v>
      </x:c>
      <x:c r="G2190" s="17" t="str">
        <x:v>Imported | Pull On closure</x:v>
      </x:c>
      <x:c r="H2190" s="17" t="str">
        <x:v>For that, what matters is: Imported; Pull On closure.</x:v>
      </x:c>
      <x:c r="I2190" s="17" t="str"/>
    </x:row>
    <x:row r="2191">
      <x:c r="A2191" t="str">
        <x:v>public_0190</x:v>
      </x:c>
      <x:c r="B2191" t="str">
        <x:v>buying</x:v>
      </x:c>
      <x:c r="C2191" t="str">
        <x:v>easy</x:v>
      </x:c>
      <x:c r="D2191" s="17" t="str">
        <x:v>next ask before hit/override</x:v>
      </x:c>
      <x:c r="E2191" s="17" t="str">
        <x:v>use_case</x:v>
      </x:c>
      <x:c r="F2191" s="17" t="str">
        <x:v>no new constraint</x:v>
      </x:c>
      <x:c r="G2191" s="17" t="str"/>
      <x:c r="H2191" s="17" t="str">
        <x:v>I don't have an additional preference for use_case.</x:v>
      </x:c>
      <x:c r="I2191" s="17" t="str"/>
    </x:row>
    <x:row r="2192">
      <x:c r="A2192" t="str">
        <x:v>public_0190</x:v>
      </x:c>
      <x:c r="B2192" t="str">
        <x:v>buying</x:v>
      </x:c>
      <x:c r="C2192" t="str">
        <x:v>easy</x:v>
      </x:c>
      <x:c r="D2192" s="17" t="str">
        <x:v>next ask before hit/override</x:v>
      </x:c>
      <x:c r="E2192" s="17" t="str">
        <x:v>other</x:v>
      </x:c>
      <x:c r="F2192" s="17" t="str">
        <x:v>constraint revealed</x:v>
      </x:c>
      <x:c r="G2192" s="17" t="str">
        <x:v>94% Polyester, 6% Spandex | Imported</x:v>
      </x:c>
      <x:c r="H2192" s="17" t="str">
        <x:v>For that, what matters is: 94% Polyester, 6% Spandex; Imported.</x:v>
      </x:c>
      <x:c r="I2192" s="17" t="str"/>
    </x:row>
    <x:row r="2193">
      <x:c r="A2193" t="str">
        <x:v>public_0190</x:v>
      </x:c>
      <x:c r="B2193" t="str">
        <x:v>buying</x:v>
      </x:c>
      <x:c r="C2193" t="str">
        <x:v>easy</x:v>
      </x:c>
      <x:c r="D2193" s="17" t="str">
        <x:v>next ask before hit/override</x:v>
      </x:c>
      <x:c r="E2193" s="17" t="str">
        <x:v>(no ask_attribute)</x:v>
      </x:c>
      <x:c r="F2193" s="17" t="str">
        <x:v>agent did not ask</x:v>
      </x:c>
      <x:c r="G2193" s="17" t="str"/>
      <x:c r="H2193" s="17" t="str">
        <x:v>Those options are not quite right yet. Ask me about one specific attribute.</x:v>
      </x:c>
      <x:c r="I2193" s="17" t="str"/>
    </x:row>
    <x:row r="2194">
      <x:c r="A2194" t="str">
        <x:v>public_0191</x:v>
      </x:c>
      <x:c r="B2194" t="str">
        <x:v>browsing</x:v>
      </x:c>
      <x:c r="C2194" t="str">
        <x:v>medium</x:v>
      </x:c>
      <x:c r="D2194" s="17" t="str">
        <x:v>next ask before hit/override</x:v>
      </x:c>
      <x:c r="E2194" s="17" t="str">
        <x:v>category</x:v>
      </x:c>
      <x:c r="F2194" s="17" t="str">
        <x:v>no new constraint</x:v>
      </x:c>
      <x:c r="G2194" s="17" t="str"/>
      <x:c r="H2194" s="17" t="str">
        <x:v>I don't have an additional preference for category.</x:v>
      </x:c>
      <x:c r="I2194" s="17" t="str"/>
    </x:row>
    <x:row r="2195">
      <x:c r="A2195" t="str">
        <x:v>public_0191</x:v>
      </x:c>
      <x:c r="B2195" t="str">
        <x:v>browsing</x:v>
      </x:c>
      <x:c r="C2195" t="str">
        <x:v>medium</x:v>
      </x:c>
      <x:c r="D2195" s="17" t="str">
        <x:v>next ask before hit/override</x:v>
      </x:c>
      <x:c r="E2195" s="17" t="str">
        <x:v>material</x:v>
      </x:c>
      <x:c r="F2195" s="17" t="str">
        <x:v>no new constraint</x:v>
      </x:c>
      <x:c r="G2195" s="17" t="str"/>
      <x:c r="H2195" s="17" t="str">
        <x:v>I don't have an additional preference for material.</x:v>
      </x:c>
      <x:c r="I2195" s="17" t="str"/>
    </x:row>
    <x:row r="2196">
      <x:c r="A2196" t="str">
        <x:v>public_0191</x:v>
      </x:c>
      <x:c r="B2196" t="str">
        <x:v>browsing</x:v>
      </x:c>
      <x:c r="C2196" t="str">
        <x:v>medium</x:v>
      </x:c>
      <x:c r="D2196" s="17" t="str">
        <x:v>next ask before hit/override</x:v>
      </x:c>
      <x:c r="E2196" s="17" t="str">
        <x:v>color</x:v>
      </x:c>
      <x:c r="F2196" s="17" t="str">
        <x:v>no new constraint</x:v>
      </x:c>
      <x:c r="G2196" s="17" t="str"/>
      <x:c r="H2196" s="17" t="str">
        <x:v>I don't have an additional preference for color.</x:v>
      </x:c>
      <x:c r="I2196" s="17" t="str"/>
    </x:row>
    <x:row r="2197">
      <x:c r="A2197" t="str">
        <x:v>public_0191</x:v>
      </x:c>
      <x:c r="B2197" t="str">
        <x:v>browsing</x:v>
      </x:c>
      <x:c r="C2197" t="str">
        <x:v>medium</x:v>
      </x:c>
      <x:c r="D2197" s="17" t="str">
        <x:v>next ask before hit/override</x:v>
      </x:c>
      <x:c r="E2197" s="17" t="str">
        <x:v>size</x:v>
      </x:c>
      <x:c r="F2197" s="17" t="str">
        <x:v>no new constraint</x:v>
      </x:c>
      <x:c r="G2197" s="17" t="str"/>
      <x:c r="H2197" s="17" t="str">
        <x:v>I don't have an additional preference for size.</x:v>
      </x:c>
      <x:c r="I2197" s="17" t="str"/>
    </x:row>
    <x:row r="2198">
      <x:c r="A2198" t="str">
        <x:v>public_0191</x:v>
      </x:c>
      <x:c r="B2198" t="str">
        <x:v>browsing</x:v>
      </x:c>
      <x:c r="C2198" t="str">
        <x:v>medium</x:v>
      </x:c>
      <x:c r="D2198" s="17" t="str">
        <x:v>next ask before hit/override</x:v>
      </x:c>
      <x:c r="E2198" s="17" t="str">
        <x:v>style</x:v>
      </x:c>
      <x:c r="F2198" s="17" t="str">
        <x:v>no new constraint</x:v>
      </x:c>
      <x:c r="G2198" s="17" t="str"/>
      <x:c r="H2198" s="17" t="str">
        <x:v>I don't have an additional preference for style.</x:v>
      </x:c>
      <x:c r="I2198" s="17" t="str"/>
    </x:row>
    <x:row r="2199">
      <x:c r="A2199" t="str">
        <x:v>public_0191</x:v>
      </x:c>
      <x:c r="B2199" t="str">
        <x:v>browsing</x:v>
      </x:c>
      <x:c r="C2199" t="str">
        <x:v>medium</x:v>
      </x:c>
      <x:c r="D2199" s="17" t="str">
        <x:v>next ask before hit/override</x:v>
      </x:c>
      <x:c r="E2199" s="17" t="str">
        <x:v>brand</x:v>
      </x:c>
      <x:c r="F2199" s="17" t="str">
        <x:v>no new constraint</x:v>
      </x:c>
      <x:c r="G2199" s="17" t="str"/>
      <x:c r="H2199" s="17" t="str">
        <x:v>I don't have an additional preference for brand.</x:v>
      </x:c>
      <x:c r="I2199" s="17" t="str"/>
    </x:row>
    <x:row r="2200">
      <x:c r="A2200" t="str">
        <x:v>public_0191</x:v>
      </x:c>
      <x:c r="B2200" t="str">
        <x:v>browsing</x:v>
      </x:c>
      <x:c r="C2200" t="str">
        <x:v>medium</x:v>
      </x:c>
      <x:c r="D2200" s="17" t="str">
        <x:v>next ask before hit/override</x:v>
      </x:c>
      <x:c r="E2200" s="17" t="str">
        <x:v>budget</x:v>
      </x:c>
      <x:c r="F2200" s="17" t="str">
        <x:v>no new constraint</x:v>
      </x:c>
      <x:c r="G2200" s="17" t="str"/>
      <x:c r="H2200" s="17" t="str">
        <x:v>I don't have an additional preference for budget.</x:v>
      </x:c>
      <x:c r="I2200" s="17" t="str"/>
    </x:row>
    <x:row r="2201">
      <x:c r="A2201" t="str">
        <x:v>public_0191</x:v>
      </x:c>
      <x:c r="B2201" t="str">
        <x:v>browsing</x:v>
      </x:c>
      <x:c r="C2201" t="str">
        <x:v>medium</x:v>
      </x:c>
      <x:c r="D2201" s="17" t="str">
        <x:v>next ask before hit/override</x:v>
      </x:c>
      <x:c r="E2201" s="17" t="str">
        <x:v>feature</x:v>
      </x:c>
      <x:c r="F2201" s="17" t="str">
        <x:v>constraint revealed</x:v>
      </x:c>
      <x:c r="G2201" s="17" t="str">
        <x:v>Polyamide,Mesh | Machine Wash</x:v>
      </x:c>
      <x:c r="H2201" s="17" t="str">
        <x:v>For that, what matters is: Polyamide,Mesh; Machine Wash.</x:v>
      </x:c>
      <x:c r="I2201" s="17" t="str"/>
    </x:row>
    <x:row r="2202">
      <x:c r="A2202" t="str">
        <x:v>public_0191</x:v>
      </x:c>
      <x:c r="B2202" t="str">
        <x:v>browsing</x:v>
      </x:c>
      <x:c r="C2202" t="str">
        <x:v>medium</x:v>
      </x:c>
      <x:c r="D2202" s="17" t="str">
        <x:v>next ask before hit/override</x:v>
      </x:c>
      <x:c r="E2202" s="17" t="str">
        <x:v>use_case</x:v>
      </x:c>
      <x:c r="F2202" s="17" t="str">
        <x:v>no new constraint</x:v>
      </x:c>
      <x:c r="G2202" s="17" t="str"/>
      <x:c r="H2202" s="17" t="str">
        <x:v>I don't have an additional preference for use_case.</x:v>
      </x:c>
      <x:c r="I2202" s="17" t="str"/>
    </x:row>
    <x:row r="2203">
      <x:c r="A2203" t="str">
        <x:v>public_0191</x:v>
      </x:c>
      <x:c r="B2203" t="str">
        <x:v>browsing</x:v>
      </x:c>
      <x:c r="C2203" t="str">
        <x:v>medium</x:v>
      </x:c>
      <x:c r="D2203" s="17" t="str">
        <x:v>next ask before hit/override</x:v>
      </x:c>
      <x:c r="E2203" s="17" t="str">
        <x:v>other</x:v>
      </x:c>
      <x:c r="F2203" s="17" t="str">
        <x:v>constraint revealed</x:v>
      </x:c>
      <x:c r="G2203" s="17" t="str">
        <x:v>Polyamide,Mesh | Machine Wash</x:v>
      </x:c>
      <x:c r="H2203" s="17" t="str">
        <x:v>For that, what matters is: Polyamide,Mesh; Machine Wash.</x:v>
      </x:c>
      <x:c r="I2203" s="17" t="str"/>
    </x:row>
    <x:row r="2204">
      <x:c r="A2204" t="str">
        <x:v>public_0191</x:v>
      </x:c>
      <x:c r="B2204" t="str">
        <x:v>browsing</x:v>
      </x:c>
      <x:c r="C2204" t="str">
        <x:v>medium</x:v>
      </x:c>
      <x:c r="D2204" s="17" t="str">
        <x:v>next ask before hit/override</x:v>
      </x:c>
      <x:c r="E2204" s="17" t="str">
        <x:v>(no ask_attribute)</x:v>
      </x:c>
      <x:c r="F2204" s="17" t="str">
        <x:v>agent did not ask</x:v>
      </x:c>
      <x:c r="G2204" s="17" t="str"/>
      <x:c r="H2204" s="17" t="str">
        <x:v>Those options are not quite right yet. Ask me about one specific attribute.</x:v>
      </x:c>
      <x:c r="I2204" s="17" t="str"/>
    </x:row>
    <x:row r="2205">
      <x:c r="A2205" t="str">
        <x:v>public_0192</x:v>
      </x:c>
      <x:c r="B2205" t="str">
        <x:v>boundary</x:v>
      </x:c>
      <x:c r="C2205" t="str">
        <x:v>medium</x:v>
      </x:c>
      <x:c r="D2205" s="17" t="str">
        <x:v>first ask (boundary unused)</x:v>
      </x:c>
      <x:c r="E2205" s="17" t="str">
        <x:v>category</x:v>
      </x:c>
      <x:c r="F2205" s="17" t="str">
        <x:v>boundary no-preference</x:v>
      </x:c>
      <x:c r="G2205" s="17" t="str"/>
      <x:c r="H2205" s="17" t="str">
        <x:v>I don't have a preference for category; please use your judgment.</x:v>
      </x:c>
      <x:c r="I2205" s="17" t="str"/>
    </x:row>
    <x:row r="2206">
      <x:c r="A2206" t="str">
        <x:v>public_0192</x:v>
      </x:c>
      <x:c r="B2206" t="str">
        <x:v>boundary</x:v>
      </x:c>
      <x:c r="C2206" t="str">
        <x:v>medium</x:v>
      </x:c>
      <x:c r="D2206" s="17" t="str">
        <x:v>first ask (boundary unused)</x:v>
      </x:c>
      <x:c r="E2206" s="17" t="str">
        <x:v>material</x:v>
      </x:c>
      <x:c r="F2206" s="17" t="str">
        <x:v>boundary no-preference</x:v>
      </x:c>
      <x:c r="G2206" s="17" t="str"/>
      <x:c r="H2206" s="17" t="str">
        <x:v>I don't have a preference for material; please use your judgment.</x:v>
      </x:c>
      <x:c r="I2206" s="17" t="str"/>
    </x:row>
    <x:row r="2207">
      <x:c r="A2207" t="str">
        <x:v>public_0192</x:v>
      </x:c>
      <x:c r="B2207" t="str">
        <x:v>boundary</x:v>
      </x:c>
      <x:c r="C2207" t="str">
        <x:v>medium</x:v>
      </x:c>
      <x:c r="D2207" s="17" t="str">
        <x:v>first ask (boundary unused)</x:v>
      </x:c>
      <x:c r="E2207" s="17" t="str">
        <x:v>color</x:v>
      </x:c>
      <x:c r="F2207" s="17" t="str">
        <x:v>boundary no-preference</x:v>
      </x:c>
      <x:c r="G2207" s="17" t="str"/>
      <x:c r="H2207" s="17" t="str">
        <x:v>I don't have a preference for color; please use your judgment.</x:v>
      </x:c>
      <x:c r="I2207" s="17" t="str"/>
    </x:row>
    <x:row r="2208">
      <x:c r="A2208" t="str">
        <x:v>public_0192</x:v>
      </x:c>
      <x:c r="B2208" t="str">
        <x:v>boundary</x:v>
      </x:c>
      <x:c r="C2208" t="str">
        <x:v>medium</x:v>
      </x:c>
      <x:c r="D2208" s="17" t="str">
        <x:v>first ask (boundary unused)</x:v>
      </x:c>
      <x:c r="E2208" s="17" t="str">
        <x:v>size</x:v>
      </x:c>
      <x:c r="F2208" s="17" t="str">
        <x:v>boundary no-preference</x:v>
      </x:c>
      <x:c r="G2208" s="17" t="str"/>
      <x:c r="H2208" s="17" t="str">
        <x:v>I don't have a preference for size; please use your judgment.</x:v>
      </x:c>
      <x:c r="I2208" s="17" t="str"/>
    </x:row>
    <x:row r="2209">
      <x:c r="A2209" t="str">
        <x:v>public_0192</x:v>
      </x:c>
      <x:c r="B2209" t="str">
        <x:v>boundary</x:v>
      </x:c>
      <x:c r="C2209" t="str">
        <x:v>medium</x:v>
      </x:c>
      <x:c r="D2209" s="17" t="str">
        <x:v>first ask (boundary unused)</x:v>
      </x:c>
      <x:c r="E2209" s="17" t="str">
        <x:v>style</x:v>
      </x:c>
      <x:c r="F2209" s="17" t="str">
        <x:v>boundary no-preference</x:v>
      </x:c>
      <x:c r="G2209" s="17" t="str"/>
      <x:c r="H2209" s="17" t="str">
        <x:v>I don't have a preference for style; please use your judgment.</x:v>
      </x:c>
      <x:c r="I2209" s="17" t="str"/>
    </x:row>
    <x:row r="2210">
      <x:c r="A2210" t="str">
        <x:v>public_0192</x:v>
      </x:c>
      <x:c r="B2210" t="str">
        <x:v>boundary</x:v>
      </x:c>
      <x:c r="C2210" t="str">
        <x:v>medium</x:v>
      </x:c>
      <x:c r="D2210" s="17" t="str">
        <x:v>first ask (boundary unused)</x:v>
      </x:c>
      <x:c r="E2210" s="17" t="str">
        <x:v>brand</x:v>
      </x:c>
      <x:c r="F2210" s="17" t="str">
        <x:v>boundary no-preference</x:v>
      </x:c>
      <x:c r="G2210" s="17" t="str"/>
      <x:c r="H2210" s="17" t="str">
        <x:v>I don't have a preference for brand; please use your judgment.</x:v>
      </x:c>
      <x:c r="I2210" s="17" t="str"/>
    </x:row>
    <x:row r="2211">
      <x:c r="A2211" t="str">
        <x:v>public_0192</x:v>
      </x:c>
      <x:c r="B2211" t="str">
        <x:v>boundary</x:v>
      </x:c>
      <x:c r="C2211" t="str">
        <x:v>medium</x:v>
      </x:c>
      <x:c r="D2211" s="17" t="str">
        <x:v>first ask (boundary unused)</x:v>
      </x:c>
      <x:c r="E2211" s="17" t="str">
        <x:v>budget</x:v>
      </x:c>
      <x:c r="F2211" s="17" t="str">
        <x:v>boundary no-preference</x:v>
      </x:c>
      <x:c r="G2211" s="17" t="str"/>
      <x:c r="H2211" s="17" t="str">
        <x:v>I don't have a preference for budget; please use your judgment.</x:v>
      </x:c>
      <x:c r="I2211" s="17" t="str"/>
    </x:row>
    <x:row r="2212">
      <x:c r="A2212" t="str">
        <x:v>public_0192</x:v>
      </x:c>
      <x:c r="B2212" t="str">
        <x:v>boundary</x:v>
      </x:c>
      <x:c r="C2212" t="str">
        <x:v>medium</x:v>
      </x:c>
      <x:c r="D2212" s="17" t="str">
        <x:v>first ask (boundary unused)</x:v>
      </x:c>
      <x:c r="E2212" s="17" t="str">
        <x:v>feature</x:v>
      </x:c>
      <x:c r="F2212" s="17" t="str">
        <x:v>boundary no-preference</x:v>
      </x:c>
      <x:c r="G2212" s="17" t="str"/>
      <x:c r="H2212" s="17" t="str">
        <x:v>I don't have a preference for feature; please use your judgment.</x:v>
      </x:c>
      <x:c r="I2212" s="17" t="str"/>
    </x:row>
    <x:row r="2213">
      <x:c r="A2213" t="str">
        <x:v>public_0192</x:v>
      </x:c>
      <x:c r="B2213" t="str">
        <x:v>boundary</x:v>
      </x:c>
      <x:c r="C2213" t="str">
        <x:v>medium</x:v>
      </x:c>
      <x:c r="D2213" s="17" t="str">
        <x:v>first ask (boundary unused)</x:v>
      </x:c>
      <x:c r="E2213" s="17" t="str">
        <x:v>use_case</x:v>
      </x:c>
      <x:c r="F2213" s="17" t="str">
        <x:v>boundary no-preference</x:v>
      </x:c>
      <x:c r="G2213" s="17" t="str"/>
      <x:c r="H2213" s="17" t="str">
        <x:v>I don't have a preference for use_case; please use your judgment.</x:v>
      </x:c>
      <x:c r="I2213" s="17" t="str"/>
    </x:row>
    <x:row r="2214">
      <x:c r="A2214" t="str">
        <x:v>public_0192</x:v>
      </x:c>
      <x:c r="B2214" t="str">
        <x:v>boundary</x:v>
      </x:c>
      <x:c r="C2214" t="str">
        <x:v>medium</x:v>
      </x:c>
      <x:c r="D2214" s="17" t="str">
        <x:v>first ask (boundary unused)</x:v>
      </x:c>
      <x:c r="E2214" s="17" t="str">
        <x:v>other</x:v>
      </x:c>
      <x:c r="F2214" s="17" t="str">
        <x:v>boundary no-preference</x:v>
      </x:c>
      <x:c r="G2214" s="17" t="str"/>
      <x:c r="H2214" s="17" t="str">
        <x:v>I don't have a preference for other; please use your judgment.</x:v>
      </x:c>
      <x:c r="I2214" s="17" t="str"/>
    </x:row>
    <x:row r="2215">
      <x:c r="A2215" t="str">
        <x:v>public_0192</x:v>
      </x:c>
      <x:c r="B2215" t="str">
        <x:v>boundary</x:v>
      </x:c>
      <x:c r="C2215" t="str">
        <x:v>medium</x:v>
      </x:c>
      <x:c r="D2215" s="17" t="str">
        <x:v>first ask (boundary unused)</x:v>
      </x:c>
      <x:c r="E2215" s="17" t="str">
        <x:v>(no ask_attribute)</x:v>
      </x:c>
      <x:c r="F2215" s="17" t="str">
        <x:v>agent did not ask</x:v>
      </x:c>
      <x:c r="G2215" s="17" t="str"/>
      <x:c r="H2215" s="17" t="str">
        <x:v>Those options are not quite right yet. Ask me about one specific attribute.</x:v>
      </x:c>
      <x:c r="I2215" s="17" t="str"/>
    </x:row>
    <x:row r="2216">
      <x:c r="A2216" t="str">
        <x:v>public_0192</x:v>
      </x:c>
      <x:c r="B2216" t="str">
        <x:v>boundary</x:v>
      </x:c>
      <x:c r="C2216" t="str">
        <x:v>medium</x:v>
      </x:c>
      <x:c r="D2216" s="17" t="str">
        <x:v>after no-preference used</x:v>
      </x:c>
      <x:c r="E2216" s="17" t="str">
        <x:v>category</x:v>
      </x:c>
      <x:c r="F2216" s="17" t="str">
        <x:v>no new constraint</x:v>
      </x:c>
      <x:c r="G2216" s="17" t="str"/>
      <x:c r="H2216" s="17" t="str">
        <x:v>I don't have an additional preference for category.</x:v>
      </x:c>
      <x:c r="I2216" s="17" t="str"/>
    </x:row>
    <x:row r="2217">
      <x:c r="A2217" t="str">
        <x:v>public_0192</x:v>
      </x:c>
      <x:c r="B2217" t="str">
        <x:v>boundary</x:v>
      </x:c>
      <x:c r="C2217" t="str">
        <x:v>medium</x:v>
      </x:c>
      <x:c r="D2217" s="17" t="str">
        <x:v>after no-preference used</x:v>
      </x:c>
      <x:c r="E2217" s="17" t="str">
        <x:v>material</x:v>
      </x:c>
      <x:c r="F2217" s="17" t="str">
        <x:v>no new constraint</x:v>
      </x:c>
      <x:c r="G2217" s="17" t="str"/>
      <x:c r="H2217" s="17" t="str">
        <x:v>I don't have an additional preference for material.</x:v>
      </x:c>
      <x:c r="I2217" s="17" t="str"/>
    </x:row>
    <x:row r="2218">
      <x:c r="A2218" t="str">
        <x:v>public_0192</x:v>
      </x:c>
      <x:c r="B2218" t="str">
        <x:v>boundary</x:v>
      </x:c>
      <x:c r="C2218" t="str">
        <x:v>medium</x:v>
      </x:c>
      <x:c r="D2218" s="17" t="str">
        <x:v>after no-preference used</x:v>
      </x:c>
      <x:c r="E2218" s="17" t="str">
        <x:v>color</x:v>
      </x:c>
      <x:c r="F2218" s="17" t="str">
        <x:v>constraint revealed</x:v>
      </x:c>
      <x:c r="G2218" s="17" t="str">
        <x:v>color: pink</x:v>
      </x:c>
      <x:c r="H2218" s="17" t="str">
        <x:v>For that, what matters is: color: pink.</x:v>
      </x:c>
      <x:c r="I2218" s="17" t="str"/>
    </x:row>
    <x:row r="2219">
      <x:c r="A2219" t="str">
        <x:v>public_0192</x:v>
      </x:c>
      <x:c r="B2219" t="str">
        <x:v>boundary</x:v>
      </x:c>
      <x:c r="C2219" t="str">
        <x:v>medium</x:v>
      </x:c>
      <x:c r="D2219" s="17" t="str">
        <x:v>after no-preference used</x:v>
      </x:c>
      <x:c r="E2219" s="17" t="str">
        <x:v>size</x:v>
      </x:c>
      <x:c r="F2219" s="17" t="str">
        <x:v>no new constraint</x:v>
      </x:c>
      <x:c r="G2219" s="17" t="str"/>
      <x:c r="H2219" s="17" t="str">
        <x:v>I don't have an additional preference for size.</x:v>
      </x:c>
      <x:c r="I2219" s="17" t="str"/>
    </x:row>
    <x:row r="2220">
      <x:c r="A2220" t="str">
        <x:v>public_0192</x:v>
      </x:c>
      <x:c r="B2220" t="str">
        <x:v>boundary</x:v>
      </x:c>
      <x:c r="C2220" t="str">
        <x:v>medium</x:v>
      </x:c>
      <x:c r="D2220" s="17" t="str">
        <x:v>after no-preference used</x:v>
      </x:c>
      <x:c r="E2220" s="17" t="str">
        <x:v>style</x:v>
      </x:c>
      <x:c r="F2220" s="17" t="str">
        <x:v>no new constraint</x:v>
      </x:c>
      <x:c r="G2220" s="17" t="str"/>
      <x:c r="H2220" s="17" t="str">
        <x:v>I don't have an additional preference for style.</x:v>
      </x:c>
      <x:c r="I2220" s="17" t="str"/>
    </x:row>
    <x:row r="2221">
      <x:c r="A2221" t="str">
        <x:v>public_0192</x:v>
      </x:c>
      <x:c r="B2221" t="str">
        <x:v>boundary</x:v>
      </x:c>
      <x:c r="C2221" t="str">
        <x:v>medium</x:v>
      </x:c>
      <x:c r="D2221" s="17" t="str">
        <x:v>after no-preference used</x:v>
      </x:c>
      <x:c r="E2221" s="17" t="str">
        <x:v>brand</x:v>
      </x:c>
      <x:c r="F2221" s="17" t="str">
        <x:v>no new constraint</x:v>
      </x:c>
      <x:c r="G2221" s="17" t="str"/>
      <x:c r="H2221" s="17" t="str">
        <x:v>I don't have an additional preference for brand.</x:v>
      </x:c>
      <x:c r="I2221" s="17" t="str"/>
    </x:row>
    <x:row r="2222">
      <x:c r="A2222" t="str">
        <x:v>public_0192</x:v>
      </x:c>
      <x:c r="B2222" t="str">
        <x:v>boundary</x:v>
      </x:c>
      <x:c r="C2222" t="str">
        <x:v>medium</x:v>
      </x:c>
      <x:c r="D2222" s="17" t="str">
        <x:v>after no-preference used</x:v>
      </x:c>
      <x:c r="E2222" s="17" t="str">
        <x:v>budget</x:v>
      </x:c>
      <x:c r="F2222" s="17" t="str">
        <x:v>no new constraint</x:v>
      </x:c>
      <x:c r="G2222" s="17" t="str"/>
      <x:c r="H2222" s="17" t="str">
        <x:v>I don't have an additional preference for budget.</x:v>
      </x:c>
      <x:c r="I2222" s="17" t="str"/>
    </x:row>
    <x:row r="2223">
      <x:c r="A2223" t="str">
        <x:v>public_0192</x:v>
      </x:c>
      <x:c r="B2223" t="str">
        <x:v>boundary</x:v>
      </x:c>
      <x:c r="C2223" t="str">
        <x:v>medium</x:v>
      </x:c>
      <x:c r="D2223" s="17" t="str">
        <x:v>after no-preference used</x:v>
      </x:c>
      <x:c r="E2223" s="17" t="str">
        <x:v>feature</x:v>
      </x:c>
      <x:c r="F2223" s="17" t="str">
        <x:v>constraint revealed</x:v>
      </x:c>
      <x:c r="G2223" s="17" t="str">
        <x:v>100% Textile Synthetics | Imported</x:v>
      </x:c>
      <x:c r="H2223" s="17" t="str">
        <x:v>For that, what matters is: 100% Textile Synthetics; Imported.</x:v>
      </x:c>
      <x:c r="I2223" s="17" t="str"/>
    </x:row>
    <x:row r="2224">
      <x:c r="A2224" t="str">
        <x:v>public_0192</x:v>
      </x:c>
      <x:c r="B2224" t="str">
        <x:v>boundary</x:v>
      </x:c>
      <x:c r="C2224" t="str">
        <x:v>medium</x:v>
      </x:c>
      <x:c r="D2224" s="17" t="str">
        <x:v>after no-preference used</x:v>
      </x:c>
      <x:c r="E2224" s="17" t="str">
        <x:v>use_case</x:v>
      </x:c>
      <x:c r="F2224" s="17" t="str">
        <x:v>no new constraint</x:v>
      </x:c>
      <x:c r="G2224" s="17" t="str"/>
      <x:c r="H2224" s="17" t="str">
        <x:v>I don't have an additional preference for use_case.</x:v>
      </x:c>
      <x:c r="I2224" s="17" t="str"/>
    </x:row>
    <x:row r="2225">
      <x:c r="A2225" t="str">
        <x:v>public_0192</x:v>
      </x:c>
      <x:c r="B2225" t="str">
        <x:v>boundary</x:v>
      </x:c>
      <x:c r="C2225" t="str">
        <x:v>medium</x:v>
      </x:c>
      <x:c r="D2225" s="17" t="str">
        <x:v>after no-preference used</x:v>
      </x:c>
      <x:c r="E2225" s="17" t="str">
        <x:v>other</x:v>
      </x:c>
      <x:c r="F2225" s="17" t="str">
        <x:v>constraint revealed</x:v>
      </x:c>
      <x:c r="G2225" s="17" t="str">
        <x:v>100% Textile Synthetics | color: pink</x:v>
      </x:c>
      <x:c r="H2225" s="17" t="str">
        <x:v>For that, what matters is: 100% Textile Synthetics; color: pink.</x:v>
      </x:c>
      <x:c r="I2225" s="17" t="str"/>
    </x:row>
    <x:row r="2226">
      <x:c r="A2226" t="str">
        <x:v>public_0192</x:v>
      </x:c>
      <x:c r="B2226" t="str">
        <x:v>boundary</x:v>
      </x:c>
      <x:c r="C2226" t="str">
        <x:v>medium</x:v>
      </x:c>
      <x:c r="D2226" s="17" t="str">
        <x:v>after no-preference used</x:v>
      </x:c>
      <x:c r="E2226" s="17" t="str">
        <x:v>(no ask_attribute)</x:v>
      </x:c>
      <x:c r="F2226" s="17" t="str">
        <x:v>agent did not ask</x:v>
      </x:c>
      <x:c r="G2226" s="17" t="str"/>
      <x:c r="H2226" s="17" t="str">
        <x:v>Those options are not quite right yet. Ask me about one specific attribute.</x:v>
      </x:c>
      <x:c r="I2226" s="17" t="str"/>
    </x:row>
    <x:row r="2227">
      <x:c r="A2227" t="str">
        <x:v>public_0193</x:v>
      </x:c>
      <x:c r="B2227" t="str">
        <x:v>buying</x:v>
      </x:c>
      <x:c r="C2227" t="str">
        <x:v>easy</x:v>
      </x:c>
      <x:c r="D2227" s="17" t="str">
        <x:v>next ask before hit/override</x:v>
      </x:c>
      <x:c r="E2227" s="17" t="str">
        <x:v>category</x:v>
      </x:c>
      <x:c r="F2227" s="17" t="str">
        <x:v>no new constraint</x:v>
      </x:c>
      <x:c r="G2227" s="17" t="str"/>
      <x:c r="H2227" s="17" t="str">
        <x:v>I don't have an additional preference for category.</x:v>
      </x:c>
      <x:c r="I2227" s="17" t="str"/>
    </x:row>
    <x:row r="2228">
      <x:c r="A2228" t="str">
        <x:v>public_0193</x:v>
      </x:c>
      <x:c r="B2228" t="str">
        <x:v>buying</x:v>
      </x:c>
      <x:c r="C2228" t="str">
        <x:v>easy</x:v>
      </x:c>
      <x:c r="D2228" s="17" t="str">
        <x:v>next ask before hit/override</x:v>
      </x:c>
      <x:c r="E2228" s="17" t="str">
        <x:v>material</x:v>
      </x:c>
      <x:c r="F2228" s="17" t="str">
        <x:v>no new constraint</x:v>
      </x:c>
      <x:c r="G2228" s="17" t="str"/>
      <x:c r="H2228" s="17" t="str">
        <x:v>I don't have an additional preference for material.</x:v>
      </x:c>
      <x:c r="I2228" s="17" t="str"/>
    </x:row>
    <x:row r="2229">
      <x:c r="A2229" t="str">
        <x:v>public_0193</x:v>
      </x:c>
      <x:c r="B2229" t="str">
        <x:v>buying</x:v>
      </x:c>
      <x:c r="C2229" t="str">
        <x:v>easy</x:v>
      </x:c>
      <x:c r="D2229" s="17" t="str">
        <x:v>next ask before hit/override</x:v>
      </x:c>
      <x:c r="E2229" s="17" t="str">
        <x:v>color</x:v>
      </x:c>
      <x:c r="F2229" s="17" t="str">
        <x:v>constraint revealed</x:v>
      </x:c>
      <x:c r="G2229" s="17" t="str">
        <x:v>color: red</x:v>
      </x:c>
      <x:c r="H2229" s="17" t="str">
        <x:v>For that, what matters is: color: red.</x:v>
      </x:c>
      <x:c r="I2229" s="17" t="str"/>
    </x:row>
    <x:row r="2230">
      <x:c r="A2230" t="str">
        <x:v>public_0193</x:v>
      </x:c>
      <x:c r="B2230" t="str">
        <x:v>buying</x:v>
      </x:c>
      <x:c r="C2230" t="str">
        <x:v>easy</x:v>
      </x:c>
      <x:c r="D2230" s="17" t="str">
        <x:v>next ask before hit/override</x:v>
      </x:c>
      <x:c r="E2230" s="17" t="str">
        <x:v>size</x:v>
      </x:c>
      <x:c r="F2230" s="17" t="str">
        <x:v>no new constraint</x:v>
      </x:c>
      <x:c r="G2230" s="17" t="str"/>
      <x:c r="H2230" s="17" t="str">
        <x:v>I don't have an additional preference for size.</x:v>
      </x:c>
      <x:c r="I2230" s="17" t="str"/>
    </x:row>
    <x:row r="2231">
      <x:c r="A2231" t="str">
        <x:v>public_0193</x:v>
      </x:c>
      <x:c r="B2231" t="str">
        <x:v>buying</x:v>
      </x:c>
      <x:c r="C2231" t="str">
        <x:v>easy</x:v>
      </x:c>
      <x:c r="D2231" s="17" t="str">
        <x:v>next ask before hit/override</x:v>
      </x:c>
      <x:c r="E2231" s="17" t="str">
        <x:v>style</x:v>
      </x:c>
      <x:c r="F2231" s="17" t="str">
        <x:v>no new constraint</x:v>
      </x:c>
      <x:c r="G2231" s="17" t="str"/>
      <x:c r="H2231" s="17" t="str">
        <x:v>I don't have an additional preference for style.</x:v>
      </x:c>
      <x:c r="I2231" s="17" t="str"/>
    </x:row>
    <x:row r="2232">
      <x:c r="A2232" t="str">
        <x:v>public_0193</x:v>
      </x:c>
      <x:c r="B2232" t="str">
        <x:v>buying</x:v>
      </x:c>
      <x:c r="C2232" t="str">
        <x:v>easy</x:v>
      </x:c>
      <x:c r="D2232" s="17" t="str">
        <x:v>next ask before hit/override</x:v>
      </x:c>
      <x:c r="E2232" s="17" t="str">
        <x:v>brand</x:v>
      </x:c>
      <x:c r="F2232" s="17" t="str">
        <x:v>no new constraint</x:v>
      </x:c>
      <x:c r="G2232" s="17" t="str"/>
      <x:c r="H2232" s="17" t="str">
        <x:v>I don't have an additional preference for brand.</x:v>
      </x:c>
      <x:c r="I2232" s="17" t="str"/>
    </x:row>
    <x:row r="2233">
      <x:c r="A2233" t="str">
        <x:v>public_0193</x:v>
      </x:c>
      <x:c r="B2233" t="str">
        <x:v>buying</x:v>
      </x:c>
      <x:c r="C2233" t="str">
        <x:v>easy</x:v>
      </x:c>
      <x:c r="D2233" s="17" t="str">
        <x:v>next ask before hit/override</x:v>
      </x:c>
      <x:c r="E2233" s="17" t="str">
        <x:v>budget</x:v>
      </x:c>
      <x:c r="F2233" s="17" t="str">
        <x:v>no new constraint</x:v>
      </x:c>
      <x:c r="G2233" s="17" t="str"/>
      <x:c r="H2233" s="17" t="str">
        <x:v>I don't have an additional preference for budget.</x:v>
      </x:c>
      <x:c r="I2233" s="17" t="str"/>
    </x:row>
    <x:row r="2234">
      <x:c r="A2234" t="str">
        <x:v>public_0193</x:v>
      </x:c>
      <x:c r="B2234" t="str">
        <x:v>buying</x:v>
      </x:c>
      <x:c r="C2234" t="str">
        <x:v>easy</x:v>
      </x:c>
      <x:c r="D2234" s="17" t="str">
        <x:v>next ask before hit/override</x:v>
      </x:c>
      <x:c r="E2234" s="17" t="str">
        <x:v>feature</x:v>
      </x:c>
      <x:c r="F2234" s="17" t="str">
        <x:v>constraint revealed</x:v>
      </x:c>
      <x:c r="G2234" s="17" t="str">
        <x:v>Chiffon | Hand Wash Only</x:v>
      </x:c>
      <x:c r="H2234" s="17" t="str">
        <x:v>For that, what matters is: Chiffon; Hand Wash Only.</x:v>
      </x:c>
      <x:c r="I2234" s="17" t="str"/>
    </x:row>
    <x:row r="2235">
      <x:c r="A2235" t="str">
        <x:v>public_0193</x:v>
      </x:c>
      <x:c r="B2235" t="str">
        <x:v>buying</x:v>
      </x:c>
      <x:c r="C2235" t="str">
        <x:v>easy</x:v>
      </x:c>
      <x:c r="D2235" s="17" t="str">
        <x:v>next ask before hit/override</x:v>
      </x:c>
      <x:c r="E2235" s="17" t="str">
        <x:v>use_case</x:v>
      </x:c>
      <x:c r="F2235" s="17" t="str">
        <x:v>no new constraint</x:v>
      </x:c>
      <x:c r="G2235" s="17" t="str"/>
      <x:c r="H2235" s="17" t="str">
        <x:v>I don't have an additional preference for use_case.</x:v>
      </x:c>
      <x:c r="I2235" s="17" t="str"/>
    </x:row>
    <x:row r="2236">
      <x:c r="A2236" t="str">
        <x:v>public_0193</x:v>
      </x:c>
      <x:c r="B2236" t="str">
        <x:v>buying</x:v>
      </x:c>
      <x:c r="C2236" t="str">
        <x:v>easy</x:v>
      </x:c>
      <x:c r="D2236" s="17" t="str">
        <x:v>next ask before hit/override</x:v>
      </x:c>
      <x:c r="E2236" s="17" t="str">
        <x:v>other</x:v>
      </x:c>
      <x:c r="F2236" s="17" t="str">
        <x:v>constraint revealed</x:v>
      </x:c>
      <x:c r="G2236" s="17" t="str">
        <x:v>color: red | Chiffon</x:v>
      </x:c>
      <x:c r="H2236" s="17" t="str">
        <x:v>For that, what matters is: color: red; Chiffon.</x:v>
      </x:c>
      <x:c r="I2236" s="17" t="str"/>
    </x:row>
    <x:row r="2237">
      <x:c r="A2237" t="str">
        <x:v>public_0193</x:v>
      </x:c>
      <x:c r="B2237" t="str">
        <x:v>buying</x:v>
      </x:c>
      <x:c r="C2237" t="str">
        <x:v>easy</x:v>
      </x:c>
      <x:c r="D2237" s="17" t="str">
        <x:v>next ask before hit/override</x:v>
      </x:c>
      <x:c r="E2237" s="17" t="str">
        <x:v>(no ask_attribute)</x:v>
      </x:c>
      <x:c r="F2237" s="17" t="str">
        <x:v>agent did not ask</x:v>
      </x:c>
      <x:c r="G2237" s="17" t="str"/>
      <x:c r="H2237" s="17" t="str">
        <x:v>Those options are not quite right yet. Ask me about one specific attribute.</x:v>
      </x:c>
      <x:c r="I2237" s="17" t="str"/>
    </x:row>
    <x:row r="2238">
      <x:c r="A2238" t="str">
        <x:v>public_0194</x:v>
      </x:c>
      <x:c r="B2238" t="str">
        <x:v>buying</x:v>
      </x:c>
      <x:c r="C2238" t="str">
        <x:v>easy</x:v>
      </x:c>
      <x:c r="D2238" s="17" t="str">
        <x:v>next ask before hit/override</x:v>
      </x:c>
      <x:c r="E2238" s="17" t="str">
        <x:v>category</x:v>
      </x:c>
      <x:c r="F2238" s="17" t="str">
        <x:v>no new constraint</x:v>
      </x:c>
      <x:c r="G2238" s="17" t="str"/>
      <x:c r="H2238" s="17" t="str">
        <x:v>I don't have an additional preference for category.</x:v>
      </x:c>
      <x:c r="I2238" s="17" t="str"/>
    </x:row>
    <x:row r="2239">
      <x:c r="A2239" t="str">
        <x:v>public_0194</x:v>
      </x:c>
      <x:c r="B2239" t="str">
        <x:v>buying</x:v>
      </x:c>
      <x:c r="C2239" t="str">
        <x:v>easy</x:v>
      </x:c>
      <x:c r="D2239" s="17" t="str">
        <x:v>next ask before hit/override</x:v>
      </x:c>
      <x:c r="E2239" s="17" t="str">
        <x:v>material</x:v>
      </x:c>
      <x:c r="F2239" s="17" t="str">
        <x:v>constraint revealed</x:v>
      </x:c>
      <x:c r="G2239" s="17" t="str">
        <x:v>95% Rayon, 5% Spandex</x:v>
      </x:c>
      <x:c r="H2239" s="17" t="str">
        <x:v>For that, what matters is: 95% Rayon, 5% Spandex.</x:v>
      </x:c>
      <x:c r="I2239" s="17" t="str"/>
    </x:row>
    <x:row r="2240">
      <x:c r="A2240" t="str">
        <x:v>public_0194</x:v>
      </x:c>
      <x:c r="B2240" t="str">
        <x:v>buying</x:v>
      </x:c>
      <x:c r="C2240" t="str">
        <x:v>easy</x:v>
      </x:c>
      <x:c r="D2240" s="17" t="str">
        <x:v>next ask before hit/override</x:v>
      </x:c>
      <x:c r="E2240" s="17" t="str">
        <x:v>color</x:v>
      </x:c>
      <x:c r="F2240" s="17" t="str">
        <x:v>no new constraint</x:v>
      </x:c>
      <x:c r="G2240" s="17" t="str"/>
      <x:c r="H2240" s="17" t="str">
        <x:v>I don't have an additional preference for color.</x:v>
      </x:c>
      <x:c r="I2240" s="17" t="str"/>
    </x:row>
    <x:row r="2241">
      <x:c r="A2241" t="str">
        <x:v>public_0194</x:v>
      </x:c>
      <x:c r="B2241" t="str">
        <x:v>buying</x:v>
      </x:c>
      <x:c r="C2241" t="str">
        <x:v>easy</x:v>
      </x:c>
      <x:c r="D2241" s="17" t="str">
        <x:v>next ask before hit/override</x:v>
      </x:c>
      <x:c r="E2241" s="17" t="str">
        <x:v>size</x:v>
      </x:c>
      <x:c r="F2241" s="17" t="str">
        <x:v>no new constraint</x:v>
      </x:c>
      <x:c r="G2241" s="17" t="str"/>
      <x:c r="H2241" s="17" t="str">
        <x:v>I don't have an additional preference for size.</x:v>
      </x:c>
      <x:c r="I2241" s="17" t="str"/>
    </x:row>
    <x:row r="2242">
      <x:c r="A2242" t="str">
        <x:v>public_0194</x:v>
      </x:c>
      <x:c r="B2242" t="str">
        <x:v>buying</x:v>
      </x:c>
      <x:c r="C2242" t="str">
        <x:v>easy</x:v>
      </x:c>
      <x:c r="D2242" s="17" t="str">
        <x:v>next ask before hit/override</x:v>
      </x:c>
      <x:c r="E2242" s="17" t="str">
        <x:v>style</x:v>
      </x:c>
      <x:c r="F2242" s="17" t="str">
        <x:v>no new constraint</x:v>
      </x:c>
      <x:c r="G2242" s="17" t="str"/>
      <x:c r="H2242" s="17" t="str">
        <x:v>I don't have an additional preference for style.</x:v>
      </x:c>
      <x:c r="I2242" s="17" t="str"/>
    </x:row>
    <x:row r="2243">
      <x:c r="A2243" t="str">
        <x:v>public_0194</x:v>
      </x:c>
      <x:c r="B2243" t="str">
        <x:v>buying</x:v>
      </x:c>
      <x:c r="C2243" t="str">
        <x:v>easy</x:v>
      </x:c>
      <x:c r="D2243" s="17" t="str">
        <x:v>next ask before hit/override</x:v>
      </x:c>
      <x:c r="E2243" s="17" t="str">
        <x:v>brand</x:v>
      </x:c>
      <x:c r="F2243" s="17" t="str">
        <x:v>no new constraint</x:v>
      </x:c>
      <x:c r="G2243" s="17" t="str"/>
      <x:c r="H2243" s="17" t="str">
        <x:v>I don't have an additional preference for brand.</x:v>
      </x:c>
      <x:c r="I2243" s="17" t="str"/>
    </x:row>
    <x:row r="2244">
      <x:c r="A2244" t="str">
        <x:v>public_0194</x:v>
      </x:c>
      <x:c r="B2244" t="str">
        <x:v>buying</x:v>
      </x:c>
      <x:c r="C2244" t="str">
        <x:v>easy</x:v>
      </x:c>
      <x:c r="D2244" s="17" t="str">
        <x:v>next ask before hit/override</x:v>
      </x:c>
      <x:c r="E2244" s="17" t="str">
        <x:v>budget</x:v>
      </x:c>
      <x:c r="F2244" s="17" t="str">
        <x:v>no new constraint</x:v>
      </x:c>
      <x:c r="G2244" s="17" t="str"/>
      <x:c r="H2244" s="17" t="str">
        <x:v>I don't have an additional preference for budget.</x:v>
      </x:c>
      <x:c r="I2244" s="17" t="str"/>
    </x:row>
    <x:row r="2245">
      <x:c r="A2245" t="str">
        <x:v>public_0194</x:v>
      </x:c>
      <x:c r="B2245" t="str">
        <x:v>buying</x:v>
      </x:c>
      <x:c r="C2245" t="str">
        <x:v>easy</x:v>
      </x:c>
      <x:c r="D2245" s="17" t="str">
        <x:v>next ask before hit/override</x:v>
      </x:c>
      <x:c r="E2245" s="17" t="str">
        <x:v>feature</x:v>
      </x:c>
      <x:c r="F2245" s="17" t="str">
        <x:v>constraint revealed</x:v>
      </x:c>
      <x:c r="G2245" s="17" t="str">
        <x:v>Pull On closure | Hand Wash Only</x:v>
      </x:c>
      <x:c r="H2245" s="17" t="str">
        <x:v>For that, what matters is: Pull On closure; Hand Wash Only.</x:v>
      </x:c>
      <x:c r="I2245" s="17" t="str"/>
    </x:row>
    <x:row r="2246">
      <x:c r="A2246" t="str">
        <x:v>public_0194</x:v>
      </x:c>
      <x:c r="B2246" t="str">
        <x:v>buying</x:v>
      </x:c>
      <x:c r="C2246" t="str">
        <x:v>easy</x:v>
      </x:c>
      <x:c r="D2246" s="17" t="str">
        <x:v>next ask before hit/override</x:v>
      </x:c>
      <x:c r="E2246" s="17" t="str">
        <x:v>use_case</x:v>
      </x:c>
      <x:c r="F2246" s="17" t="str">
        <x:v>no new constraint</x:v>
      </x:c>
      <x:c r="G2246" s="17" t="str"/>
      <x:c r="H2246" s="17" t="str">
        <x:v>I don't have an additional preference for use_case.</x:v>
      </x:c>
      <x:c r="I2246" s="17" t="str"/>
    </x:row>
    <x:row r="2247">
      <x:c r="A2247" t="str">
        <x:v>public_0194</x:v>
      </x:c>
      <x:c r="B2247" t="str">
        <x:v>buying</x:v>
      </x:c>
      <x:c r="C2247" t="str">
        <x:v>easy</x:v>
      </x:c>
      <x:c r="D2247" s="17" t="str">
        <x:v>next ask before hit/override</x:v>
      </x:c>
      <x:c r="E2247" s="17" t="str">
        <x:v>other</x:v>
      </x:c>
      <x:c r="F2247" s="17" t="str">
        <x:v>constraint revealed</x:v>
      </x:c>
      <x:c r="G2247" s="17" t="str">
        <x:v>95% Rayon, 5% Spandex | Pull On closure</x:v>
      </x:c>
      <x:c r="H2247" s="17" t="str">
        <x:v>For that, what matters is: 95% Rayon, 5% Spandex; Pull On closure.</x:v>
      </x:c>
      <x:c r="I2247" s="17" t="str"/>
    </x:row>
    <x:row r="2248">
      <x:c r="A2248" t="str">
        <x:v>public_0194</x:v>
      </x:c>
      <x:c r="B2248" t="str">
        <x:v>buying</x:v>
      </x:c>
      <x:c r="C2248" t="str">
        <x:v>easy</x:v>
      </x:c>
      <x:c r="D2248" s="17" t="str">
        <x:v>next ask before hit/override</x:v>
      </x:c>
      <x:c r="E2248" s="17" t="str">
        <x:v>(no ask_attribute)</x:v>
      </x:c>
      <x:c r="F2248" s="17" t="str">
        <x:v>agent did not ask</x:v>
      </x:c>
      <x:c r="G2248" s="17" t="str"/>
      <x:c r="H2248" s="17" t="str">
        <x:v>Those options are not quite right yet. Ask me about one specific attribute.</x:v>
      </x:c>
      <x:c r="I2248" s="17" t="str"/>
    </x:row>
    <x:row r="2249">
      <x:c r="A2249" t="str">
        <x:v>public_0195</x:v>
      </x:c>
      <x:c r="B2249" t="str">
        <x:v>browsing</x:v>
      </x:c>
      <x:c r="C2249" t="str">
        <x:v>medium</x:v>
      </x:c>
      <x:c r="D2249" s="17" t="str">
        <x:v>next ask before hit/override</x:v>
      </x:c>
      <x:c r="E2249" s="17" t="str">
        <x:v>category</x:v>
      </x:c>
      <x:c r="F2249" s="17" t="str">
        <x:v>no new constraint</x:v>
      </x:c>
      <x:c r="G2249" s="17" t="str"/>
      <x:c r="H2249" s="17" t="str">
        <x:v>I don't have an additional preference for category.</x:v>
      </x:c>
      <x:c r="I2249" s="17" t="str"/>
    </x:row>
    <x:row r="2250">
      <x:c r="A2250" t="str">
        <x:v>public_0195</x:v>
      </x:c>
      <x:c r="B2250" t="str">
        <x:v>browsing</x:v>
      </x:c>
      <x:c r="C2250" t="str">
        <x:v>medium</x:v>
      </x:c>
      <x:c r="D2250" s="17" t="str">
        <x:v>next ask before hit/override</x:v>
      </x:c>
      <x:c r="E2250" s="17" t="str">
        <x:v>material</x:v>
      </x:c>
      <x:c r="F2250" s="17" t="str">
        <x:v>constraint revealed</x:v>
      </x:c>
      <x:c r="G2250" s="17" t="str">
        <x:v>rayon | 100% Rayon</x:v>
      </x:c>
      <x:c r="H2250" s="17" t="str">
        <x:v>For that, what matters is: rayon; 100% Rayon.</x:v>
      </x:c>
      <x:c r="I2250" s="17" t="str"/>
    </x:row>
    <x:row r="2251">
      <x:c r="A2251" t="str">
        <x:v>public_0195</x:v>
      </x:c>
      <x:c r="B2251" t="str">
        <x:v>browsing</x:v>
      </x:c>
      <x:c r="C2251" t="str">
        <x:v>medium</x:v>
      </x:c>
      <x:c r="D2251" s="17" t="str">
        <x:v>next ask before hit/override</x:v>
      </x:c>
      <x:c r="E2251" s="17" t="str">
        <x:v>color</x:v>
      </x:c>
      <x:c r="F2251" s="17" t="str">
        <x:v>no new constraint</x:v>
      </x:c>
      <x:c r="G2251" s="17" t="str"/>
      <x:c r="H2251" s="17" t="str">
        <x:v>I don't have an additional preference for color.</x:v>
      </x:c>
      <x:c r="I2251" s="17" t="str"/>
    </x:row>
    <x:row r="2252">
      <x:c r="A2252" t="str">
        <x:v>public_0195</x:v>
      </x:c>
      <x:c r="B2252" t="str">
        <x:v>browsing</x:v>
      </x:c>
      <x:c r="C2252" t="str">
        <x:v>medium</x:v>
      </x:c>
      <x:c r="D2252" s="17" t="str">
        <x:v>next ask before hit/override</x:v>
      </x:c>
      <x:c r="E2252" s="17" t="str">
        <x:v>size</x:v>
      </x:c>
      <x:c r="F2252" s="17" t="str">
        <x:v>no new constraint</x:v>
      </x:c>
      <x:c r="G2252" s="17" t="str"/>
      <x:c r="H2252" s="17" t="str">
        <x:v>I don't have an additional preference for size.</x:v>
      </x:c>
      <x:c r="I2252" s="17" t="str"/>
    </x:row>
    <x:row r="2253">
      <x:c r="A2253" t="str">
        <x:v>public_0195</x:v>
      </x:c>
      <x:c r="B2253" t="str">
        <x:v>browsing</x:v>
      </x:c>
      <x:c r="C2253" t="str">
        <x:v>medium</x:v>
      </x:c>
      <x:c r="D2253" s="17" t="str">
        <x:v>next ask before hit/override</x:v>
      </x:c>
      <x:c r="E2253" s="17" t="str">
        <x:v>style</x:v>
      </x:c>
      <x:c r="F2253" s="17" t="str">
        <x:v>no new constraint</x:v>
      </x:c>
      <x:c r="G2253" s="17" t="str"/>
      <x:c r="H2253" s="17" t="str">
        <x:v>I don't have an additional preference for style.</x:v>
      </x:c>
      <x:c r="I2253" s="17" t="str"/>
    </x:row>
    <x:row r="2254">
      <x:c r="A2254" t="str">
        <x:v>public_0195</x:v>
      </x:c>
      <x:c r="B2254" t="str">
        <x:v>browsing</x:v>
      </x:c>
      <x:c r="C2254" t="str">
        <x:v>medium</x:v>
      </x:c>
      <x:c r="D2254" s="17" t="str">
        <x:v>next ask before hit/override</x:v>
      </x:c>
      <x:c r="E2254" s="17" t="str">
        <x:v>brand</x:v>
      </x:c>
      <x:c r="F2254" s="17" t="str">
        <x:v>no new constraint</x:v>
      </x:c>
      <x:c r="G2254" s="17" t="str"/>
      <x:c r="H2254" s="17" t="str">
        <x:v>I don't have an additional preference for brand.</x:v>
      </x:c>
      <x:c r="I2254" s="17" t="str"/>
    </x:row>
    <x:row r="2255">
      <x:c r="A2255" t="str">
        <x:v>public_0195</x:v>
      </x:c>
      <x:c r="B2255" t="str">
        <x:v>browsing</x:v>
      </x:c>
      <x:c r="C2255" t="str">
        <x:v>medium</x:v>
      </x:c>
      <x:c r="D2255" s="17" t="str">
        <x:v>next ask before hit/override</x:v>
      </x:c>
      <x:c r="E2255" s="17" t="str">
        <x:v>budget</x:v>
      </x:c>
      <x:c r="F2255" s="17" t="str">
        <x:v>no new constraint</x:v>
      </x:c>
      <x:c r="G2255" s="17" t="str"/>
      <x:c r="H2255" s="17" t="str">
        <x:v>I don't have an additional preference for budget.</x:v>
      </x:c>
      <x:c r="I2255" s="17" t="str"/>
    </x:row>
    <x:row r="2256">
      <x:c r="A2256" t="str">
        <x:v>public_0195</x:v>
      </x:c>
      <x:c r="B2256" t="str">
        <x:v>browsing</x:v>
      </x:c>
      <x:c r="C2256" t="str">
        <x:v>medium</x:v>
      </x:c>
      <x:c r="D2256" s="17" t="str">
        <x:v>next ask before hit/override</x:v>
      </x:c>
      <x:c r="E2256" s="17" t="str">
        <x:v>feature</x:v>
      </x:c>
      <x:c r="F2256" s="17" t="str">
        <x:v>constraint revealed</x:v>
      </x:c>
      <x:c r="G2256" s="17" t="str">
        <x:v>Pull On closure</x:v>
      </x:c>
      <x:c r="H2256" s="17" t="str">
        <x:v>For that, what matters is: Pull On closure.</x:v>
      </x:c>
      <x:c r="I2256" s="17" t="str"/>
    </x:row>
    <x:row r="2257">
      <x:c r="A2257" t="str">
        <x:v>public_0195</x:v>
      </x:c>
      <x:c r="B2257" t="str">
        <x:v>browsing</x:v>
      </x:c>
      <x:c r="C2257" t="str">
        <x:v>medium</x:v>
      </x:c>
      <x:c r="D2257" s="17" t="str">
        <x:v>next ask before hit/override</x:v>
      </x:c>
      <x:c r="E2257" s="17" t="str">
        <x:v>use_case</x:v>
      </x:c>
      <x:c r="F2257" s="17" t="str">
        <x:v>no new constraint</x:v>
      </x:c>
      <x:c r="G2257" s="17" t="str"/>
      <x:c r="H2257" s="17" t="str">
        <x:v>I don't have an additional preference for use_case.</x:v>
      </x:c>
      <x:c r="I2257" s="17" t="str"/>
    </x:row>
    <x:row r="2258">
      <x:c r="A2258" t="str">
        <x:v>public_0195</x:v>
      </x:c>
      <x:c r="B2258" t="str">
        <x:v>browsing</x:v>
      </x:c>
      <x:c r="C2258" t="str">
        <x:v>medium</x:v>
      </x:c>
      <x:c r="D2258" s="17" t="str">
        <x:v>next ask before hit/override</x:v>
      </x:c>
      <x:c r="E2258" s="17" t="str">
        <x:v>other</x:v>
      </x:c>
      <x:c r="F2258" s="17" t="str">
        <x:v>constraint revealed</x:v>
      </x:c>
      <x:c r="G2258" s="17" t="str">
        <x:v>rayon | 100% Rayon</x:v>
      </x:c>
      <x:c r="H2258" s="17" t="str">
        <x:v>For that, what matters is: rayon; 100% Rayon.</x:v>
      </x:c>
      <x:c r="I2258" s="17" t="str"/>
    </x:row>
    <x:row r="2259">
      <x:c r="A2259" t="str">
        <x:v>public_0195</x:v>
      </x:c>
      <x:c r="B2259" t="str">
        <x:v>browsing</x:v>
      </x:c>
      <x:c r="C2259" t="str">
        <x:v>medium</x:v>
      </x:c>
      <x:c r="D2259" s="17" t="str">
        <x:v>next ask before hit/override</x:v>
      </x:c>
      <x:c r="E2259" s="17" t="str">
        <x:v>(no ask_attribute)</x:v>
      </x:c>
      <x:c r="F2259" s="17" t="str">
        <x:v>agent did not ask</x:v>
      </x:c>
      <x:c r="G2259" s="17" t="str"/>
      <x:c r="H2259" s="17" t="str">
        <x:v>Those options are not quite right yet. Ask me about one specific attribute.</x:v>
      </x:c>
      <x:c r="I2259" s="17" t="str"/>
    </x:row>
    <x:row r="2260">
      <x:c r="A2260" t="str">
        <x:v>public_0196</x:v>
      </x:c>
      <x:c r="B2260" t="str">
        <x:v>browsing</x:v>
      </x:c>
      <x:c r="C2260" t="str">
        <x:v>medium</x:v>
      </x:c>
      <x:c r="D2260" s="17" t="str">
        <x:v>next ask before hit/override</x:v>
      </x:c>
      <x:c r="E2260" s="17" t="str">
        <x:v>category</x:v>
      </x:c>
      <x:c r="F2260" s="17" t="str">
        <x:v>no new constraint</x:v>
      </x:c>
      <x:c r="G2260" s="17" t="str"/>
      <x:c r="H2260" s="17" t="str">
        <x:v>I don't have an additional preference for category.</x:v>
      </x:c>
      <x:c r="I2260" s="17" t="str"/>
    </x:row>
    <x:row r="2261">
      <x:c r="A2261" t="str">
        <x:v>public_0196</x:v>
      </x:c>
      <x:c r="B2261" t="str">
        <x:v>browsing</x:v>
      </x:c>
      <x:c r="C2261" t="str">
        <x:v>medium</x:v>
      </x:c>
      <x:c r="D2261" s="17" t="str">
        <x:v>next ask before hit/override</x:v>
      </x:c>
      <x:c r="E2261" s="17" t="str">
        <x:v>material</x:v>
      </x:c>
      <x:c r="F2261" s="17" t="str">
        <x:v>no new constraint</x:v>
      </x:c>
      <x:c r="G2261" s="17" t="str"/>
      <x:c r="H2261" s="17" t="str">
        <x:v>I don't have an additional preference for material.</x:v>
      </x:c>
      <x:c r="I2261" s="17" t="str"/>
    </x:row>
    <x:row r="2262">
      <x:c r="A2262" t="str">
        <x:v>public_0196</x:v>
      </x:c>
      <x:c r="B2262" t="str">
        <x:v>browsing</x:v>
      </x:c>
      <x:c r="C2262" t="str">
        <x:v>medium</x:v>
      </x:c>
      <x:c r="D2262" s="17" t="str">
        <x:v>next ask before hit/override</x:v>
      </x:c>
      <x:c r="E2262" s="17" t="str">
        <x:v>color</x:v>
      </x:c>
      <x:c r="F2262" s="17" t="str">
        <x:v>no new constraint</x:v>
      </x:c>
      <x:c r="G2262" s="17" t="str"/>
      <x:c r="H2262" s="17" t="str">
        <x:v>I don't have an additional preference for color.</x:v>
      </x:c>
      <x:c r="I2262" s="17" t="str"/>
    </x:row>
    <x:row r="2263">
      <x:c r="A2263" t="str">
        <x:v>public_0196</x:v>
      </x:c>
      <x:c r="B2263" t="str">
        <x:v>browsing</x:v>
      </x:c>
      <x:c r="C2263" t="str">
        <x:v>medium</x:v>
      </x:c>
      <x:c r="D2263" s="17" t="str">
        <x:v>next ask before hit/override</x:v>
      </x:c>
      <x:c r="E2263" s="17" t="str">
        <x:v>size</x:v>
      </x:c>
      <x:c r="F2263" s="17" t="str">
        <x:v>no new constraint</x:v>
      </x:c>
      <x:c r="G2263" s="17" t="str"/>
      <x:c r="H2263" s="17" t="str">
        <x:v>I don't have an additional preference for size.</x:v>
      </x:c>
      <x:c r="I2263" s="17" t="str"/>
    </x:row>
    <x:row r="2264">
      <x:c r="A2264" t="str">
        <x:v>public_0196</x:v>
      </x:c>
      <x:c r="B2264" t="str">
        <x:v>browsing</x:v>
      </x:c>
      <x:c r="C2264" t="str">
        <x:v>medium</x:v>
      </x:c>
      <x:c r="D2264" s="17" t="str">
        <x:v>next ask before hit/override</x:v>
      </x:c>
      <x:c r="E2264" s="17" t="str">
        <x:v>style</x:v>
      </x:c>
      <x:c r="F2264" s="17" t="str">
        <x:v>no new constraint</x:v>
      </x:c>
      <x:c r="G2264" s="17" t="str"/>
      <x:c r="H2264" s="17" t="str">
        <x:v>I don't have an additional preference for style.</x:v>
      </x:c>
      <x:c r="I2264" s="17" t="str"/>
    </x:row>
    <x:row r="2265">
      <x:c r="A2265" t="str">
        <x:v>public_0196</x:v>
      </x:c>
      <x:c r="B2265" t="str">
        <x:v>browsing</x:v>
      </x:c>
      <x:c r="C2265" t="str">
        <x:v>medium</x:v>
      </x:c>
      <x:c r="D2265" s="17" t="str">
        <x:v>next ask before hit/override</x:v>
      </x:c>
      <x:c r="E2265" s="17" t="str">
        <x:v>brand</x:v>
      </x:c>
      <x:c r="F2265" s="17" t="str">
        <x:v>no new constraint</x:v>
      </x:c>
      <x:c r="G2265" s="17" t="str"/>
      <x:c r="H2265" s="17" t="str">
        <x:v>I don't have an additional preference for brand.</x:v>
      </x:c>
      <x:c r="I2265" s="17" t="str"/>
    </x:row>
    <x:row r="2266">
      <x:c r="A2266" t="str">
        <x:v>public_0196</x:v>
      </x:c>
      <x:c r="B2266" t="str">
        <x:v>browsing</x:v>
      </x:c>
      <x:c r="C2266" t="str">
        <x:v>medium</x:v>
      </x:c>
      <x:c r="D2266" s="17" t="str">
        <x:v>next ask before hit/override</x:v>
      </x:c>
      <x:c r="E2266" s="17" t="str">
        <x:v>budget</x:v>
      </x:c>
      <x:c r="F2266" s="17" t="str">
        <x:v>no new constraint</x:v>
      </x:c>
      <x:c r="G2266" s="17" t="str"/>
      <x:c r="H2266" s="17" t="str">
        <x:v>I don't have an additional preference for budget.</x:v>
      </x:c>
      <x:c r="I2266" s="17" t="str"/>
    </x:row>
    <x:row r="2267">
      <x:c r="A2267" t="str">
        <x:v>public_0196</x:v>
      </x:c>
      <x:c r="B2267" t="str">
        <x:v>browsing</x:v>
      </x:c>
      <x:c r="C2267" t="str">
        <x:v>medium</x:v>
      </x:c>
      <x:c r="D2267" s="17" t="str">
        <x:v>next ask before hit/override</x:v>
      </x:c>
      <x:c r="E2267" s="17" t="str">
        <x:v>feature</x:v>
      </x:c>
      <x:c r="F2267" s="17" t="str">
        <x:v>constraint revealed</x:v>
      </x:c>
      <x:c r="G2267" s="17" t="str">
        <x:v>Rubber sole | Design in USA</x:v>
      </x:c>
      <x:c r="H2267" s="17" t="str">
        <x:v>For that, what matters is: Rubber sole; Design in USA.</x:v>
      </x:c>
      <x:c r="I2267" s="17" t="str"/>
    </x:row>
    <x:row r="2268">
      <x:c r="A2268" t="str">
        <x:v>public_0196</x:v>
      </x:c>
      <x:c r="B2268" t="str">
        <x:v>browsing</x:v>
      </x:c>
      <x:c r="C2268" t="str">
        <x:v>medium</x:v>
      </x:c>
      <x:c r="D2268" s="17" t="str">
        <x:v>next ask before hit/override</x:v>
      </x:c>
      <x:c r="E2268" s="17" t="str">
        <x:v>use_case</x:v>
      </x:c>
      <x:c r="F2268" s="17" t="str">
        <x:v>no new constraint</x:v>
      </x:c>
      <x:c r="G2268" s="17" t="str"/>
      <x:c r="H2268" s="17" t="str">
        <x:v>I don't have an additional preference for use_case.</x:v>
      </x:c>
      <x:c r="I2268" s="17" t="str"/>
    </x:row>
    <x:row r="2269">
      <x:c r="A2269" t="str">
        <x:v>public_0196</x:v>
      </x:c>
      <x:c r="B2269" t="str">
        <x:v>browsing</x:v>
      </x:c>
      <x:c r="C2269" t="str">
        <x:v>medium</x:v>
      </x:c>
      <x:c r="D2269" s="17" t="str">
        <x:v>next ask before hit/override</x:v>
      </x:c>
      <x:c r="E2269" s="17" t="str">
        <x:v>other</x:v>
      </x:c>
      <x:c r="F2269" s="17" t="str">
        <x:v>constraint revealed</x:v>
      </x:c>
      <x:c r="G2269" s="17" t="str">
        <x:v>Rubber sole | Design in USA</x:v>
      </x:c>
      <x:c r="H2269" s="17" t="str">
        <x:v>For that, what matters is: Rubber sole; Design in USA.</x:v>
      </x:c>
      <x:c r="I2269" s="17" t="str"/>
    </x:row>
    <x:row r="2270">
      <x:c r="A2270" t="str">
        <x:v>public_0196</x:v>
      </x:c>
      <x:c r="B2270" t="str">
        <x:v>browsing</x:v>
      </x:c>
      <x:c r="C2270" t="str">
        <x:v>medium</x:v>
      </x:c>
      <x:c r="D2270" s="17" t="str">
        <x:v>next ask before hit/override</x:v>
      </x:c>
      <x:c r="E2270" s="17" t="str">
        <x:v>(no ask_attribute)</x:v>
      </x:c>
      <x:c r="F2270" s="17" t="str">
        <x:v>agent did not ask</x:v>
      </x:c>
      <x:c r="G2270" s="17" t="str"/>
      <x:c r="H2270" s="17" t="str">
        <x:v>Those options are not quite right yet. Ask me about one specific attribute.</x:v>
      </x:c>
      <x:c r="I2270" s="17" t="str"/>
    </x:row>
    <x:row r="2271">
      <x:c r="A2271" t="str">
        <x:v>public_0197</x:v>
      </x:c>
      <x:c r="B2271" t="str">
        <x:v>intent_override</x:v>
      </x:c>
      <x:c r="C2271" t="str">
        <x:v>hard</x:v>
      </x:c>
      <x:c r="D2271" s="17" t="str">
        <x:v>next ask before hit/override</x:v>
      </x:c>
      <x:c r="E2271" s="17" t="str">
        <x:v>category</x:v>
      </x:c>
      <x:c r="F2271" s="17" t="str">
        <x:v>no new constraint</x:v>
      </x:c>
      <x:c r="G2271" s="17" t="str"/>
      <x:c r="H2271" s="17" t="str">
        <x:v>I don't have an additional preference for category.</x:v>
      </x:c>
      <x:c r="I2271" s="17" t="str">
        <x:v>Override message occurs automatically on turn 3 or 4 before this reply when scheduled.</x:v>
      </x:c>
    </x:row>
    <x:row r="2272">
      <x:c r="A2272" t="str">
        <x:v>public_0197</x:v>
      </x:c>
      <x:c r="B2272" t="str">
        <x:v>intent_override</x:v>
      </x:c>
      <x:c r="C2272" t="str">
        <x:v>hard</x:v>
      </x:c>
      <x:c r="D2272" s="17" t="str">
        <x:v>next ask before hit/override</x:v>
      </x:c>
      <x:c r="E2272" s="17" t="str">
        <x:v>material</x:v>
      </x:c>
      <x:c r="F2272" s="17" t="str">
        <x:v>no new constraint</x:v>
      </x:c>
      <x:c r="G2272" s="17" t="str"/>
      <x:c r="H2272" s="17" t="str">
        <x:v>I don't have an additional preference for material.</x:v>
      </x:c>
      <x:c r="I2272" s="17" t="str">
        <x:v>Override message occurs automatically on turn 3 or 4 before this reply when scheduled.</x:v>
      </x:c>
    </x:row>
    <x:row r="2273">
      <x:c r="A2273" t="str">
        <x:v>public_0197</x:v>
      </x:c>
      <x:c r="B2273" t="str">
        <x:v>intent_override</x:v>
      </x:c>
      <x:c r="C2273" t="str">
        <x:v>hard</x:v>
      </x:c>
      <x:c r="D2273" s="17" t="str">
        <x:v>next ask before hit/override</x:v>
      </x:c>
      <x:c r="E2273" s="17" t="str">
        <x:v>color</x:v>
      </x:c>
      <x:c r="F2273" s="17" t="str">
        <x:v>no new constraint</x:v>
      </x:c>
      <x:c r="G2273" s="17" t="str"/>
      <x:c r="H2273" s="17" t="str">
        <x:v>I don't have an additional preference for color.</x:v>
      </x:c>
      <x:c r="I2273" s="17" t="str">
        <x:v>Override message occurs automatically on turn 3 or 4 before this reply when scheduled.</x:v>
      </x:c>
    </x:row>
    <x:row r="2274">
      <x:c r="A2274" t="str">
        <x:v>public_0197</x:v>
      </x:c>
      <x:c r="B2274" t="str">
        <x:v>intent_override</x:v>
      </x:c>
      <x:c r="C2274" t="str">
        <x:v>hard</x:v>
      </x:c>
      <x:c r="D2274" s="17" t="str">
        <x:v>next ask before hit/override</x:v>
      </x:c>
      <x:c r="E2274" s="17" t="str">
        <x:v>size</x:v>
      </x:c>
      <x:c r="F2274" s="17" t="str">
        <x:v>constraint revealed</x:v>
      </x:c>
      <x:c r="G2274" s="17" t="str">
        <x:v>Easy to use: Size your watch band yourself with this small, simple tool effectively without wiggling | Fit for different sizes,Fit bands up to 30mm wide ,6 replacement pins and an adjustable base allow for use with different band thicknesses</x:v>
      </x:c>
      <x:c r="H2274" s="17" t="str">
        <x:v>For that, what matters is: Easy to use: Size your watch band yourself with this small, simple tool effectively without wiggling; Fit for different sizes,Fit bands up to 30mm wide ,6 replacement pins and an adjustable base allow for use with different band thicknesses.</x:v>
      </x:c>
      <x:c r="I2274" s="17" t="str">
        <x:v>Override message occurs automatically on turn 3 or 4 before this reply when scheduled.</x:v>
      </x:c>
    </x:row>
    <x:row r="2275">
      <x:c r="A2275" t="str">
        <x:v>public_0197</x:v>
      </x:c>
      <x:c r="B2275" t="str">
        <x:v>intent_override</x:v>
      </x:c>
      <x:c r="C2275" t="str">
        <x:v>hard</x:v>
      </x:c>
      <x:c r="D2275" s="17" t="str">
        <x:v>next ask before hit/override</x:v>
      </x:c>
      <x:c r="E2275" s="17" t="str">
        <x:v>style</x:v>
      </x:c>
      <x:c r="F2275" s="17" t="str">
        <x:v>no new constraint</x:v>
      </x:c>
      <x:c r="G2275" s="17" t="str"/>
      <x:c r="H2275" s="17" t="str">
        <x:v>I don't have an additional preference for style.</x:v>
      </x:c>
      <x:c r="I2275" s="17" t="str">
        <x:v>Override message occurs automatically on turn 3 or 4 before this reply when scheduled.</x:v>
      </x:c>
    </x:row>
    <x:row r="2276">
      <x:c r="A2276" t="str">
        <x:v>public_0197</x:v>
      </x:c>
      <x:c r="B2276" t="str">
        <x:v>intent_override</x:v>
      </x:c>
      <x:c r="C2276" t="str">
        <x:v>hard</x:v>
      </x:c>
      <x:c r="D2276" s="17" t="str">
        <x:v>next ask before hit/override</x:v>
      </x:c>
      <x:c r="E2276" s="17" t="str">
        <x:v>brand</x:v>
      </x:c>
      <x:c r="F2276" s="17" t="str">
        <x:v>no new constraint</x:v>
      </x:c>
      <x:c r="G2276" s="17" t="str"/>
      <x:c r="H2276" s="17" t="str">
        <x:v>I don't have an additional preference for brand.</x:v>
      </x:c>
      <x:c r="I2276" s="17" t="str">
        <x:v>Override message occurs automatically on turn 3 or 4 before this reply when scheduled.</x:v>
      </x:c>
    </x:row>
    <x:row r="2277">
      <x:c r="A2277" t="str">
        <x:v>public_0197</x:v>
      </x:c>
      <x:c r="B2277" t="str">
        <x:v>intent_override</x:v>
      </x:c>
      <x:c r="C2277" t="str">
        <x:v>hard</x:v>
      </x:c>
      <x:c r="D2277" s="17" t="str">
        <x:v>next ask before hit/override</x:v>
      </x:c>
      <x:c r="E2277" s="17" t="str">
        <x:v>budget</x:v>
      </x:c>
      <x:c r="F2277" s="17" t="str">
        <x:v>no new constraint</x:v>
      </x:c>
      <x:c r="G2277" s="17" t="str"/>
      <x:c r="H2277" s="17" t="str">
        <x:v>I don't have an additional preference for budget.</x:v>
      </x:c>
      <x:c r="I2277" s="17" t="str">
        <x:v>Override message occurs automatically on turn 3 or 4 before this reply when scheduled.</x:v>
      </x:c>
    </x:row>
    <x:row r="2278">
      <x:c r="A2278" t="str">
        <x:v>public_0197</x:v>
      </x:c>
      <x:c r="B2278" t="str">
        <x:v>intent_override</x:v>
      </x:c>
      <x:c r="C2278" t="str">
        <x:v>hard</x:v>
      </x:c>
      <x:c r="D2278" s="17" t="str">
        <x:v>next ask before hit/override</x:v>
      </x:c>
      <x:c r="E2278" s="17" t="str">
        <x:v>feature</x:v>
      </x:c>
      <x:c r="F2278" s="17" t="str">
        <x:v>constraint revealed</x:v>
      </x:c>
      <x:c r="G2278" s="17" t="str">
        <x:v>What is in the package?EFIXTK watch band tool kit comes with a watch band link pin remover with 6 extra tips, a plastic watch holder, a dual head hammer, 4 pin punches,20pcs cotter</x:v>
      </x:c>
      <x:c r="H2278" s="17" t="str">
        <x:v>For that, what matters is: What is in the package?EFIXTK watch band tool kit comes with a watch band link pin remover with 6 extra tips, a plastic watch holder, a dual head hammer, 4 pin punches,20pcs cotter.</x:v>
      </x:c>
      <x:c r="I2278" s="17" t="str">
        <x:v>Override message occurs automatically on turn 3 or 4 before this reply when scheduled.</x:v>
      </x:c>
    </x:row>
    <x:row r="2279">
      <x:c r="A2279" t="str">
        <x:v>public_0197</x:v>
      </x:c>
      <x:c r="B2279" t="str">
        <x:v>intent_override</x:v>
      </x:c>
      <x:c r="C2279" t="str">
        <x:v>hard</x:v>
      </x:c>
      <x:c r="D2279" s="17" t="str">
        <x:v>next ask before hit/override</x:v>
      </x:c>
      <x:c r="E2279" s="17" t="str">
        <x:v>use_case</x:v>
      </x:c>
      <x:c r="F2279" s="17" t="str">
        <x:v>no new constraint</x:v>
      </x:c>
      <x:c r="G2279" s="17" t="str"/>
      <x:c r="H2279" s="17" t="str">
        <x:v>I don't have an additional preference for use_case.</x:v>
      </x:c>
      <x:c r="I2279" s="17" t="str">
        <x:v>Override message occurs automatically on turn 3 or 4 before this reply when scheduled.</x:v>
      </x:c>
    </x:row>
    <x:row r="2280">
      <x:c r="A2280" t="str">
        <x:v>public_0197</x:v>
      </x:c>
      <x:c r="B2280" t="str">
        <x:v>intent_override</x:v>
      </x:c>
      <x:c r="C2280" t="str">
        <x:v>hard</x:v>
      </x:c>
      <x:c r="D2280" s="17" t="str">
        <x:v>next ask before hit/override</x:v>
      </x:c>
      <x:c r="E2280" s="17" t="str">
        <x:v>other</x:v>
      </x:c>
      <x:c r="F2280" s="17" t="str">
        <x:v>constraint revealed</x:v>
      </x:c>
      <x:c r="G2280" s="17" t="str">
        <x:v>What is in the package?EFIXTK watch band tool kit comes with a watch band link pin remover with 6 extra tips, a plastic watch holder, a dual head hammer, 4 pin punches,20pcs cotter | Easy to use: Size your watch band yourself with this small, simple tool effectively without wiggling</x:v>
      </x:c>
      <x:c r="H2280" s="17" t="str">
        <x:v>For that, what matters is: What is in the package?EFIXTK watch band tool kit comes with a watch band link pin remover with 6 extra tips, a plastic watch holder, a dual head hammer, 4 pin punches,20pcs cotter; Easy to use: Size your watch band yourself with this small, simple tool effectively without wiggling.</x:v>
      </x:c>
      <x:c r="I2280" s="17" t="str">
        <x:v>Override message occurs automatically on turn 3 or 4 before this reply when scheduled.</x:v>
      </x:c>
    </x:row>
    <x:row r="2281">
      <x:c r="A2281" t="str">
        <x:v>public_0197</x:v>
      </x:c>
      <x:c r="B2281" t="str">
        <x:v>intent_override</x:v>
      </x:c>
      <x:c r="C2281" t="str">
        <x:v>hard</x:v>
      </x:c>
      <x:c r="D2281" s="17" t="str">
        <x:v>next ask before hit/override</x:v>
      </x:c>
      <x:c r="E2281" s="17" t="str">
        <x:v>(no ask_attribute)</x:v>
      </x:c>
      <x:c r="F2281" s="17" t="str">
        <x:v>agent did not ask</x:v>
      </x:c>
      <x:c r="G2281" s="17" t="str"/>
      <x:c r="H2281" s="17" t="str">
        <x:v>Those options are not quite right yet. Ask me about one specific attribute.</x:v>
      </x:c>
      <x:c r="I2281" s="17" t="str">
        <x:v>Override message occurs automatically on turn 3 or 4 before this reply when scheduled.</x:v>
      </x:c>
    </x:row>
    <x:row r="2282">
      <x:c r="A2282" t="str">
        <x:v>public_0198</x:v>
      </x:c>
      <x:c r="B2282" t="str">
        <x:v>intent_override</x:v>
      </x:c>
      <x:c r="C2282" t="str">
        <x:v>hard</x:v>
      </x:c>
      <x:c r="D2282" s="17" t="str">
        <x:v>next ask before hit/override</x:v>
      </x:c>
      <x:c r="E2282" s="17" t="str">
        <x:v>category</x:v>
      </x:c>
      <x:c r="F2282" s="17" t="str">
        <x:v>no new constraint</x:v>
      </x:c>
      <x:c r="G2282" s="17" t="str"/>
      <x:c r="H2282" s="17" t="str">
        <x:v>I don't have an additional preference for category.</x:v>
      </x:c>
      <x:c r="I2282" s="17" t="str">
        <x:v>Override message occurs automatically on turn 3 or 4 before this reply when scheduled.</x:v>
      </x:c>
    </x:row>
    <x:row r="2283">
      <x:c r="A2283" t="str">
        <x:v>public_0198</x:v>
      </x:c>
      <x:c r="B2283" t="str">
        <x:v>intent_override</x:v>
      </x:c>
      <x:c r="C2283" t="str">
        <x:v>hard</x:v>
      </x:c>
      <x:c r="D2283" s="17" t="str">
        <x:v>next ask before hit/override</x:v>
      </x:c>
      <x:c r="E2283" s="17" t="str">
        <x:v>material</x:v>
      </x:c>
      <x:c r="F2283" s="17" t="str">
        <x:v>constraint revealed</x:v>
      </x:c>
      <x:c r="G2283" s="17" t="str">
        <x:v>leather</x:v>
      </x:c>
      <x:c r="H2283" s="17" t="str">
        <x:v>For that, what matters is: leather.</x:v>
      </x:c>
      <x:c r="I2283" s="17" t="str">
        <x:v>Override message occurs automatically on turn 3 or 4 before this reply when scheduled.</x:v>
      </x:c>
    </x:row>
    <x:row r="2284">
      <x:c r="A2284" t="str">
        <x:v>public_0198</x:v>
      </x:c>
      <x:c r="B2284" t="str">
        <x:v>intent_override</x:v>
      </x:c>
      <x:c r="C2284" t="str">
        <x:v>hard</x:v>
      </x:c>
      <x:c r="D2284" s="17" t="str">
        <x:v>next ask before hit/override</x:v>
      </x:c>
      <x:c r="E2284" s="17" t="str">
        <x:v>color</x:v>
      </x:c>
      <x:c r="F2284" s="17" t="str">
        <x:v>constraint revealed</x:v>
      </x:c>
      <x:c r="G2284" s="17" t="str">
        <x:v>color: black</x:v>
      </x:c>
      <x:c r="H2284" s="17" t="str">
        <x:v>For that, what matters is: color: black.</x:v>
      </x:c>
      <x:c r="I2284" s="17" t="str">
        <x:v>Override message occurs automatically on turn 3 or 4 before this reply when scheduled.</x:v>
      </x:c>
    </x:row>
    <x:row r="2285">
      <x:c r="A2285" t="str">
        <x:v>public_0198</x:v>
      </x:c>
      <x:c r="B2285" t="str">
        <x:v>intent_override</x:v>
      </x:c>
      <x:c r="C2285" t="str">
        <x:v>hard</x:v>
      </x:c>
      <x:c r="D2285" s="17" t="str">
        <x:v>next ask before hit/override</x:v>
      </x:c>
      <x:c r="E2285" s="17" t="str">
        <x:v>size</x:v>
      </x:c>
      <x:c r="F2285" s="17" t="str">
        <x:v>no new constraint</x:v>
      </x:c>
      <x:c r="G2285" s="17" t="str"/>
      <x:c r="H2285" s="17" t="str">
        <x:v>I don't have an additional preference for size.</x:v>
      </x:c>
      <x:c r="I2285" s="17" t="str">
        <x:v>Override message occurs automatically on turn 3 or 4 before this reply when scheduled.</x:v>
      </x:c>
    </x:row>
    <x:row r="2286">
      <x:c r="A2286" t="str">
        <x:v>public_0198</x:v>
      </x:c>
      <x:c r="B2286" t="str">
        <x:v>intent_override</x:v>
      </x:c>
      <x:c r="C2286" t="str">
        <x:v>hard</x:v>
      </x:c>
      <x:c r="D2286" s="17" t="str">
        <x:v>next ask before hit/override</x:v>
      </x:c>
      <x:c r="E2286" s="17" t="str">
        <x:v>style</x:v>
      </x:c>
      <x:c r="F2286" s="17" t="str">
        <x:v>no new constraint</x:v>
      </x:c>
      <x:c r="G2286" s="17" t="str"/>
      <x:c r="H2286" s="17" t="str">
        <x:v>I don't have an additional preference for style.</x:v>
      </x:c>
      <x:c r="I2286" s="17" t="str">
        <x:v>Override message occurs automatically on turn 3 or 4 before this reply when scheduled.</x:v>
      </x:c>
    </x:row>
    <x:row r="2287">
      <x:c r="A2287" t="str">
        <x:v>public_0198</x:v>
      </x:c>
      <x:c r="B2287" t="str">
        <x:v>intent_override</x:v>
      </x:c>
      <x:c r="C2287" t="str">
        <x:v>hard</x:v>
      </x:c>
      <x:c r="D2287" s="17" t="str">
        <x:v>next ask before hit/override</x:v>
      </x:c>
      <x:c r="E2287" s="17" t="str">
        <x:v>brand</x:v>
      </x:c>
      <x:c r="F2287" s="17" t="str">
        <x:v>no new constraint</x:v>
      </x:c>
      <x:c r="G2287" s="17" t="str"/>
      <x:c r="H2287" s="17" t="str">
        <x:v>I don't have an additional preference for brand.</x:v>
      </x:c>
      <x:c r="I2287" s="17" t="str">
        <x:v>Override message occurs automatically on turn 3 or 4 before this reply when scheduled.</x:v>
      </x:c>
    </x:row>
    <x:row r="2288">
      <x:c r="A2288" t="str">
        <x:v>public_0198</x:v>
      </x:c>
      <x:c r="B2288" t="str">
        <x:v>intent_override</x:v>
      </x:c>
      <x:c r="C2288" t="str">
        <x:v>hard</x:v>
      </x:c>
      <x:c r="D2288" s="17" t="str">
        <x:v>next ask before hit/override</x:v>
      </x:c>
      <x:c r="E2288" s="17" t="str">
        <x:v>budget</x:v>
      </x:c>
      <x:c r="F2288" s="17" t="str">
        <x:v>no new constraint</x:v>
      </x:c>
      <x:c r="G2288" s="17" t="str"/>
      <x:c r="H2288" s="17" t="str">
        <x:v>I don't have an additional preference for budget.</x:v>
      </x:c>
      <x:c r="I2288" s="17" t="str">
        <x:v>Override message occurs automatically on turn 3 or 4 before this reply when scheduled.</x:v>
      </x:c>
    </x:row>
    <x:row r="2289">
      <x:c r="A2289" t="str">
        <x:v>public_0198</x:v>
      </x:c>
      <x:c r="B2289" t="str">
        <x:v>intent_override</x:v>
      </x:c>
      <x:c r="C2289" t="str">
        <x:v>hard</x:v>
      </x:c>
      <x:c r="D2289" s="17" t="str">
        <x:v>next ask before hit/override</x:v>
      </x:c>
      <x:c r="E2289" s="17" t="str">
        <x:v>feature</x:v>
      </x:c>
      <x:c r="F2289" s="17" t="str">
        <x:v>constraint revealed</x:v>
      </x:c>
      <x:c r="G2289" s="17" t="str">
        <x:v>PU | Imported</x:v>
      </x:c>
      <x:c r="H2289" s="17" t="str">
        <x:v>For that, what matters is: PU; Imported.</x:v>
      </x:c>
      <x:c r="I2289" s="17" t="str">
        <x:v>Override message occurs automatically on turn 3 or 4 before this reply when scheduled.</x:v>
      </x:c>
    </x:row>
    <x:row r="2290">
      <x:c r="A2290" t="str">
        <x:v>public_0198</x:v>
      </x:c>
      <x:c r="B2290" t="str">
        <x:v>intent_override</x:v>
      </x:c>
      <x:c r="C2290" t="str">
        <x:v>hard</x:v>
      </x:c>
      <x:c r="D2290" s="17" t="str">
        <x:v>next ask before hit/override</x:v>
      </x:c>
      <x:c r="E2290" s="17" t="str">
        <x:v>use_case</x:v>
      </x:c>
      <x:c r="F2290" s="17" t="str">
        <x:v>no new constraint</x:v>
      </x:c>
      <x:c r="G2290" s="17" t="str"/>
      <x:c r="H2290" s="17" t="str">
        <x:v>I don't have an additional preference for use_case.</x:v>
      </x:c>
      <x:c r="I2290" s="17" t="str">
        <x:v>Override message occurs automatically on turn 3 or 4 before this reply when scheduled.</x:v>
      </x:c>
    </x:row>
    <x:row r="2291">
      <x:c r="A2291" t="str">
        <x:v>public_0198</x:v>
      </x:c>
      <x:c r="B2291" t="str">
        <x:v>intent_override</x:v>
      </x:c>
      <x:c r="C2291" t="str">
        <x:v>hard</x:v>
      </x:c>
      <x:c r="D2291" s="17" t="str">
        <x:v>next ask before hit/override</x:v>
      </x:c>
      <x:c r="E2291" s="17" t="str">
        <x:v>other</x:v>
      </x:c>
      <x:c r="F2291" s="17" t="str">
        <x:v>constraint revealed</x:v>
      </x:c>
      <x:c r="G2291" s="17" t="str">
        <x:v>leather | color: black</x:v>
      </x:c>
      <x:c r="H2291" s="17" t="str">
        <x:v>For that, what matters is: leather; color: black.</x:v>
      </x:c>
      <x:c r="I2291" s="17" t="str">
        <x:v>Override message occurs automatically on turn 3 or 4 before this reply when scheduled.</x:v>
      </x:c>
    </x:row>
    <x:row r="2292">
      <x:c r="A2292" t="str">
        <x:v>public_0198</x:v>
      </x:c>
      <x:c r="B2292" t="str">
        <x:v>intent_override</x:v>
      </x:c>
      <x:c r="C2292" t="str">
        <x:v>hard</x:v>
      </x:c>
      <x:c r="D2292" s="17" t="str">
        <x:v>next ask before hit/override</x:v>
      </x:c>
      <x:c r="E2292" s="17" t="str">
        <x:v>(no ask_attribute)</x:v>
      </x:c>
      <x:c r="F2292" s="17" t="str">
        <x:v>agent did not ask</x:v>
      </x:c>
      <x:c r="G2292" s="17" t="str"/>
      <x:c r="H2292" s="17" t="str">
        <x:v>Those options are not quite right yet. Ask me about one specific attribute.</x:v>
      </x:c>
      <x:c r="I2292" s="17" t="str">
        <x:v>Override message occurs automatically on turn 3 or 4 before this reply when scheduled.</x:v>
      </x:c>
    </x:row>
    <x:row r="2293">
      <x:c r="A2293" t="str">
        <x:v>public_0199</x:v>
      </x:c>
      <x:c r="B2293" t="str">
        <x:v>buying</x:v>
      </x:c>
      <x:c r="C2293" t="str">
        <x:v>easy</x:v>
      </x:c>
      <x:c r="D2293" s="17" t="str">
        <x:v>next ask before hit/override</x:v>
      </x:c>
      <x:c r="E2293" s="17" t="str">
        <x:v>category</x:v>
      </x:c>
      <x:c r="F2293" s="17" t="str">
        <x:v>no new constraint</x:v>
      </x:c>
      <x:c r="G2293" s="17" t="str"/>
      <x:c r="H2293" s="17" t="str">
        <x:v>I don't have an additional preference for category.</x:v>
      </x:c>
      <x:c r="I2293" s="17" t="str"/>
    </x:row>
    <x:row r="2294">
      <x:c r="A2294" t="str">
        <x:v>public_0199</x:v>
      </x:c>
      <x:c r="B2294" t="str">
        <x:v>buying</x:v>
      </x:c>
      <x:c r="C2294" t="str">
        <x:v>easy</x:v>
      </x:c>
      <x:c r="D2294" s="17" t="str">
        <x:v>next ask before hit/override</x:v>
      </x:c>
      <x:c r="E2294" s="17" t="str">
        <x:v>material</x:v>
      </x:c>
      <x:c r="F2294" s="17" t="str">
        <x:v>constraint revealed</x:v>
      </x:c>
      <x:c r="G2294" s="17" t="str">
        <x:v>100% Cotton Size:3T (2-3), 4T (3-4), 5 (5-6), 6 (6-7), 8 (7-8), 10 (9-10), 12 (10-12)</x:v>
      </x:c>
      <x:c r="H2294" s="17" t="str">
        <x:v>For that, what matters is: 100% Cotton Size:3T (2-3), 4T (3-4), 5 (5-6), 6 (6-7), 8 (7-8), 10 (9-10), 12 (10-12).</x:v>
      </x:c>
      <x:c r="I2294" s="17" t="str"/>
    </x:row>
    <x:row r="2295">
      <x:c r="A2295" t="str">
        <x:v>public_0199</x:v>
      </x:c>
      <x:c r="B2295" t="str">
        <x:v>buying</x:v>
      </x:c>
      <x:c r="C2295" t="str">
        <x:v>easy</x:v>
      </x:c>
      <x:c r="D2295" s="17" t="str">
        <x:v>next ask before hit/override</x:v>
      </x:c>
      <x:c r="E2295" s="17" t="str">
        <x:v>color</x:v>
      </x:c>
      <x:c r="F2295" s="17" t="str">
        <x:v>no new constraint</x:v>
      </x:c>
      <x:c r="G2295" s="17" t="str"/>
      <x:c r="H2295" s="17" t="str">
        <x:v>I don't have an additional preference for color.</x:v>
      </x:c>
      <x:c r="I2295" s="17" t="str"/>
    </x:row>
    <x:row r="2296">
      <x:c r="A2296" t="str">
        <x:v>public_0199</x:v>
      </x:c>
      <x:c r="B2296" t="str">
        <x:v>buying</x:v>
      </x:c>
      <x:c r="C2296" t="str">
        <x:v>easy</x:v>
      </x:c>
      <x:c r="D2296" s="17" t="str">
        <x:v>next ask before hit/override</x:v>
      </x:c>
      <x:c r="E2296" s="17" t="str">
        <x:v>size</x:v>
      </x:c>
      <x:c r="F2296" s="17" t="str">
        <x:v>no new constraint</x:v>
      </x:c>
      <x:c r="G2296" s="17" t="str"/>
      <x:c r="H2296" s="17" t="str">
        <x:v>I don't have an additional preference for size.</x:v>
      </x:c>
      <x:c r="I2296" s="17" t="str"/>
    </x:row>
    <x:row r="2297">
      <x:c r="A2297" t="str">
        <x:v>public_0199</x:v>
      </x:c>
      <x:c r="B2297" t="str">
        <x:v>buying</x:v>
      </x:c>
      <x:c r="C2297" t="str">
        <x:v>easy</x:v>
      </x:c>
      <x:c r="D2297" s="17" t="str">
        <x:v>next ask before hit/override</x:v>
      </x:c>
      <x:c r="E2297" s="17" t="str">
        <x:v>style</x:v>
      </x:c>
      <x:c r="F2297" s="17" t="str">
        <x:v>no new constraint</x:v>
      </x:c>
      <x:c r="G2297" s="17" t="str"/>
      <x:c r="H2297" s="17" t="str">
        <x:v>I don't have an additional preference for style.</x:v>
      </x:c>
      <x:c r="I2297" s="17" t="str"/>
    </x:row>
    <x:row r="2298">
      <x:c r="A2298" t="str">
        <x:v>public_0199</x:v>
      </x:c>
      <x:c r="B2298" t="str">
        <x:v>buying</x:v>
      </x:c>
      <x:c r="C2298" t="str">
        <x:v>easy</x:v>
      </x:c>
      <x:c r="D2298" s="17" t="str">
        <x:v>next ask before hit/override</x:v>
      </x:c>
      <x:c r="E2298" s="17" t="str">
        <x:v>brand</x:v>
      </x:c>
      <x:c r="F2298" s="17" t="str">
        <x:v>no new constraint</x:v>
      </x:c>
      <x:c r="G2298" s="17" t="str"/>
      <x:c r="H2298" s="17" t="str">
        <x:v>I don't have an additional preference for brand.</x:v>
      </x:c>
      <x:c r="I2298" s="17" t="str"/>
    </x:row>
    <x:row r="2299">
      <x:c r="A2299" t="str">
        <x:v>public_0199</x:v>
      </x:c>
      <x:c r="B2299" t="str">
        <x:v>buying</x:v>
      </x:c>
      <x:c r="C2299" t="str">
        <x:v>easy</x:v>
      </x:c>
      <x:c r="D2299" s="17" t="str">
        <x:v>next ask before hit/override</x:v>
      </x:c>
      <x:c r="E2299" s="17" t="str">
        <x:v>budget</x:v>
      </x:c>
      <x:c r="F2299" s="17" t="str">
        <x:v>no new constraint</x:v>
      </x:c>
      <x:c r="G2299" s="17" t="str"/>
      <x:c r="H2299" s="17" t="str">
        <x:v>I don't have an additional preference for budget.</x:v>
      </x:c>
      <x:c r="I2299" s="17" t="str"/>
    </x:row>
    <x:row r="2300">
      <x:c r="A2300" t="str">
        <x:v>public_0199</x:v>
      </x:c>
      <x:c r="B2300" t="str">
        <x:v>buying</x:v>
      </x:c>
      <x:c r="C2300" t="str">
        <x:v>easy</x:v>
      </x:c>
      <x:c r="D2300" s="17" t="str">
        <x:v>next ask before hit/override</x:v>
      </x:c>
      <x:c r="E2300" s="17" t="str">
        <x:v>feature</x:v>
      </x:c>
      <x:c r="F2300" s="17" t="str">
        <x:v>constraint revealed</x:v>
      </x:c>
      <x:c r="G2300" s="17" t="str">
        <x:v>Imported | Machine Wash</x:v>
      </x:c>
      <x:c r="H2300" s="17" t="str">
        <x:v>For that, what matters is: Imported; Machine Wash.</x:v>
      </x:c>
      <x:c r="I2300" s="17" t="str"/>
    </x:row>
    <x:row r="2301">
      <x:c r="A2301" t="str">
        <x:v>public_0199</x:v>
      </x:c>
      <x:c r="B2301" t="str">
        <x:v>buying</x:v>
      </x:c>
      <x:c r="C2301" t="str">
        <x:v>easy</x:v>
      </x:c>
      <x:c r="D2301" s="17" t="str">
        <x:v>next ask before hit/override</x:v>
      </x:c>
      <x:c r="E2301" s="17" t="str">
        <x:v>use_case</x:v>
      </x:c>
      <x:c r="F2301" s="17" t="str">
        <x:v>no new constraint</x:v>
      </x:c>
      <x:c r="G2301" s="17" t="str"/>
      <x:c r="H2301" s="17" t="str">
        <x:v>I don't have an additional preference for use_case.</x:v>
      </x:c>
      <x:c r="I2301" s="17" t="str"/>
    </x:row>
    <x:row r="2302">
      <x:c r="A2302" t="str">
        <x:v>public_0199</x:v>
      </x:c>
      <x:c r="B2302" t="str">
        <x:v>buying</x:v>
      </x:c>
      <x:c r="C2302" t="str">
        <x:v>easy</x:v>
      </x:c>
      <x:c r="D2302" s="17" t="str">
        <x:v>next ask before hit/override</x:v>
      </x:c>
      <x:c r="E2302" s="17" t="str">
        <x:v>other</x:v>
      </x:c>
      <x:c r="F2302" s="17" t="str">
        <x:v>constraint revealed</x:v>
      </x:c>
      <x:c r="G2302" s="17" t="str">
        <x:v>Imported | Machine Wash</x:v>
      </x:c>
      <x:c r="H2302" s="17" t="str">
        <x:v>For that, what matters is: Imported; Machine Wash.</x:v>
      </x:c>
      <x:c r="I2302" s="17" t="str"/>
    </x:row>
    <x:row r="2303">
      <x:c r="A2303" t="str">
        <x:v>public_0199</x:v>
      </x:c>
      <x:c r="B2303" t="str">
        <x:v>buying</x:v>
      </x:c>
      <x:c r="C2303" t="str">
        <x:v>easy</x:v>
      </x:c>
      <x:c r="D2303" s="17" t="str">
        <x:v>next ask before hit/override</x:v>
      </x:c>
      <x:c r="E2303" s="17" t="str">
        <x:v>(no ask_attribute)</x:v>
      </x:c>
      <x:c r="F2303" s="17" t="str">
        <x:v>agent did not ask</x:v>
      </x:c>
      <x:c r="G2303" s="17" t="str"/>
      <x:c r="H2303" s="17" t="str">
        <x:v>Those options are not quite right yet. Ask me about one specific attribute.</x:v>
      </x:c>
      <x:c r="I2303" s="17" t="str"/>
    </x:row>
    <x:row r="2304">
      <x:c r="A2304" t="str">
        <x:v>public_0200</x:v>
      </x:c>
      <x:c r="B2304" t="str">
        <x:v>buying</x:v>
      </x:c>
      <x:c r="C2304" t="str">
        <x:v>easy</x:v>
      </x:c>
      <x:c r="D2304" s="17" t="str">
        <x:v>next ask before hit/override</x:v>
      </x:c>
      <x:c r="E2304" s="17" t="str">
        <x:v>category</x:v>
      </x:c>
      <x:c r="F2304" s="17" t="str">
        <x:v>no new constraint</x:v>
      </x:c>
      <x:c r="G2304" s="17" t="str"/>
      <x:c r="H2304" s="17" t="str">
        <x:v>I don't have an additional preference for category.</x:v>
      </x:c>
      <x:c r="I2304" s="17" t="str"/>
    </x:row>
    <x:row r="2305">
      <x:c r="A2305" t="str">
        <x:v>public_0200</x:v>
      </x:c>
      <x:c r="B2305" t="str">
        <x:v>buying</x:v>
      </x:c>
      <x:c r="C2305" t="str">
        <x:v>easy</x:v>
      </x:c>
      <x:c r="D2305" s="17" t="str">
        <x:v>next ask before hit/override</x:v>
      </x:c>
      <x:c r="E2305" s="17" t="str">
        <x:v>material</x:v>
      </x:c>
      <x:c r="F2305" s="17" t="str">
        <x:v>no new constraint</x:v>
      </x:c>
      <x:c r="G2305" s="17" t="str"/>
      <x:c r="H2305" s="17" t="str">
        <x:v>I don't have an additional preference for material.</x:v>
      </x:c>
      <x:c r="I2305" s="17" t="str"/>
    </x:row>
    <x:row r="2306">
      <x:c r="A2306" t="str">
        <x:v>public_0200</x:v>
      </x:c>
      <x:c r="B2306" t="str">
        <x:v>buying</x:v>
      </x:c>
      <x:c r="C2306" t="str">
        <x:v>easy</x:v>
      </x:c>
      <x:c r="D2306" s="17" t="str">
        <x:v>next ask before hit/override</x:v>
      </x:c>
      <x:c r="E2306" s="17" t="str">
        <x:v>color</x:v>
      </x:c>
      <x:c r="F2306" s="17" t="str">
        <x:v>constraint revealed</x:v>
      </x:c>
      <x:c r="G2306" s="17" t="str">
        <x:v>【Concise Style】Diamond pattern and raised design, pure color, casual style are quite suitable for home and any other casual occasion</x:v>
      </x:c>
      <x:c r="H2306" s="17" t="str">
        <x:v>For that, what matters is: 【Concise Style】Diamond pattern and raised design, pure color, casual style are quite suitable for home and any other casual occasion.</x:v>
      </x:c>
      <x:c r="I2306" s="17" t="str"/>
    </x:row>
    <x:row r="2307">
      <x:c r="A2307" t="str">
        <x:v>public_0200</x:v>
      </x:c>
      <x:c r="B2307" t="str">
        <x:v>buying</x:v>
      </x:c>
      <x:c r="C2307" t="str">
        <x:v>easy</x:v>
      </x:c>
      <x:c r="D2307" s="17" t="str">
        <x:v>next ask before hit/override</x:v>
      </x:c>
      <x:c r="E2307" s="17" t="str">
        <x:v>size</x:v>
      </x:c>
      <x:c r="F2307" s="17" t="str">
        <x:v>no new constraint</x:v>
      </x:c>
      <x:c r="G2307" s="17" t="str"/>
      <x:c r="H2307" s="17" t="str">
        <x:v>I don't have an additional preference for size.</x:v>
      </x:c>
      <x:c r="I2307" s="17" t="str"/>
    </x:row>
    <x:row r="2308">
      <x:c r="A2308" t="str">
        <x:v>public_0200</x:v>
      </x:c>
      <x:c r="B2308" t="str">
        <x:v>buying</x:v>
      </x:c>
      <x:c r="C2308" t="str">
        <x:v>easy</x:v>
      </x:c>
      <x:c r="D2308" s="17" t="str">
        <x:v>next ask before hit/override</x:v>
      </x:c>
      <x:c r="E2308" s="17" t="str">
        <x:v>style</x:v>
      </x:c>
      <x:c r="F2308" s="17" t="str">
        <x:v>no new constraint</x:v>
      </x:c>
      <x:c r="G2308" s="17" t="str"/>
      <x:c r="H2308" s="17" t="str">
        <x:v>I don't have an additional preference for style.</x:v>
      </x:c>
      <x:c r="I2308" s="17" t="str"/>
    </x:row>
    <x:row r="2309">
      <x:c r="A2309" t="str">
        <x:v>public_0200</x:v>
      </x:c>
      <x:c r="B2309" t="str">
        <x:v>buying</x:v>
      </x:c>
      <x:c r="C2309" t="str">
        <x:v>easy</x:v>
      </x:c>
      <x:c r="D2309" s="17" t="str">
        <x:v>next ask before hit/override</x:v>
      </x:c>
      <x:c r="E2309" s="17" t="str">
        <x:v>brand</x:v>
      </x:c>
      <x:c r="F2309" s="17" t="str">
        <x:v>no new constraint</x:v>
      </x:c>
      <x:c r="G2309" s="17" t="str"/>
      <x:c r="H2309" s="17" t="str">
        <x:v>I don't have an additional preference for brand.</x:v>
      </x:c>
      <x:c r="I2309" s="17" t="str"/>
    </x:row>
    <x:row r="2310">
      <x:c r="A2310" t="str">
        <x:v>public_0200</x:v>
      </x:c>
      <x:c r="B2310" t="str">
        <x:v>buying</x:v>
      </x:c>
      <x:c r="C2310" t="str">
        <x:v>easy</x:v>
      </x:c>
      <x:c r="D2310" s="17" t="str">
        <x:v>next ask before hit/override</x:v>
      </x:c>
      <x:c r="E2310" s="17" t="str">
        <x:v>budget</x:v>
      </x:c>
      <x:c r="F2310" s="17" t="str">
        <x:v>no new constraint</x:v>
      </x:c>
      <x:c r="G2310" s="17" t="str"/>
      <x:c r="H2310" s="17" t="str">
        <x:v>I don't have an additional preference for budget.</x:v>
      </x:c>
      <x:c r="I2310" s="17" t="str"/>
    </x:row>
    <x:row r="2311">
      <x:c r="A2311" t="str">
        <x:v>public_0200</x:v>
      </x:c>
      <x:c r="B2311" t="str">
        <x:v>buying</x:v>
      </x:c>
      <x:c r="C2311" t="str">
        <x:v>easy</x:v>
      </x:c>
      <x:c r="D2311" s="17" t="str">
        <x:v>next ask before hit/override</x:v>
      </x:c>
      <x:c r="E2311" s="17" t="str">
        <x:v>feature</x:v>
      </x:c>
      <x:c r="F2311" s="17" t="str">
        <x:v>constraint revealed</x:v>
      </x:c>
      <x:c r="G2311" s="17" t="str">
        <x:v>Heel measures approximately 2.3 centimeters | 【Soft &amp; Lightweight】Which only weight about 200g, lightweight and durable EVA material can arbitrary bending, thick soles design with light rebound ability, give your feet ultimate</x:v>
      </x:c>
      <x:c r="H2311" s="17" t="str">
        <x:v>For that, what matters is: Heel measures approximately 2.3 centimeters; 【Soft &amp; Lightweight】Which only weight about 200g, lightweight and durable EVA material can arbitrary bending, thick soles design with light rebound ability, give your feet ultimate.</x:v>
      </x:c>
      <x:c r="I2311" s="17" t="str"/>
    </x:row>
    <x:row r="2312">
      <x:c r="A2312" t="str">
        <x:v>public_0200</x:v>
      </x:c>
      <x:c r="B2312" t="str">
        <x:v>buying</x:v>
      </x:c>
      <x:c r="C2312" t="str">
        <x:v>easy</x:v>
      </x:c>
      <x:c r="D2312" s="17" t="str">
        <x:v>next ask before hit/override</x:v>
      </x:c>
      <x:c r="E2312" s="17" t="str">
        <x:v>use_case</x:v>
      </x:c>
      <x:c r="F2312" s="17" t="str">
        <x:v>no new constraint</x:v>
      </x:c>
      <x:c r="G2312" s="17" t="str"/>
      <x:c r="H2312" s="17" t="str">
        <x:v>I don't have an additional preference for use_case.</x:v>
      </x:c>
      <x:c r="I2312" s="17" t="str"/>
    </x:row>
    <x:row r="2313">
      <x:c r="A2313" t="str">
        <x:v>public_0200</x:v>
      </x:c>
      <x:c r="B2313" t="str">
        <x:v>buying</x:v>
      </x:c>
      <x:c r="C2313" t="str">
        <x:v>easy</x:v>
      </x:c>
      <x:c r="D2313" s="17" t="str">
        <x:v>next ask before hit/override</x:v>
      </x:c>
      <x:c r="E2313" s="17" t="str">
        <x:v>other</x:v>
      </x:c>
      <x:c r="F2313" s="17" t="str">
        <x:v>constraint revealed</x:v>
      </x:c>
      <x:c r="G2313" s="17" t="str">
        <x:v>Heel measures approximately 2.3 centimeters | 【Concise Style】Diamond pattern and raised design, pure color, casual style are quite suitable for home and any other casual occasion</x:v>
      </x:c>
      <x:c r="H2313" s="17" t="str">
        <x:v>For that, what matters is: Heel measures approximately 2.3 centimeters; 【Concise Style】Diamond pattern and raised design, pure color, casual style are quite suitable for home and any other casual occasion.</x:v>
      </x:c>
      <x:c r="I2313" s="17" t="str"/>
    </x:row>
    <x:row r="2314">
      <x:c r="A2314" t="str">
        <x:v>public_0200</x:v>
      </x:c>
      <x:c r="B2314" t="str">
        <x:v>buying</x:v>
      </x:c>
      <x:c r="C2314" t="str">
        <x:v>easy</x:v>
      </x:c>
      <x:c r="D2314" s="17" t="str">
        <x:v>next ask before hit/override</x:v>
      </x:c>
      <x:c r="E2314" s="17" t="str">
        <x:v>(no ask_attribute)</x:v>
      </x:c>
      <x:c r="F2314" s="17" t="str">
        <x:v>agent did not ask</x:v>
      </x:c>
      <x:c r="G2314" s="17" t="str"/>
      <x:c r="H2314" s="17" t="str">
        <x:v>Those options are not quite right yet. Ask me about one specific attribute.</x:v>
      </x:c>
      <x:c r="I2314" s="17" t="str"/>
    </x:row>
  </x:sheetData>
  <x:mergeCells>
    <x:mergeCell ref="A1:I1"/>
    <x:mergeCell ref="A2:I2"/>
  </x:mergeCells>
  <x:conditionalFormatting sqref="F5:F2314">
    <x:cfRule type="containsText" dxfId="0" priority="1" operator="containsText" text="constraint revealed"/>
    <x:cfRule type="containsText" dxfId="1" priority="2" operator="containsText" text="boundary"/>
  </x:conditionalFormatting>
  <x:pageMargins left="0.7" right="0.7" top="0.75" bottom="0.75" header="0.3" footer="0.3"/>
  <x:tableParts count="1">
    <x:tablePart xmlns:r="http://schemas.openxmlformats.org/officeDocument/2006/relationships" r:id="R06d4394e96a84b7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12" hidden="0" customWidth="1"/>
    <x:col min="4" max="4" width="24" hidden="0" customWidth="1"/>
  </x:cols>
  <x:sheetData>
    <x:row r="1" ht="34" customHeight="1">
      <x:c r="A1" s="4" t="str">
        <x:v>Normalized Profile Tags</x:v>
      </x:c>
    </x:row>
    <x:row r="2" ht="30" customHeight="1">
      <x:c r="A2" s="8" t="str">
        <x:v>One row per session-tag relationship for exact counts, pivots, and co-occurrence analysis.</x:v>
      </x:c>
      <x:c r="B2" s="8" t="str">
        <x:v>One row per session-tag relationship for exact counts, pivots, and co-occurrence analysis.</x:v>
      </x:c>
      <x:c r="C2" s="8" t="str">
        <x:v>One row per session-tag relationship for exact counts, pivots, and co-occurrence analysis.</x:v>
      </x:c>
      <x:c r="D2" s="8" t="str">
        <x:v>One row per session-tag relationship for exact counts, pivots, and co-occurrence analysis.</x:v>
      </x:c>
    </x:row>
    <x:row r="4" ht="28" customHeight="1">
      <x:c r="A4" s="40" t="str">
        <x:v>sample_id</x:v>
      </x:c>
      <x:c r="B4" s="41" t="str">
        <x:v>scenario_type</x:v>
      </x:c>
      <x:c r="C4" s="41" t="str">
        <x:v>difficulty</x:v>
      </x:c>
      <x:c r="D4" s="42" t="str">
        <x:v>preference_tag</x:v>
      </x:c>
    </x:row>
    <x:row r="5">
      <x:c r="A5" t="str">
        <x:v>public_0001</x:v>
      </x:c>
      <x:c r="B5" t="str">
        <x:v>buying</x:v>
      </x:c>
      <x:c r="C5" t="str">
        <x:v>easy</x:v>
      </x:c>
      <x:c r="D5" t="str">
        <x:v>fit</x:v>
      </x:c>
    </x:row>
    <x:row r="6">
      <x:c r="A6" t="str">
        <x:v>public_0001</x:v>
      </x:c>
      <x:c r="B6" t="str">
        <x:v>buying</x:v>
      </x:c>
      <x:c r="C6" t="str">
        <x:v>easy</x:v>
      </x:c>
      <x:c r="D6" t="str">
        <x:v>comfort</x:v>
      </x:c>
    </x:row>
    <x:row r="7">
      <x:c r="A7" t="str">
        <x:v>public_0001</x:v>
      </x:c>
      <x:c r="B7" t="str">
        <x:v>buying</x:v>
      </x:c>
      <x:c r="C7" t="str">
        <x:v>easy</x:v>
      </x:c>
      <x:c r="D7" t="str">
        <x:v>durability</x:v>
      </x:c>
    </x:row>
    <x:row r="8">
      <x:c r="A8" t="str">
        <x:v>public_0002</x:v>
      </x:c>
      <x:c r="B8" t="str">
        <x:v>intent_override</x:v>
      </x:c>
      <x:c r="C8" t="str">
        <x:v>hard</x:v>
      </x:c>
      <x:c r="D8" t="str">
        <x:v>fit</x:v>
      </x:c>
    </x:row>
    <x:row r="9">
      <x:c r="A9" t="str">
        <x:v>public_0002</x:v>
      </x:c>
      <x:c r="B9" t="str">
        <x:v>intent_override</x:v>
      </x:c>
      <x:c r="C9" t="str">
        <x:v>hard</x:v>
      </x:c>
      <x:c r="D9" t="str">
        <x:v>comfort</x:v>
      </x:c>
    </x:row>
    <x:row r="10">
      <x:c r="A10" t="str">
        <x:v>public_0002</x:v>
      </x:c>
      <x:c r="B10" t="str">
        <x:v>intent_override</x:v>
      </x:c>
      <x:c r="C10" t="str">
        <x:v>hard</x:v>
      </x:c>
      <x:c r="D10" t="str">
        <x:v>style</x:v>
      </x:c>
    </x:row>
    <x:row r="11">
      <x:c r="A11" t="str">
        <x:v>public_0003</x:v>
      </x:c>
      <x:c r="B11" t="str">
        <x:v>intent_override</x:v>
      </x:c>
      <x:c r="C11" t="str">
        <x:v>hard</x:v>
      </x:c>
      <x:c r="D11" t="str">
        <x:v>material</x:v>
      </x:c>
    </x:row>
    <x:row r="12">
      <x:c r="A12" t="str">
        <x:v>public_0003</x:v>
      </x:c>
      <x:c r="B12" t="str">
        <x:v>intent_override</x:v>
      </x:c>
      <x:c r="C12" t="str">
        <x:v>hard</x:v>
      </x:c>
      <x:c r="D12" t="str">
        <x:v>fit</x:v>
      </x:c>
    </x:row>
    <x:row r="13">
      <x:c r="A13" t="str">
        <x:v>public_0004</x:v>
      </x:c>
      <x:c r="B13" t="str">
        <x:v>intent_override</x:v>
      </x:c>
      <x:c r="C13" t="str">
        <x:v>hard</x:v>
      </x:c>
      <x:c r="D13" t="str">
        <x:v>weather</x:v>
      </x:c>
    </x:row>
    <x:row r="14">
      <x:c r="A14" t="str">
        <x:v>public_0004</x:v>
      </x:c>
      <x:c r="B14" t="str">
        <x:v>intent_override</x:v>
      </x:c>
      <x:c r="C14" t="str">
        <x:v>hard</x:v>
      </x:c>
      <x:c r="D14" t="str">
        <x:v>warmth</x:v>
      </x:c>
    </x:row>
    <x:row r="15">
      <x:c r="A15" t="str">
        <x:v>public_0004</x:v>
      </x:c>
      <x:c r="B15" t="str">
        <x:v>intent_override</x:v>
      </x:c>
      <x:c r="C15" t="str">
        <x:v>hard</x:v>
      </x:c>
      <x:c r="D15" t="str">
        <x:v>material</x:v>
      </x:c>
    </x:row>
    <x:row r="16">
      <x:c r="A16" t="str">
        <x:v>public_0004</x:v>
      </x:c>
      <x:c r="B16" t="str">
        <x:v>intent_override</x:v>
      </x:c>
      <x:c r="C16" t="str">
        <x:v>hard</x:v>
      </x:c>
      <x:c r="D16" t="str">
        <x:v>comfort</x:v>
      </x:c>
    </x:row>
    <x:row r="17">
      <x:c r="A17" t="str">
        <x:v>public_0005</x:v>
      </x:c>
      <x:c r="B17" t="str">
        <x:v>buying</x:v>
      </x:c>
      <x:c r="C17" t="str">
        <x:v>easy</x:v>
      </x:c>
      <x:c r="D17" t="str">
        <x:v>comfort</x:v>
      </x:c>
    </x:row>
    <x:row r="18">
      <x:c r="A18" t="str">
        <x:v>public_0005</x:v>
      </x:c>
      <x:c r="B18" t="str">
        <x:v>buying</x:v>
      </x:c>
      <x:c r="C18" t="str">
        <x:v>easy</x:v>
      </x:c>
      <x:c r="D18" t="str">
        <x:v>fit</x:v>
      </x:c>
    </x:row>
    <x:row r="19">
      <x:c r="A19" t="str">
        <x:v>public_0005</x:v>
      </x:c>
      <x:c r="B19" t="str">
        <x:v>buying</x:v>
      </x:c>
      <x:c r="C19" t="str">
        <x:v>easy</x:v>
      </x:c>
      <x:c r="D19" t="str">
        <x:v>style</x:v>
      </x:c>
    </x:row>
    <x:row r="20">
      <x:c r="A20" t="str">
        <x:v>public_0005</x:v>
      </x:c>
      <x:c r="B20" t="str">
        <x:v>buying</x:v>
      </x:c>
      <x:c r="C20" t="str">
        <x:v>easy</x:v>
      </x:c>
      <x:c r="D20" t="str">
        <x:v>durability</x:v>
      </x:c>
    </x:row>
    <x:row r="21">
      <x:c r="A21" t="str">
        <x:v>public_0006</x:v>
      </x:c>
      <x:c r="B21" t="str">
        <x:v>browsing</x:v>
      </x:c>
      <x:c r="C21" t="str">
        <x:v>medium</x:v>
      </x:c>
      <x:c r="D21" t="str">
        <x:v>comfort</x:v>
      </x:c>
    </x:row>
    <x:row r="22">
      <x:c r="A22" t="str">
        <x:v>public_0006</x:v>
      </x:c>
      <x:c r="B22" t="str">
        <x:v>browsing</x:v>
      </x:c>
      <x:c r="C22" t="str">
        <x:v>medium</x:v>
      </x:c>
      <x:c r="D22" t="str">
        <x:v>fit</x:v>
      </x:c>
    </x:row>
    <x:row r="23">
      <x:c r="A23" t="str">
        <x:v>public_0006</x:v>
      </x:c>
      <x:c r="B23" t="str">
        <x:v>browsing</x:v>
      </x:c>
      <x:c r="C23" t="str">
        <x:v>medium</x:v>
      </x:c>
      <x:c r="D23" t="str">
        <x:v>durability</x:v>
      </x:c>
    </x:row>
    <x:row r="24">
      <x:c r="A24" t="str">
        <x:v>public_0006</x:v>
      </x:c>
      <x:c r="B24" t="str">
        <x:v>browsing</x:v>
      </x:c>
      <x:c r="C24" t="str">
        <x:v>medium</x:v>
      </x:c>
      <x:c r="D24" t="str">
        <x:v>style</x:v>
      </x:c>
    </x:row>
    <x:row r="25">
      <x:c r="A25" t="str">
        <x:v>public_0007</x:v>
      </x:c>
      <x:c r="B25" t="str">
        <x:v>browsing</x:v>
      </x:c>
      <x:c r="C25" t="str">
        <x:v>medium</x:v>
      </x:c>
      <x:c r="D25" t="str">
        <x:v>material</x:v>
      </x:c>
    </x:row>
    <x:row r="26">
      <x:c r="A26" t="str">
        <x:v>public_0007</x:v>
      </x:c>
      <x:c r="B26" t="str">
        <x:v>browsing</x:v>
      </x:c>
      <x:c r="C26" t="str">
        <x:v>medium</x:v>
      </x:c>
      <x:c r="D26" t="str">
        <x:v>fit</x:v>
      </x:c>
    </x:row>
    <x:row r="27">
      <x:c r="A27" t="str">
        <x:v>public_0008</x:v>
      </x:c>
      <x:c r="B27" t="str">
        <x:v>buying</x:v>
      </x:c>
      <x:c r="C27" t="str">
        <x:v>easy</x:v>
      </x:c>
      <x:c r="D27" t="str">
        <x:v>fit</x:v>
      </x:c>
    </x:row>
    <x:row r="28">
      <x:c r="A28" t="str">
        <x:v>public_0008</x:v>
      </x:c>
      <x:c r="B28" t="str">
        <x:v>buying</x:v>
      </x:c>
      <x:c r="C28" t="str">
        <x:v>easy</x:v>
      </x:c>
      <x:c r="D28" t="str">
        <x:v>comfort</x:v>
      </x:c>
    </x:row>
    <x:row r="29">
      <x:c r="A29" t="str">
        <x:v>public_0008</x:v>
      </x:c>
      <x:c r="B29" t="str">
        <x:v>buying</x:v>
      </x:c>
      <x:c r="C29" t="str">
        <x:v>easy</x:v>
      </x:c>
      <x:c r="D29" t="str">
        <x:v>material</x:v>
      </x:c>
    </x:row>
    <x:row r="30">
      <x:c r="A30" t="str">
        <x:v>public_0008</x:v>
      </x:c>
      <x:c r="B30" t="str">
        <x:v>buying</x:v>
      </x:c>
      <x:c r="C30" t="str">
        <x:v>easy</x:v>
      </x:c>
      <x:c r="D30" t="str">
        <x:v>style</x:v>
      </x:c>
    </x:row>
    <x:row r="31">
      <x:c r="A31" t="str">
        <x:v>public_0009</x:v>
      </x:c>
      <x:c r="B31" t="str">
        <x:v>buying</x:v>
      </x:c>
      <x:c r="C31" t="str">
        <x:v>easy</x:v>
      </x:c>
      <x:c r="D31" t="str">
        <x:v>material</x:v>
      </x:c>
    </x:row>
    <x:row r="32">
      <x:c r="A32" t="str">
        <x:v>public_0009</x:v>
      </x:c>
      <x:c r="B32" t="str">
        <x:v>buying</x:v>
      </x:c>
      <x:c r="C32" t="str">
        <x:v>easy</x:v>
      </x:c>
      <x:c r="D32" t="str">
        <x:v>comfort</x:v>
      </x:c>
    </x:row>
    <x:row r="33">
      <x:c r="A33" t="str">
        <x:v>public_0009</x:v>
      </x:c>
      <x:c r="B33" t="str">
        <x:v>buying</x:v>
      </x:c>
      <x:c r="C33" t="str">
        <x:v>easy</x:v>
      </x:c>
      <x:c r="D33" t="str">
        <x:v>fit</x:v>
      </x:c>
    </x:row>
    <x:row r="34">
      <x:c r="A34" t="str">
        <x:v>public_0010</x:v>
      </x:c>
      <x:c r="B34" t="str">
        <x:v>buying</x:v>
      </x:c>
      <x:c r="C34" t="str">
        <x:v>easy</x:v>
      </x:c>
      <x:c r="D34" t="str">
        <x:v>material</x:v>
      </x:c>
    </x:row>
    <x:row r="35">
      <x:c r="A35" t="str">
        <x:v>public_0010</x:v>
      </x:c>
      <x:c r="B35" t="str">
        <x:v>buying</x:v>
      </x:c>
      <x:c r="C35" t="str">
        <x:v>easy</x:v>
      </x:c>
      <x:c r="D35" t="str">
        <x:v>fit</x:v>
      </x:c>
    </x:row>
    <x:row r="36">
      <x:c r="A36" t="str">
        <x:v>public_0010</x:v>
      </x:c>
      <x:c r="B36" t="str">
        <x:v>buying</x:v>
      </x:c>
      <x:c r="C36" t="str">
        <x:v>easy</x:v>
      </x:c>
      <x:c r="D36" t="str">
        <x:v>performance</x:v>
      </x:c>
    </x:row>
    <x:row r="37">
      <x:c r="A37" t="str">
        <x:v>public_0010</x:v>
      </x:c>
      <x:c r="B37" t="str">
        <x:v>buying</x:v>
      </x:c>
      <x:c r="C37" t="str">
        <x:v>easy</x:v>
      </x:c>
      <x:c r="D37" t="str">
        <x:v>comfort</x:v>
      </x:c>
    </x:row>
    <x:row r="38">
      <x:c r="A38" t="str">
        <x:v>public_0011</x:v>
      </x:c>
      <x:c r="B38" t="str">
        <x:v>browsing</x:v>
      </x:c>
      <x:c r="C38" t="str">
        <x:v>medium</x:v>
      </x:c>
      <x:c r="D38" t="str">
        <x:v>material</x:v>
      </x:c>
    </x:row>
    <x:row r="39">
      <x:c r="A39" t="str">
        <x:v>public_0011</x:v>
      </x:c>
      <x:c r="B39" t="str">
        <x:v>browsing</x:v>
      </x:c>
      <x:c r="C39" t="str">
        <x:v>medium</x:v>
      </x:c>
      <x:c r="D39" t="str">
        <x:v>fit</x:v>
      </x:c>
    </x:row>
    <x:row r="40">
      <x:c r="A40" t="str">
        <x:v>public_0012</x:v>
      </x:c>
      <x:c r="B40" t="str">
        <x:v>browsing</x:v>
      </x:c>
      <x:c r="C40" t="str">
        <x:v>medium</x:v>
      </x:c>
      <x:c r="D40" t="str">
        <x:v>fit</x:v>
      </x:c>
    </x:row>
    <x:row r="41">
      <x:c r="A41" t="str">
        <x:v>public_0012</x:v>
      </x:c>
      <x:c r="B41" t="str">
        <x:v>browsing</x:v>
      </x:c>
      <x:c r="C41" t="str">
        <x:v>medium</x:v>
      </x:c>
      <x:c r="D41" t="str">
        <x:v>material</x:v>
      </x:c>
    </x:row>
    <x:row r="42">
      <x:c r="A42" t="str">
        <x:v>public_0013</x:v>
      </x:c>
      <x:c r="B42" t="str">
        <x:v>intent_override</x:v>
      </x:c>
      <x:c r="C42" t="str">
        <x:v>hard</x:v>
      </x:c>
      <x:c r="D42" t="str">
        <x:v>comfort</x:v>
      </x:c>
    </x:row>
    <x:row r="43">
      <x:c r="A43" t="str">
        <x:v>public_0013</x:v>
      </x:c>
      <x:c r="B43" t="str">
        <x:v>intent_override</x:v>
      </x:c>
      <x:c r="C43" t="str">
        <x:v>hard</x:v>
      </x:c>
      <x:c r="D43" t="str">
        <x:v>material</x:v>
      </x:c>
    </x:row>
    <x:row r="44">
      <x:c r="A44" t="str">
        <x:v>public_0014</x:v>
      </x:c>
      <x:c r="B44" t="str">
        <x:v>browsing</x:v>
      </x:c>
      <x:c r="C44" t="str">
        <x:v>medium</x:v>
      </x:c>
      <x:c r="D44" t="str">
        <x:v>warmth</x:v>
      </x:c>
    </x:row>
    <x:row r="45">
      <x:c r="A45" t="str">
        <x:v>public_0014</x:v>
      </x:c>
      <x:c r="B45" t="str">
        <x:v>browsing</x:v>
      </x:c>
      <x:c r="C45" t="str">
        <x:v>medium</x:v>
      </x:c>
      <x:c r="D45" t="str">
        <x:v>comfort</x:v>
      </x:c>
    </x:row>
    <x:row r="46">
      <x:c r="A46" t="str">
        <x:v>public_0014</x:v>
      </x:c>
      <x:c r="B46" t="str">
        <x:v>browsing</x:v>
      </x:c>
      <x:c r="C46" t="str">
        <x:v>medium</x:v>
      </x:c>
      <x:c r="D46" t="str">
        <x:v>style</x:v>
      </x:c>
    </x:row>
    <x:row r="47">
      <x:c r="A47" t="str">
        <x:v>public_0014</x:v>
      </x:c>
      <x:c r="B47" t="str">
        <x:v>browsing</x:v>
      </x:c>
      <x:c r="C47" t="str">
        <x:v>medium</x:v>
      </x:c>
      <x:c r="D47" t="str">
        <x:v>fit</x:v>
      </x:c>
    </x:row>
    <x:row r="48">
      <x:c r="A48" t="str">
        <x:v>public_0015</x:v>
      </x:c>
      <x:c r="B48" t="str">
        <x:v>browsing</x:v>
      </x:c>
      <x:c r="C48" t="str">
        <x:v>medium</x:v>
      </x:c>
      <x:c r="D48" t="str">
        <x:v>material</x:v>
      </x:c>
    </x:row>
    <x:row r="49">
      <x:c r="A49" t="str">
        <x:v>public_0016</x:v>
      </x:c>
      <x:c r="B49" t="str">
        <x:v>browsing</x:v>
      </x:c>
      <x:c r="C49" t="str">
        <x:v>medium</x:v>
      </x:c>
      <x:c r="D49" t="str">
        <x:v>comfort</x:v>
      </x:c>
    </x:row>
    <x:row r="50">
      <x:c r="A50" t="str">
        <x:v>public_0016</x:v>
      </x:c>
      <x:c r="B50" t="str">
        <x:v>browsing</x:v>
      </x:c>
      <x:c r="C50" t="str">
        <x:v>medium</x:v>
      </x:c>
      <x:c r="D50" t="str">
        <x:v>fit</x:v>
      </x:c>
    </x:row>
    <x:row r="51">
      <x:c r="A51" t="str">
        <x:v>public_0016</x:v>
      </x:c>
      <x:c r="B51" t="str">
        <x:v>browsing</x:v>
      </x:c>
      <x:c r="C51" t="str">
        <x:v>medium</x:v>
      </x:c>
      <x:c r="D51" t="str">
        <x:v>durability</x:v>
      </x:c>
    </x:row>
    <x:row r="52">
      <x:c r="A52" t="str">
        <x:v>public_0016</x:v>
      </x:c>
      <x:c r="B52" t="str">
        <x:v>browsing</x:v>
      </x:c>
      <x:c r="C52" t="str">
        <x:v>medium</x:v>
      </x:c>
      <x:c r="D52" t="str">
        <x:v>style</x:v>
      </x:c>
    </x:row>
    <x:row r="53">
      <x:c r="A53" t="str">
        <x:v>public_0017</x:v>
      </x:c>
      <x:c r="B53" t="str">
        <x:v>buying</x:v>
      </x:c>
      <x:c r="C53" t="str">
        <x:v>easy</x:v>
      </x:c>
      <x:c r="D53" t="str">
        <x:v>fit</x:v>
      </x:c>
    </x:row>
    <x:row r="54">
      <x:c r="A54" t="str">
        <x:v>public_0017</x:v>
      </x:c>
      <x:c r="B54" t="str">
        <x:v>buying</x:v>
      </x:c>
      <x:c r="C54" t="str">
        <x:v>easy</x:v>
      </x:c>
      <x:c r="D54" t="str">
        <x:v>comfort</x:v>
      </x:c>
    </x:row>
    <x:row r="55">
      <x:c r="A55" t="str">
        <x:v>public_0017</x:v>
      </x:c>
      <x:c r="B55" t="str">
        <x:v>buying</x:v>
      </x:c>
      <x:c r="C55" t="str">
        <x:v>easy</x:v>
      </x:c>
      <x:c r="D55" t="str">
        <x:v>material</x:v>
      </x:c>
    </x:row>
    <x:row r="56">
      <x:c r="A56" t="str">
        <x:v>public_0018</x:v>
      </x:c>
      <x:c r="B56" t="str">
        <x:v>buying</x:v>
      </x:c>
      <x:c r="C56" t="str">
        <x:v>easy</x:v>
      </x:c>
      <x:c r="D56" t="str">
        <x:v>material</x:v>
      </x:c>
    </x:row>
    <x:row r="57">
      <x:c r="A57" t="str">
        <x:v>public_0018</x:v>
      </x:c>
      <x:c r="B57" t="str">
        <x:v>buying</x:v>
      </x:c>
      <x:c r="C57" t="str">
        <x:v>easy</x:v>
      </x:c>
      <x:c r="D57" t="str">
        <x:v>fit</x:v>
      </x:c>
    </x:row>
    <x:row r="58">
      <x:c r="A58" t="str">
        <x:v>public_0019</x:v>
      </x:c>
      <x:c r="B58" t="str">
        <x:v>browsing</x:v>
      </x:c>
      <x:c r="C58" t="str">
        <x:v>medium</x:v>
      </x:c>
      <x:c r="D58" t="str">
        <x:v>weather</x:v>
      </x:c>
    </x:row>
    <x:row r="59">
      <x:c r="A59" t="str">
        <x:v>public_0019</x:v>
      </x:c>
      <x:c r="B59" t="str">
        <x:v>browsing</x:v>
      </x:c>
      <x:c r="C59" t="str">
        <x:v>medium</x:v>
      </x:c>
      <x:c r="D59" t="str">
        <x:v>comfort</x:v>
      </x:c>
    </x:row>
    <x:row r="60">
      <x:c r="A60" t="str">
        <x:v>public_0019</x:v>
      </x:c>
      <x:c r="B60" t="str">
        <x:v>browsing</x:v>
      </x:c>
      <x:c r="C60" t="str">
        <x:v>medium</x:v>
      </x:c>
      <x:c r="D60" t="str">
        <x:v>durability</x:v>
      </x:c>
    </x:row>
    <x:row r="61">
      <x:c r="A61" t="str">
        <x:v>public_0019</x:v>
      </x:c>
      <x:c r="B61" t="str">
        <x:v>browsing</x:v>
      </x:c>
      <x:c r="C61" t="str">
        <x:v>medium</x:v>
      </x:c>
      <x:c r="D61" t="str">
        <x:v>style</x:v>
      </x:c>
    </x:row>
    <x:row r="62">
      <x:c r="A62" t="str">
        <x:v>public_0020</x:v>
      </x:c>
      <x:c r="B62" t="str">
        <x:v>buying</x:v>
      </x:c>
      <x:c r="C62" t="str">
        <x:v>easy</x:v>
      </x:c>
      <x:c r="D62" t="str">
        <x:v>material</x:v>
      </x:c>
    </x:row>
    <x:row r="63">
      <x:c r="A63" t="str">
        <x:v>public_0020</x:v>
      </x:c>
      <x:c r="B63" t="str">
        <x:v>buying</x:v>
      </x:c>
      <x:c r="C63" t="str">
        <x:v>easy</x:v>
      </x:c>
      <x:c r="D63" t="str">
        <x:v>fit</x:v>
      </x:c>
    </x:row>
    <x:row r="64">
      <x:c r="A64" t="str">
        <x:v>public_0021</x:v>
      </x:c>
      <x:c r="B64" t="str">
        <x:v>browsing</x:v>
      </x:c>
      <x:c r="C64" t="str">
        <x:v>medium</x:v>
      </x:c>
      <x:c r="D64" t="str">
        <x:v>material</x:v>
      </x:c>
    </x:row>
    <x:row r="65">
      <x:c r="A65" t="str">
        <x:v>public_0021</x:v>
      </x:c>
      <x:c r="B65" t="str">
        <x:v>browsing</x:v>
      </x:c>
      <x:c r="C65" t="str">
        <x:v>medium</x:v>
      </x:c>
      <x:c r="D65" t="str">
        <x:v>fit</x:v>
      </x:c>
    </x:row>
    <x:row r="66">
      <x:c r="A66" t="str">
        <x:v>public_0022</x:v>
      </x:c>
      <x:c r="B66" t="str">
        <x:v>buying</x:v>
      </x:c>
      <x:c r="C66" t="str">
        <x:v>easy</x:v>
      </x:c>
      <x:c r="D66" t="str">
        <x:v>comfort</x:v>
      </x:c>
    </x:row>
    <x:row r="67">
      <x:c r="A67" t="str">
        <x:v>public_0022</x:v>
      </x:c>
      <x:c r="B67" t="str">
        <x:v>buying</x:v>
      </x:c>
      <x:c r="C67" t="str">
        <x:v>easy</x:v>
      </x:c>
      <x:c r="D67" t="str">
        <x:v>fit</x:v>
      </x:c>
    </x:row>
    <x:row r="68">
      <x:c r="A68" t="str">
        <x:v>public_0022</x:v>
      </x:c>
      <x:c r="B68" t="str">
        <x:v>buying</x:v>
      </x:c>
      <x:c r="C68" t="str">
        <x:v>easy</x:v>
      </x:c>
      <x:c r="D68" t="str">
        <x:v>style</x:v>
      </x:c>
    </x:row>
    <x:row r="69">
      <x:c r="A69" t="str">
        <x:v>public_0022</x:v>
      </x:c>
      <x:c r="B69" t="str">
        <x:v>buying</x:v>
      </x:c>
      <x:c r="C69" t="str">
        <x:v>easy</x:v>
      </x:c>
      <x:c r="D69" t="str">
        <x:v>material</x:v>
      </x:c>
    </x:row>
    <x:row r="70">
      <x:c r="A70" t="str">
        <x:v>public_0023</x:v>
      </x:c>
      <x:c r="B70" t="str">
        <x:v>intent_override</x:v>
      </x:c>
      <x:c r="C70" t="str">
        <x:v>hard</x:v>
      </x:c>
      <x:c r="D70" t="str">
        <x:v>comfort</x:v>
      </x:c>
    </x:row>
    <x:row r="71">
      <x:c r="A71" t="str">
        <x:v>public_0023</x:v>
      </x:c>
      <x:c r="B71" t="str">
        <x:v>intent_override</x:v>
      </x:c>
      <x:c r="C71" t="str">
        <x:v>hard</x:v>
      </x:c>
      <x:c r="D71" t="str">
        <x:v>material</x:v>
      </x:c>
    </x:row>
    <x:row r="72">
      <x:c r="A72" t="str">
        <x:v>public_0023</x:v>
      </x:c>
      <x:c r="B72" t="str">
        <x:v>intent_override</x:v>
      </x:c>
      <x:c r="C72" t="str">
        <x:v>hard</x:v>
      </x:c>
      <x:c r="D72" t="str">
        <x:v>fit</x:v>
      </x:c>
    </x:row>
    <x:row r="73">
      <x:c r="A73" t="str">
        <x:v>public_0023</x:v>
      </x:c>
      <x:c r="B73" t="str">
        <x:v>intent_override</x:v>
      </x:c>
      <x:c r="C73" t="str">
        <x:v>hard</x:v>
      </x:c>
      <x:c r="D73" t="str">
        <x:v>style</x:v>
      </x:c>
    </x:row>
    <x:row r="74">
      <x:c r="A74" t="str">
        <x:v>public_0024</x:v>
      </x:c>
      <x:c r="B74" t="str">
        <x:v>buying</x:v>
      </x:c>
      <x:c r="C74" t="str">
        <x:v>easy</x:v>
      </x:c>
      <x:c r="D74" t="str">
        <x:v>material</x:v>
      </x:c>
    </x:row>
    <x:row r="75">
      <x:c r="A75" t="str">
        <x:v>public_0024</x:v>
      </x:c>
      <x:c r="B75" t="str">
        <x:v>buying</x:v>
      </x:c>
      <x:c r="C75" t="str">
        <x:v>easy</x:v>
      </x:c>
      <x:c r="D75" t="str">
        <x:v>comfort</x:v>
      </x:c>
    </x:row>
    <x:row r="76">
      <x:c r="A76" t="str">
        <x:v>public_0024</x:v>
      </x:c>
      <x:c r="B76" t="str">
        <x:v>buying</x:v>
      </x:c>
      <x:c r="C76" t="str">
        <x:v>easy</x:v>
      </x:c>
      <x:c r="D76" t="str">
        <x:v>performance</x:v>
      </x:c>
    </x:row>
    <x:row r="77">
      <x:c r="A77" t="str">
        <x:v>public_0024</x:v>
      </x:c>
      <x:c r="B77" t="str">
        <x:v>buying</x:v>
      </x:c>
      <x:c r="C77" t="str">
        <x:v>easy</x:v>
      </x:c>
      <x:c r="D77" t="str">
        <x:v>style</x:v>
      </x:c>
    </x:row>
    <x:row r="78">
      <x:c r="A78" t="str">
        <x:v>public_0025</x:v>
      </x:c>
      <x:c r="B78" t="str">
        <x:v>browsing</x:v>
      </x:c>
      <x:c r="C78" t="str">
        <x:v>medium</x:v>
      </x:c>
      <x:c r="D78" t="str">
        <x:v>material</x:v>
      </x:c>
    </x:row>
    <x:row r="79">
      <x:c r="A79" t="str">
        <x:v>public_0025</x:v>
      </x:c>
      <x:c r="B79" t="str">
        <x:v>browsing</x:v>
      </x:c>
      <x:c r="C79" t="str">
        <x:v>medium</x:v>
      </x:c>
      <x:c r="D79" t="str">
        <x:v>fit</x:v>
      </x:c>
    </x:row>
    <x:row r="80">
      <x:c r="A80" t="str">
        <x:v>public_0025</x:v>
      </x:c>
      <x:c r="B80" t="str">
        <x:v>browsing</x:v>
      </x:c>
      <x:c r="C80" t="str">
        <x:v>medium</x:v>
      </x:c>
      <x:c r="D80" t="str">
        <x:v>comfort</x:v>
      </x:c>
    </x:row>
    <x:row r="81">
      <x:c r="A81" t="str">
        <x:v>public_0025</x:v>
      </x:c>
      <x:c r="B81" t="str">
        <x:v>browsing</x:v>
      </x:c>
      <x:c r="C81" t="str">
        <x:v>medium</x:v>
      </x:c>
      <x:c r="D81" t="str">
        <x:v>style</x:v>
      </x:c>
    </x:row>
    <x:row r="82">
      <x:c r="A82" t="str">
        <x:v>public_0026</x:v>
      </x:c>
      <x:c r="B82" t="str">
        <x:v>buying</x:v>
      </x:c>
      <x:c r="C82" t="str">
        <x:v>easy</x:v>
      </x:c>
      <x:c r="D82" t="str">
        <x:v>material</x:v>
      </x:c>
    </x:row>
    <x:row r="83">
      <x:c r="A83" t="str">
        <x:v>public_0026</x:v>
      </x:c>
      <x:c r="B83" t="str">
        <x:v>buying</x:v>
      </x:c>
      <x:c r="C83" t="str">
        <x:v>easy</x:v>
      </x:c>
      <x:c r="D83" t="str">
        <x:v>fit</x:v>
      </x:c>
    </x:row>
    <x:row r="84">
      <x:c r="A84" t="str">
        <x:v>public_0027</x:v>
      </x:c>
      <x:c r="B84" t="str">
        <x:v>buying</x:v>
      </x:c>
      <x:c r="C84" t="str">
        <x:v>easy</x:v>
      </x:c>
      <x:c r="D84" t="str">
        <x:v>style</x:v>
      </x:c>
    </x:row>
    <x:row r="85">
      <x:c r="A85" t="str">
        <x:v>public_0027</x:v>
      </x:c>
      <x:c r="B85" t="str">
        <x:v>buying</x:v>
      </x:c>
      <x:c r="C85" t="str">
        <x:v>easy</x:v>
      </x:c>
      <x:c r="D85" t="str">
        <x:v>comfort</x:v>
      </x:c>
    </x:row>
    <x:row r="86">
      <x:c r="A86" t="str">
        <x:v>public_0027</x:v>
      </x:c>
      <x:c r="B86" t="str">
        <x:v>buying</x:v>
      </x:c>
      <x:c r="C86" t="str">
        <x:v>easy</x:v>
      </x:c>
      <x:c r="D86" t="str">
        <x:v>fit</x:v>
      </x:c>
    </x:row>
    <x:row r="87">
      <x:c r="A87" t="str">
        <x:v>public_0027</x:v>
      </x:c>
      <x:c r="B87" t="str">
        <x:v>buying</x:v>
      </x:c>
      <x:c r="C87" t="str">
        <x:v>easy</x:v>
      </x:c>
      <x:c r="D87" t="str">
        <x:v>material</x:v>
      </x:c>
    </x:row>
    <x:row r="88">
      <x:c r="A88" t="str">
        <x:v>public_0028</x:v>
      </x:c>
      <x:c r="B88" t="str">
        <x:v>buying</x:v>
      </x:c>
      <x:c r="C88" t="str">
        <x:v>easy</x:v>
      </x:c>
      <x:c r="D88" t="str">
        <x:v>material</x:v>
      </x:c>
    </x:row>
    <x:row r="89">
      <x:c r="A89" t="str">
        <x:v>public_0028</x:v>
      </x:c>
      <x:c r="B89" t="str">
        <x:v>buying</x:v>
      </x:c>
      <x:c r="C89" t="str">
        <x:v>easy</x:v>
      </x:c>
      <x:c r="D89" t="str">
        <x:v>fit</x:v>
      </x:c>
    </x:row>
    <x:row r="90">
      <x:c r="A90" t="str">
        <x:v>public_0029</x:v>
      </x:c>
      <x:c r="B90" t="str">
        <x:v>buying</x:v>
      </x:c>
      <x:c r="C90" t="str">
        <x:v>easy</x:v>
      </x:c>
      <x:c r="D90" t="str">
        <x:v>comfort</x:v>
      </x:c>
    </x:row>
    <x:row r="91">
      <x:c r="A91" t="str">
        <x:v>public_0029</x:v>
      </x:c>
      <x:c r="B91" t="str">
        <x:v>buying</x:v>
      </x:c>
      <x:c r="C91" t="str">
        <x:v>easy</x:v>
      </x:c>
      <x:c r="D91" t="str">
        <x:v>material</x:v>
      </x:c>
    </x:row>
    <x:row r="92">
      <x:c r="A92" t="str">
        <x:v>public_0029</x:v>
      </x:c>
      <x:c r="B92" t="str">
        <x:v>buying</x:v>
      </x:c>
      <x:c r="C92" t="str">
        <x:v>easy</x:v>
      </x:c>
      <x:c r="D92" t="str">
        <x:v>style</x:v>
      </x:c>
    </x:row>
    <x:row r="93">
      <x:c r="A93" t="str">
        <x:v>public_0029</x:v>
      </x:c>
      <x:c r="B93" t="str">
        <x:v>buying</x:v>
      </x:c>
      <x:c r="C93" t="str">
        <x:v>easy</x:v>
      </x:c>
      <x:c r="D93" t="str">
        <x:v>fit</x:v>
      </x:c>
    </x:row>
    <x:row r="94">
      <x:c r="A94" t="str">
        <x:v>public_0030</x:v>
      </x:c>
      <x:c r="B94" t="str">
        <x:v>buying</x:v>
      </x:c>
      <x:c r="C94" t="str">
        <x:v>easy</x:v>
      </x:c>
      <x:c r="D94" t="str">
        <x:v>material</x:v>
      </x:c>
    </x:row>
    <x:row r="95">
      <x:c r="A95" t="str">
        <x:v>public_0030</x:v>
      </x:c>
      <x:c r="B95" t="str">
        <x:v>buying</x:v>
      </x:c>
      <x:c r="C95" t="str">
        <x:v>easy</x:v>
      </x:c>
      <x:c r="D95" t="str">
        <x:v>comfort</x:v>
      </x:c>
    </x:row>
    <x:row r="96">
      <x:c r="A96" t="str">
        <x:v>public_0030</x:v>
      </x:c>
      <x:c r="B96" t="str">
        <x:v>buying</x:v>
      </x:c>
      <x:c r="C96" t="str">
        <x:v>easy</x:v>
      </x:c>
      <x:c r="D96" t="str">
        <x:v>fit</x:v>
      </x:c>
    </x:row>
    <x:row r="97">
      <x:c r="A97" t="str">
        <x:v>public_0030</x:v>
      </x:c>
      <x:c r="B97" t="str">
        <x:v>buying</x:v>
      </x:c>
      <x:c r="C97" t="str">
        <x:v>easy</x:v>
      </x:c>
      <x:c r="D97" t="str">
        <x:v>style</x:v>
      </x:c>
    </x:row>
    <x:row r="98">
      <x:c r="A98" t="str">
        <x:v>public_0031</x:v>
      </x:c>
      <x:c r="B98" t="str">
        <x:v>buying</x:v>
      </x:c>
      <x:c r="C98" t="str">
        <x:v>easy</x:v>
      </x:c>
      <x:c r="D98" t="str">
        <x:v>material</x:v>
      </x:c>
    </x:row>
    <x:row r="99">
      <x:c r="A99" t="str">
        <x:v>public_0031</x:v>
      </x:c>
      <x:c r="B99" t="str">
        <x:v>buying</x:v>
      </x:c>
      <x:c r="C99" t="str">
        <x:v>easy</x:v>
      </x:c>
      <x:c r="D99" t="str">
        <x:v>comfort</x:v>
      </x:c>
    </x:row>
    <x:row r="100">
      <x:c r="A100" t="str">
        <x:v>public_0031</x:v>
      </x:c>
      <x:c r="B100" t="str">
        <x:v>buying</x:v>
      </x:c>
      <x:c r="C100" t="str">
        <x:v>easy</x:v>
      </x:c>
      <x:c r="D100" t="str">
        <x:v>fit</x:v>
      </x:c>
    </x:row>
    <x:row r="101">
      <x:c r="A101" t="str">
        <x:v>public_0031</x:v>
      </x:c>
      <x:c r="B101" t="str">
        <x:v>buying</x:v>
      </x:c>
      <x:c r="C101" t="str">
        <x:v>easy</x:v>
      </x:c>
      <x:c r="D101" t="str">
        <x:v>style</x:v>
      </x:c>
    </x:row>
    <x:row r="102">
      <x:c r="A102" t="str">
        <x:v>public_0032</x:v>
      </x:c>
      <x:c r="B102" t="str">
        <x:v>buying</x:v>
      </x:c>
      <x:c r="C102" t="str">
        <x:v>easy</x:v>
      </x:c>
      <x:c r="D102" t="str">
        <x:v>material</x:v>
      </x:c>
    </x:row>
    <x:row r="103">
      <x:c r="A103" t="str">
        <x:v>public_0032</x:v>
      </x:c>
      <x:c r="B103" t="str">
        <x:v>buying</x:v>
      </x:c>
      <x:c r="C103" t="str">
        <x:v>easy</x:v>
      </x:c>
      <x:c r="D103" t="str">
        <x:v>performance</x:v>
      </x:c>
    </x:row>
    <x:row r="104">
      <x:c r="A104" t="str">
        <x:v>public_0032</x:v>
      </x:c>
      <x:c r="B104" t="str">
        <x:v>buying</x:v>
      </x:c>
      <x:c r="C104" t="str">
        <x:v>easy</x:v>
      </x:c>
      <x:c r="D104" t="str">
        <x:v>style</x:v>
      </x:c>
    </x:row>
    <x:row r="105">
      <x:c r="A105" t="str">
        <x:v>public_0032</x:v>
      </x:c>
      <x:c r="B105" t="str">
        <x:v>buying</x:v>
      </x:c>
      <x:c r="C105" t="str">
        <x:v>easy</x:v>
      </x:c>
      <x:c r="D105" t="str">
        <x:v>warmth</x:v>
      </x:c>
    </x:row>
    <x:row r="106">
      <x:c r="A106" t="str">
        <x:v>public_0033</x:v>
      </x:c>
      <x:c r="B106" t="str">
        <x:v>browsing</x:v>
      </x:c>
      <x:c r="C106" t="str">
        <x:v>medium</x:v>
      </x:c>
      <x:c r="D106" t="str">
        <x:v>material</x:v>
      </x:c>
    </x:row>
    <x:row r="107">
      <x:c r="A107" t="str">
        <x:v>public_0033</x:v>
      </x:c>
      <x:c r="B107" t="str">
        <x:v>browsing</x:v>
      </x:c>
      <x:c r="C107" t="str">
        <x:v>medium</x:v>
      </x:c>
      <x:c r="D107" t="str">
        <x:v>comfort</x:v>
      </x:c>
    </x:row>
    <x:row r="108">
      <x:c r="A108" t="str">
        <x:v>public_0033</x:v>
      </x:c>
      <x:c r="B108" t="str">
        <x:v>browsing</x:v>
      </x:c>
      <x:c r="C108" t="str">
        <x:v>medium</x:v>
      </x:c>
      <x:c r="D108" t="str">
        <x:v>style</x:v>
      </x:c>
    </x:row>
    <x:row r="109">
      <x:c r="A109" t="str">
        <x:v>public_0033</x:v>
      </x:c>
      <x:c r="B109" t="str">
        <x:v>browsing</x:v>
      </x:c>
      <x:c r="C109" t="str">
        <x:v>medium</x:v>
      </x:c>
      <x:c r="D109" t="str">
        <x:v>durability</x:v>
      </x:c>
    </x:row>
    <x:row r="110">
      <x:c r="A110" t="str">
        <x:v>public_0034</x:v>
      </x:c>
      <x:c r="B110" t="str">
        <x:v>intent_override</x:v>
      </x:c>
      <x:c r="C110" t="str">
        <x:v>hard</x:v>
      </x:c>
      <x:c r="D110" t="str">
        <x:v>style</x:v>
      </x:c>
    </x:row>
    <x:row r="111">
      <x:c r="A111" t="str">
        <x:v>public_0034</x:v>
      </x:c>
      <x:c r="B111" t="str">
        <x:v>intent_override</x:v>
      </x:c>
      <x:c r="C111" t="str">
        <x:v>hard</x:v>
      </x:c>
      <x:c r="D111" t="str">
        <x:v>material</x:v>
      </x:c>
    </x:row>
    <x:row r="112">
      <x:c r="A112" t="str">
        <x:v>public_0034</x:v>
      </x:c>
      <x:c r="B112" t="str">
        <x:v>intent_override</x:v>
      </x:c>
      <x:c r="C112" t="str">
        <x:v>hard</x:v>
      </x:c>
      <x:c r="D112" t="str">
        <x:v>fit</x:v>
      </x:c>
    </x:row>
    <x:row r="113">
      <x:c r="A113" t="str">
        <x:v>public_0034</x:v>
      </x:c>
      <x:c r="B113" t="str">
        <x:v>intent_override</x:v>
      </x:c>
      <x:c r="C113" t="str">
        <x:v>hard</x:v>
      </x:c>
      <x:c r="D113" t="str">
        <x:v>comfort</x:v>
      </x:c>
    </x:row>
    <x:row r="114">
      <x:c r="A114" t="str">
        <x:v>public_0035</x:v>
      </x:c>
      <x:c r="B114" t="str">
        <x:v>boundary</x:v>
      </x:c>
      <x:c r="C114" t="str">
        <x:v>medium</x:v>
      </x:c>
      <x:c r="D114" t="str">
        <x:v>material</x:v>
      </x:c>
    </x:row>
    <x:row r="115">
      <x:c r="A115" t="str">
        <x:v>public_0035</x:v>
      </x:c>
      <x:c r="B115" t="str">
        <x:v>boundary</x:v>
      </x:c>
      <x:c r="C115" t="str">
        <x:v>medium</x:v>
      </x:c>
      <x:c r="D115" t="str">
        <x:v>performance</x:v>
      </x:c>
    </x:row>
    <x:row r="116">
      <x:c r="A116" t="str">
        <x:v>public_0035</x:v>
      </x:c>
      <x:c r="B116" t="str">
        <x:v>boundary</x:v>
      </x:c>
      <x:c r="C116" t="str">
        <x:v>medium</x:v>
      </x:c>
      <x:c r="D116" t="str">
        <x:v>durability</x:v>
      </x:c>
    </x:row>
    <x:row r="117">
      <x:c r="A117" t="str">
        <x:v>public_0036</x:v>
      </x:c>
      <x:c r="B117" t="str">
        <x:v>browsing</x:v>
      </x:c>
      <x:c r="C117" t="str">
        <x:v>medium</x:v>
      </x:c>
      <x:c r="D117" t="str">
        <x:v>material</x:v>
      </x:c>
    </x:row>
    <x:row r="118">
      <x:c r="A118" t="str">
        <x:v>public_0036</x:v>
      </x:c>
      <x:c r="B118" t="str">
        <x:v>browsing</x:v>
      </x:c>
      <x:c r="C118" t="str">
        <x:v>medium</x:v>
      </x:c>
      <x:c r="D118" t="str">
        <x:v>fit</x:v>
      </x:c>
    </x:row>
    <x:row r="119">
      <x:c r="A119" t="str">
        <x:v>public_0037</x:v>
      </x:c>
      <x:c r="B119" t="str">
        <x:v>browsing</x:v>
      </x:c>
      <x:c r="C119" t="str">
        <x:v>medium</x:v>
      </x:c>
      <x:c r="D119" t="str">
        <x:v>material</x:v>
      </x:c>
    </x:row>
    <x:row r="120">
      <x:c r="A120" t="str">
        <x:v>public_0037</x:v>
      </x:c>
      <x:c r="B120" t="str">
        <x:v>browsing</x:v>
      </x:c>
      <x:c r="C120" t="str">
        <x:v>medium</x:v>
      </x:c>
      <x:c r="D120" t="str">
        <x:v>fit</x:v>
      </x:c>
    </x:row>
    <x:row r="121">
      <x:c r="A121" t="str">
        <x:v>public_0038</x:v>
      </x:c>
      <x:c r="B121" t="str">
        <x:v>intent_override</x:v>
      </x:c>
      <x:c r="C121" t="str">
        <x:v>hard</x:v>
      </x:c>
      <x:c r="D121" t="str">
        <x:v>style</x:v>
      </x:c>
    </x:row>
    <x:row r="122">
      <x:c r="A122" t="str">
        <x:v>public_0038</x:v>
      </x:c>
      <x:c r="B122" t="str">
        <x:v>intent_override</x:v>
      </x:c>
      <x:c r="C122" t="str">
        <x:v>hard</x:v>
      </x:c>
      <x:c r="D122" t="str">
        <x:v>fit</x:v>
      </x:c>
    </x:row>
    <x:row r="123">
      <x:c r="A123" t="str">
        <x:v>public_0038</x:v>
      </x:c>
      <x:c r="B123" t="str">
        <x:v>intent_override</x:v>
      </x:c>
      <x:c r="C123" t="str">
        <x:v>hard</x:v>
      </x:c>
      <x:c r="D123" t="str">
        <x:v>material</x:v>
      </x:c>
    </x:row>
    <x:row r="124">
      <x:c r="A124" t="str">
        <x:v>public_0038</x:v>
      </x:c>
      <x:c r="B124" t="str">
        <x:v>intent_override</x:v>
      </x:c>
      <x:c r="C124" t="str">
        <x:v>hard</x:v>
      </x:c>
      <x:c r="D124" t="str">
        <x:v>comfort</x:v>
      </x:c>
    </x:row>
    <x:row r="125">
      <x:c r="A125" t="str">
        <x:v>public_0039</x:v>
      </x:c>
      <x:c r="B125" t="str">
        <x:v>browsing</x:v>
      </x:c>
      <x:c r="C125" t="str">
        <x:v>medium</x:v>
      </x:c>
      <x:c r="D125" t="str">
        <x:v>comfort</x:v>
      </x:c>
    </x:row>
    <x:row r="126">
      <x:c r="A126" t="str">
        <x:v>public_0039</x:v>
      </x:c>
      <x:c r="B126" t="str">
        <x:v>browsing</x:v>
      </x:c>
      <x:c r="C126" t="str">
        <x:v>medium</x:v>
      </x:c>
      <x:c r="D126" t="str">
        <x:v>performance</x:v>
      </x:c>
    </x:row>
    <x:row r="127">
      <x:c r="A127" t="str">
        <x:v>public_0039</x:v>
      </x:c>
      <x:c r="B127" t="str">
        <x:v>browsing</x:v>
      </x:c>
      <x:c r="C127" t="str">
        <x:v>medium</x:v>
      </x:c>
      <x:c r="D127" t="str">
        <x:v>durability</x:v>
      </x:c>
    </x:row>
    <x:row r="128">
      <x:c r="A128" t="str">
        <x:v>public_0039</x:v>
      </x:c>
      <x:c r="B128" t="str">
        <x:v>browsing</x:v>
      </x:c>
      <x:c r="C128" t="str">
        <x:v>medium</x:v>
      </x:c>
      <x:c r="D128" t="str">
        <x:v>style</x:v>
      </x:c>
    </x:row>
    <x:row r="129">
      <x:c r="A129" t="str">
        <x:v>public_0040</x:v>
      </x:c>
      <x:c r="B129" t="str">
        <x:v>browsing</x:v>
      </x:c>
      <x:c r="C129" t="str">
        <x:v>medium</x:v>
      </x:c>
      <x:c r="D129" t="str">
        <x:v>material</x:v>
      </x:c>
    </x:row>
    <x:row r="130">
      <x:c r="A130" t="str">
        <x:v>public_0040</x:v>
      </x:c>
      <x:c r="B130" t="str">
        <x:v>browsing</x:v>
      </x:c>
      <x:c r="C130" t="str">
        <x:v>medium</x:v>
      </x:c>
      <x:c r="D130" t="str">
        <x:v>comfort</x:v>
      </x:c>
    </x:row>
    <x:row r="131">
      <x:c r="A131" t="str">
        <x:v>public_0040</x:v>
      </x:c>
      <x:c r="B131" t="str">
        <x:v>browsing</x:v>
      </x:c>
      <x:c r="C131" t="str">
        <x:v>medium</x:v>
      </x:c>
      <x:c r="D131" t="str">
        <x:v>fit</x:v>
      </x:c>
    </x:row>
    <x:row r="132">
      <x:c r="A132" t="str">
        <x:v>public_0040</x:v>
      </x:c>
      <x:c r="B132" t="str">
        <x:v>browsing</x:v>
      </x:c>
      <x:c r="C132" t="str">
        <x:v>medium</x:v>
      </x:c>
      <x:c r="D132" t="str">
        <x:v>style</x:v>
      </x:c>
    </x:row>
    <x:row r="133">
      <x:c r="A133" t="str">
        <x:v>public_0041</x:v>
      </x:c>
      <x:c r="B133" t="str">
        <x:v>boundary</x:v>
      </x:c>
      <x:c r="C133" t="str">
        <x:v>medium</x:v>
      </x:c>
      <x:c r="D133" t="str">
        <x:v>fit</x:v>
      </x:c>
    </x:row>
    <x:row r="134">
      <x:c r="A134" t="str">
        <x:v>public_0041</x:v>
      </x:c>
      <x:c r="B134" t="str">
        <x:v>boundary</x:v>
      </x:c>
      <x:c r="C134" t="str">
        <x:v>medium</x:v>
      </x:c>
      <x:c r="D134" t="str">
        <x:v>material</x:v>
      </x:c>
    </x:row>
    <x:row r="135">
      <x:c r="A135" t="str">
        <x:v>public_0041</x:v>
      </x:c>
      <x:c r="B135" t="str">
        <x:v>boundary</x:v>
      </x:c>
      <x:c r="C135" t="str">
        <x:v>medium</x:v>
      </x:c>
      <x:c r="D135" t="str">
        <x:v>comfort</x:v>
      </x:c>
    </x:row>
    <x:row r="136">
      <x:c r="A136" t="str">
        <x:v>public_0041</x:v>
      </x:c>
      <x:c r="B136" t="str">
        <x:v>boundary</x:v>
      </x:c>
      <x:c r="C136" t="str">
        <x:v>medium</x:v>
      </x:c>
      <x:c r="D136" t="str">
        <x:v>style</x:v>
      </x:c>
    </x:row>
    <x:row r="137">
      <x:c r="A137" t="str">
        <x:v>public_0042</x:v>
      </x:c>
      <x:c r="B137" t="str">
        <x:v>buying</x:v>
      </x:c>
      <x:c r="C137" t="str">
        <x:v>easy</x:v>
      </x:c>
      <x:c r="D137" t="str">
        <x:v>fit</x:v>
      </x:c>
    </x:row>
    <x:row r="138">
      <x:c r="A138" t="str">
        <x:v>public_0042</x:v>
      </x:c>
      <x:c r="B138" t="str">
        <x:v>buying</x:v>
      </x:c>
      <x:c r="C138" t="str">
        <x:v>easy</x:v>
      </x:c>
      <x:c r="D138" t="str">
        <x:v>material</x:v>
      </x:c>
    </x:row>
    <x:row r="139">
      <x:c r="A139" t="str">
        <x:v>public_0042</x:v>
      </x:c>
      <x:c r="B139" t="str">
        <x:v>buying</x:v>
      </x:c>
      <x:c r="C139" t="str">
        <x:v>easy</x:v>
      </x:c>
      <x:c r="D139" t="str">
        <x:v>performance</x:v>
      </x:c>
    </x:row>
    <x:row r="140">
      <x:c r="A140" t="str">
        <x:v>public_0042</x:v>
      </x:c>
      <x:c r="B140" t="str">
        <x:v>buying</x:v>
      </x:c>
      <x:c r="C140" t="str">
        <x:v>easy</x:v>
      </x:c>
      <x:c r="D140" t="str">
        <x:v>style</x:v>
      </x:c>
    </x:row>
    <x:row r="141">
      <x:c r="A141" t="str">
        <x:v>public_0043</x:v>
      </x:c>
      <x:c r="B141" t="str">
        <x:v>browsing</x:v>
      </x:c>
      <x:c r="C141" t="str">
        <x:v>medium</x:v>
      </x:c>
      <x:c r="D141" t="str">
        <x:v>style</x:v>
      </x:c>
    </x:row>
    <x:row r="142">
      <x:c r="A142" t="str">
        <x:v>public_0043</x:v>
      </x:c>
      <x:c r="B142" t="str">
        <x:v>browsing</x:v>
      </x:c>
      <x:c r="C142" t="str">
        <x:v>medium</x:v>
      </x:c>
      <x:c r="D142" t="str">
        <x:v>fit</x:v>
      </x:c>
    </x:row>
    <x:row r="143">
      <x:c r="A143" t="str">
        <x:v>public_0043</x:v>
      </x:c>
      <x:c r="B143" t="str">
        <x:v>browsing</x:v>
      </x:c>
      <x:c r="C143" t="str">
        <x:v>medium</x:v>
      </x:c>
      <x:c r="D143" t="str">
        <x:v>material</x:v>
      </x:c>
    </x:row>
    <x:row r="144">
      <x:c r="A144" t="str">
        <x:v>public_0043</x:v>
      </x:c>
      <x:c r="B144" t="str">
        <x:v>browsing</x:v>
      </x:c>
      <x:c r="C144" t="str">
        <x:v>medium</x:v>
      </x:c>
      <x:c r="D144" t="str">
        <x:v>comfort</x:v>
      </x:c>
    </x:row>
    <x:row r="145">
      <x:c r="A145" t="str">
        <x:v>public_0044</x:v>
      </x:c>
      <x:c r="B145" t="str">
        <x:v>buying</x:v>
      </x:c>
      <x:c r="C145" t="str">
        <x:v>easy</x:v>
      </x:c>
      <x:c r="D145" t="str">
        <x:v>style</x:v>
      </x:c>
    </x:row>
    <x:row r="146">
      <x:c r="A146" t="str">
        <x:v>public_0044</x:v>
      </x:c>
      <x:c r="B146" t="str">
        <x:v>buying</x:v>
      </x:c>
      <x:c r="C146" t="str">
        <x:v>easy</x:v>
      </x:c>
      <x:c r="D146" t="str">
        <x:v>comfort</x:v>
      </x:c>
    </x:row>
    <x:row r="147">
      <x:c r="A147" t="str">
        <x:v>public_0044</x:v>
      </x:c>
      <x:c r="B147" t="str">
        <x:v>buying</x:v>
      </x:c>
      <x:c r="C147" t="str">
        <x:v>easy</x:v>
      </x:c>
      <x:c r="D147" t="str">
        <x:v>fit</x:v>
      </x:c>
    </x:row>
    <x:row r="148">
      <x:c r="A148" t="str">
        <x:v>public_0045</x:v>
      </x:c>
      <x:c r="B148" t="str">
        <x:v>buying</x:v>
      </x:c>
      <x:c r="C148" t="str">
        <x:v>easy</x:v>
      </x:c>
      <x:c r="D148" t="str">
        <x:v>material</x:v>
      </x:c>
    </x:row>
    <x:row r="149">
      <x:c r="A149" t="str">
        <x:v>public_0045</x:v>
      </x:c>
      <x:c r="B149" t="str">
        <x:v>buying</x:v>
      </x:c>
      <x:c r="C149" t="str">
        <x:v>easy</x:v>
      </x:c>
      <x:c r="D149" t="str">
        <x:v>fit</x:v>
      </x:c>
    </x:row>
    <x:row r="150">
      <x:c r="A150" t="str">
        <x:v>public_0046</x:v>
      </x:c>
      <x:c r="B150" t="str">
        <x:v>intent_override</x:v>
      </x:c>
      <x:c r="C150" t="str">
        <x:v>hard</x:v>
      </x:c>
      <x:c r="D150" t="str">
        <x:v>fit</x:v>
      </x:c>
    </x:row>
    <x:row r="151">
      <x:c r="A151" t="str">
        <x:v>public_0046</x:v>
      </x:c>
      <x:c r="B151" t="str">
        <x:v>intent_override</x:v>
      </x:c>
      <x:c r="C151" t="str">
        <x:v>hard</x:v>
      </x:c>
      <x:c r="D151" t="str">
        <x:v>comfort</x:v>
      </x:c>
    </x:row>
    <x:row r="152">
      <x:c r="A152" t="str">
        <x:v>public_0046</x:v>
      </x:c>
      <x:c r="B152" t="str">
        <x:v>intent_override</x:v>
      </x:c>
      <x:c r="C152" t="str">
        <x:v>hard</x:v>
      </x:c>
      <x:c r="D152" t="str">
        <x:v>material</x:v>
      </x:c>
    </x:row>
    <x:row r="153">
      <x:c r="A153" t="str">
        <x:v>public_0046</x:v>
      </x:c>
      <x:c r="B153" t="str">
        <x:v>intent_override</x:v>
      </x:c>
      <x:c r="C153" t="str">
        <x:v>hard</x:v>
      </x:c>
      <x:c r="D153" t="str">
        <x:v>warmth</x:v>
      </x:c>
    </x:row>
    <x:row r="154">
      <x:c r="A154" t="str">
        <x:v>public_0047</x:v>
      </x:c>
      <x:c r="B154" t="str">
        <x:v>browsing</x:v>
      </x:c>
      <x:c r="C154" t="str">
        <x:v>medium</x:v>
      </x:c>
      <x:c r="D154" t="str">
        <x:v>fit</x:v>
      </x:c>
    </x:row>
    <x:row r="155">
      <x:c r="A155" t="str">
        <x:v>public_0047</x:v>
      </x:c>
      <x:c r="B155" t="str">
        <x:v>browsing</x:v>
      </x:c>
      <x:c r="C155" t="str">
        <x:v>medium</x:v>
      </x:c>
      <x:c r="D155" t="str">
        <x:v>comfort</x:v>
      </x:c>
    </x:row>
    <x:row r="156">
      <x:c r="A156" t="str">
        <x:v>public_0047</x:v>
      </x:c>
      <x:c r="B156" t="str">
        <x:v>browsing</x:v>
      </x:c>
      <x:c r="C156" t="str">
        <x:v>medium</x:v>
      </x:c>
      <x:c r="D156" t="str">
        <x:v>material</x:v>
      </x:c>
    </x:row>
    <x:row r="157">
      <x:c r="A157" t="str">
        <x:v>public_0047</x:v>
      </x:c>
      <x:c r="B157" t="str">
        <x:v>browsing</x:v>
      </x:c>
      <x:c r="C157" t="str">
        <x:v>medium</x:v>
      </x:c>
      <x:c r="D157" t="str">
        <x:v>performance</x:v>
      </x:c>
    </x:row>
    <x:row r="158">
      <x:c r="A158" t="str">
        <x:v>public_0048</x:v>
      </x:c>
      <x:c r="B158" t="str">
        <x:v>browsing</x:v>
      </x:c>
      <x:c r="C158" t="str">
        <x:v>medium</x:v>
      </x:c>
      <x:c r="D158" t="str">
        <x:v>fit</x:v>
      </x:c>
    </x:row>
    <x:row r="159">
      <x:c r="A159" t="str">
        <x:v>public_0048</x:v>
      </x:c>
      <x:c r="B159" t="str">
        <x:v>browsing</x:v>
      </x:c>
      <x:c r="C159" t="str">
        <x:v>medium</x:v>
      </x:c>
      <x:c r="D159" t="str">
        <x:v>comfort</x:v>
      </x:c>
    </x:row>
    <x:row r="160">
      <x:c r="A160" t="str">
        <x:v>public_0048</x:v>
      </x:c>
      <x:c r="B160" t="str">
        <x:v>browsing</x:v>
      </x:c>
      <x:c r="C160" t="str">
        <x:v>medium</x:v>
      </x:c>
      <x:c r="D160" t="str">
        <x:v>durability</x:v>
      </x:c>
    </x:row>
    <x:row r="161">
      <x:c r="A161" t="str">
        <x:v>public_0048</x:v>
      </x:c>
      <x:c r="B161" t="str">
        <x:v>browsing</x:v>
      </x:c>
      <x:c r="C161" t="str">
        <x:v>medium</x:v>
      </x:c>
      <x:c r="D161" t="str">
        <x:v>style</x:v>
      </x:c>
    </x:row>
    <x:row r="162">
      <x:c r="A162" t="str">
        <x:v>public_0049</x:v>
      </x:c>
      <x:c r="B162" t="str">
        <x:v>browsing</x:v>
      </x:c>
      <x:c r="C162" t="str">
        <x:v>medium</x:v>
      </x:c>
      <x:c r="D162" t="str">
        <x:v>fit</x:v>
      </x:c>
    </x:row>
    <x:row r="163">
      <x:c r="A163" t="str">
        <x:v>public_0049</x:v>
      </x:c>
      <x:c r="B163" t="str">
        <x:v>browsing</x:v>
      </x:c>
      <x:c r="C163" t="str">
        <x:v>medium</x:v>
      </x:c>
      <x:c r="D163" t="str">
        <x:v>material</x:v>
      </x:c>
    </x:row>
    <x:row r="164">
      <x:c r="A164" t="str">
        <x:v>public_0049</x:v>
      </x:c>
      <x:c r="B164" t="str">
        <x:v>browsing</x:v>
      </x:c>
      <x:c r="C164" t="str">
        <x:v>medium</x:v>
      </x:c>
      <x:c r="D164" t="str">
        <x:v>style</x:v>
      </x:c>
    </x:row>
    <x:row r="165">
      <x:c r="A165" t="str">
        <x:v>public_0049</x:v>
      </x:c>
      <x:c r="B165" t="str">
        <x:v>browsing</x:v>
      </x:c>
      <x:c r="C165" t="str">
        <x:v>medium</x:v>
      </x:c>
      <x:c r="D165" t="str">
        <x:v>comfort</x:v>
      </x:c>
    </x:row>
    <x:row r="166">
      <x:c r="A166" t="str">
        <x:v>public_0050</x:v>
      </x:c>
      <x:c r="B166" t="str">
        <x:v>boundary</x:v>
      </x:c>
      <x:c r="C166" t="str">
        <x:v>medium</x:v>
      </x:c>
      <x:c r="D166" t="str">
        <x:v>comfort</x:v>
      </x:c>
    </x:row>
    <x:row r="167">
      <x:c r="A167" t="str">
        <x:v>public_0050</x:v>
      </x:c>
      <x:c r="B167" t="str">
        <x:v>boundary</x:v>
      </x:c>
      <x:c r="C167" t="str">
        <x:v>medium</x:v>
      </x:c>
      <x:c r="D167" t="str">
        <x:v>fit</x:v>
      </x:c>
    </x:row>
    <x:row r="168">
      <x:c r="A168" t="str">
        <x:v>public_0050</x:v>
      </x:c>
      <x:c r="B168" t="str">
        <x:v>boundary</x:v>
      </x:c>
      <x:c r="C168" t="str">
        <x:v>medium</x:v>
      </x:c>
      <x:c r="D168" t="str">
        <x:v>durability</x:v>
      </x:c>
    </x:row>
    <x:row r="169">
      <x:c r="A169" t="str">
        <x:v>public_0050</x:v>
      </x:c>
      <x:c r="B169" t="str">
        <x:v>boundary</x:v>
      </x:c>
      <x:c r="C169" t="str">
        <x:v>medium</x:v>
      </x:c>
      <x:c r="D169" t="str">
        <x:v>style</x:v>
      </x:c>
    </x:row>
    <x:row r="170">
      <x:c r="A170" t="str">
        <x:v>public_0051</x:v>
      </x:c>
      <x:c r="B170" t="str">
        <x:v>browsing</x:v>
      </x:c>
      <x:c r="C170" t="str">
        <x:v>medium</x:v>
      </x:c>
      <x:c r="D170" t="str">
        <x:v>fit</x:v>
      </x:c>
    </x:row>
    <x:row r="171">
      <x:c r="A171" t="str">
        <x:v>public_0051</x:v>
      </x:c>
      <x:c r="B171" t="str">
        <x:v>browsing</x:v>
      </x:c>
      <x:c r="C171" t="str">
        <x:v>medium</x:v>
      </x:c>
      <x:c r="D171" t="str">
        <x:v>comfort</x:v>
      </x:c>
    </x:row>
    <x:row r="172">
      <x:c r="A172" t="str">
        <x:v>public_0051</x:v>
      </x:c>
      <x:c r="B172" t="str">
        <x:v>browsing</x:v>
      </x:c>
      <x:c r="C172" t="str">
        <x:v>medium</x:v>
      </x:c>
      <x:c r="D172" t="str">
        <x:v>material</x:v>
      </x:c>
    </x:row>
    <x:row r="173">
      <x:c r="A173" t="str">
        <x:v>public_0051</x:v>
      </x:c>
      <x:c r="B173" t="str">
        <x:v>browsing</x:v>
      </x:c>
      <x:c r="C173" t="str">
        <x:v>medium</x:v>
      </x:c>
      <x:c r="D173" t="str">
        <x:v>durability</x:v>
      </x:c>
    </x:row>
    <x:row r="174">
      <x:c r="A174" t="str">
        <x:v>public_0052</x:v>
      </x:c>
      <x:c r="B174" t="str">
        <x:v>intent_override</x:v>
      </x:c>
      <x:c r="C174" t="str">
        <x:v>hard</x:v>
      </x:c>
      <x:c r="D174" t="str">
        <x:v>comfort</x:v>
      </x:c>
    </x:row>
    <x:row r="175">
      <x:c r="A175" t="str">
        <x:v>public_0052</x:v>
      </x:c>
      <x:c r="B175" t="str">
        <x:v>intent_override</x:v>
      </x:c>
      <x:c r="C175" t="str">
        <x:v>hard</x:v>
      </x:c>
      <x:c r="D175" t="str">
        <x:v>style</x:v>
      </x:c>
    </x:row>
    <x:row r="176">
      <x:c r="A176" t="str">
        <x:v>public_0052</x:v>
      </x:c>
      <x:c r="B176" t="str">
        <x:v>intent_override</x:v>
      </x:c>
      <x:c r="C176" t="str">
        <x:v>hard</x:v>
      </x:c>
      <x:c r="D176" t="str">
        <x:v>material</x:v>
      </x:c>
    </x:row>
    <x:row r="177">
      <x:c r="A177" t="str">
        <x:v>public_0053</x:v>
      </x:c>
      <x:c r="B177" t="str">
        <x:v>buying</x:v>
      </x:c>
      <x:c r="C177" t="str">
        <x:v>easy</x:v>
      </x:c>
      <x:c r="D177" t="str">
        <x:v>material</x:v>
      </x:c>
    </x:row>
    <x:row r="178">
      <x:c r="A178" t="str">
        <x:v>public_0053</x:v>
      </x:c>
      <x:c r="B178" t="str">
        <x:v>buying</x:v>
      </x:c>
      <x:c r="C178" t="str">
        <x:v>easy</x:v>
      </x:c>
      <x:c r="D178" t="str">
        <x:v>fit</x:v>
      </x:c>
    </x:row>
    <x:row r="179">
      <x:c r="A179" t="str">
        <x:v>public_0054</x:v>
      </x:c>
      <x:c r="B179" t="str">
        <x:v>buying</x:v>
      </x:c>
      <x:c r="C179" t="str">
        <x:v>easy</x:v>
      </x:c>
      <x:c r="D179" t="str">
        <x:v>weather</x:v>
      </x:c>
    </x:row>
    <x:row r="180">
      <x:c r="A180" t="str">
        <x:v>public_0054</x:v>
      </x:c>
      <x:c r="B180" t="str">
        <x:v>buying</x:v>
      </x:c>
      <x:c r="C180" t="str">
        <x:v>easy</x:v>
      </x:c>
      <x:c r="D180" t="str">
        <x:v>comfort</x:v>
      </x:c>
    </x:row>
    <x:row r="181">
      <x:c r="A181" t="str">
        <x:v>public_0054</x:v>
      </x:c>
      <x:c r="B181" t="str">
        <x:v>buying</x:v>
      </x:c>
      <x:c r="C181" t="str">
        <x:v>easy</x:v>
      </x:c>
      <x:c r="D181" t="str">
        <x:v>durability</x:v>
      </x:c>
    </x:row>
    <x:row r="182">
      <x:c r="A182" t="str">
        <x:v>public_0054</x:v>
      </x:c>
      <x:c r="B182" t="str">
        <x:v>buying</x:v>
      </x:c>
      <x:c r="C182" t="str">
        <x:v>easy</x:v>
      </x:c>
      <x:c r="D182" t="str">
        <x:v>style</x:v>
      </x:c>
    </x:row>
    <x:row r="183">
      <x:c r="A183" t="str">
        <x:v>public_0055</x:v>
      </x:c>
      <x:c r="B183" t="str">
        <x:v>browsing</x:v>
      </x:c>
      <x:c r="C183" t="str">
        <x:v>medium</x:v>
      </x:c>
      <x:c r="D183" t="str">
        <x:v>fit</x:v>
      </x:c>
    </x:row>
    <x:row r="184">
      <x:c r="A184" t="str">
        <x:v>public_0055</x:v>
      </x:c>
      <x:c r="B184" t="str">
        <x:v>browsing</x:v>
      </x:c>
      <x:c r="C184" t="str">
        <x:v>medium</x:v>
      </x:c>
      <x:c r="D184" t="str">
        <x:v>comfort</x:v>
      </x:c>
    </x:row>
    <x:row r="185">
      <x:c r="A185" t="str">
        <x:v>public_0055</x:v>
      </x:c>
      <x:c r="B185" t="str">
        <x:v>browsing</x:v>
      </x:c>
      <x:c r="C185" t="str">
        <x:v>medium</x:v>
      </x:c>
      <x:c r="D185" t="str">
        <x:v>material</x:v>
      </x:c>
    </x:row>
    <x:row r="186">
      <x:c r="A186" t="str">
        <x:v>public_0055</x:v>
      </x:c>
      <x:c r="B186" t="str">
        <x:v>browsing</x:v>
      </x:c>
      <x:c r="C186" t="str">
        <x:v>medium</x:v>
      </x:c>
      <x:c r="D186" t="str">
        <x:v>style</x:v>
      </x:c>
    </x:row>
    <x:row r="187">
      <x:c r="A187" t="str">
        <x:v>public_0056</x:v>
      </x:c>
      <x:c r="B187" t="str">
        <x:v>browsing</x:v>
      </x:c>
      <x:c r="C187" t="str">
        <x:v>medium</x:v>
      </x:c>
      <x:c r="D187" t="str">
        <x:v>fit</x:v>
      </x:c>
    </x:row>
    <x:row r="188">
      <x:c r="A188" t="str">
        <x:v>public_0056</x:v>
      </x:c>
      <x:c r="B188" t="str">
        <x:v>browsing</x:v>
      </x:c>
      <x:c r="C188" t="str">
        <x:v>medium</x:v>
      </x:c>
      <x:c r="D188" t="str">
        <x:v>durability</x:v>
      </x:c>
    </x:row>
    <x:row r="189">
      <x:c r="A189" t="str">
        <x:v>public_0056</x:v>
      </x:c>
      <x:c r="B189" t="str">
        <x:v>browsing</x:v>
      </x:c>
      <x:c r="C189" t="str">
        <x:v>medium</x:v>
      </x:c>
      <x:c r="D189" t="str">
        <x:v>style</x:v>
      </x:c>
    </x:row>
    <x:row r="190">
      <x:c r="A190" t="str">
        <x:v>public_0056</x:v>
      </x:c>
      <x:c r="B190" t="str">
        <x:v>browsing</x:v>
      </x:c>
      <x:c r="C190" t="str">
        <x:v>medium</x:v>
      </x:c>
      <x:c r="D190" t="str">
        <x:v>material</x:v>
      </x:c>
    </x:row>
    <x:row r="191">
      <x:c r="A191" t="str">
        <x:v>public_0057</x:v>
      </x:c>
      <x:c r="B191" t="str">
        <x:v>browsing</x:v>
      </x:c>
      <x:c r="C191" t="str">
        <x:v>medium</x:v>
      </x:c>
      <x:c r="D191" t="str">
        <x:v>general shopping</x:v>
      </x:c>
    </x:row>
    <x:row r="192">
      <x:c r="A192" t="str">
        <x:v>public_0058</x:v>
      </x:c>
      <x:c r="B192" t="str">
        <x:v>buying</x:v>
      </x:c>
      <x:c r="C192" t="str">
        <x:v>easy</x:v>
      </x:c>
      <x:c r="D192" t="str">
        <x:v>material</x:v>
      </x:c>
    </x:row>
    <x:row r="193">
      <x:c r="A193" t="str">
        <x:v>public_0058</x:v>
      </x:c>
      <x:c r="B193" t="str">
        <x:v>buying</x:v>
      </x:c>
      <x:c r="C193" t="str">
        <x:v>easy</x:v>
      </x:c>
      <x:c r="D193" t="str">
        <x:v>durability</x:v>
      </x:c>
    </x:row>
    <x:row r="194">
      <x:c r="A194" t="str">
        <x:v>public_0058</x:v>
      </x:c>
      <x:c r="B194" t="str">
        <x:v>buying</x:v>
      </x:c>
      <x:c r="C194" t="str">
        <x:v>easy</x:v>
      </x:c>
      <x:c r="D194" t="str">
        <x:v>fit</x:v>
      </x:c>
    </x:row>
    <x:row r="195">
      <x:c r="A195" t="str">
        <x:v>public_0058</x:v>
      </x:c>
      <x:c r="B195" t="str">
        <x:v>buying</x:v>
      </x:c>
      <x:c r="C195" t="str">
        <x:v>easy</x:v>
      </x:c>
      <x:c r="D195" t="str">
        <x:v>comfort</x:v>
      </x:c>
    </x:row>
    <x:row r="196">
      <x:c r="A196" t="str">
        <x:v>public_0059</x:v>
      </x:c>
      <x:c r="B196" t="str">
        <x:v>browsing</x:v>
      </x:c>
      <x:c r="C196" t="str">
        <x:v>medium</x:v>
      </x:c>
      <x:c r="D196" t="str">
        <x:v>fit</x:v>
      </x:c>
    </x:row>
    <x:row r="197">
      <x:c r="A197" t="str">
        <x:v>public_0059</x:v>
      </x:c>
      <x:c r="B197" t="str">
        <x:v>browsing</x:v>
      </x:c>
      <x:c r="C197" t="str">
        <x:v>medium</x:v>
      </x:c>
      <x:c r="D197" t="str">
        <x:v>style</x:v>
      </x:c>
    </x:row>
    <x:row r="198">
      <x:c r="A198" t="str">
        <x:v>public_0059</x:v>
      </x:c>
      <x:c r="B198" t="str">
        <x:v>browsing</x:v>
      </x:c>
      <x:c r="C198" t="str">
        <x:v>medium</x:v>
      </x:c>
      <x:c r="D198" t="str">
        <x:v>material</x:v>
      </x:c>
    </x:row>
    <x:row r="199">
      <x:c r="A199" t="str">
        <x:v>public_0059</x:v>
      </x:c>
      <x:c r="B199" t="str">
        <x:v>browsing</x:v>
      </x:c>
      <x:c r="C199" t="str">
        <x:v>medium</x:v>
      </x:c>
      <x:c r="D199" t="str">
        <x:v>comfort</x:v>
      </x:c>
    </x:row>
    <x:row r="200">
      <x:c r="A200" t="str">
        <x:v>public_0060</x:v>
      </x:c>
      <x:c r="B200" t="str">
        <x:v>browsing</x:v>
      </x:c>
      <x:c r="C200" t="str">
        <x:v>medium</x:v>
      </x:c>
      <x:c r="D200" t="str">
        <x:v>material</x:v>
      </x:c>
    </x:row>
    <x:row r="201">
      <x:c r="A201" t="str">
        <x:v>public_0060</x:v>
      </x:c>
      <x:c r="B201" t="str">
        <x:v>browsing</x:v>
      </x:c>
      <x:c r="C201" t="str">
        <x:v>medium</x:v>
      </x:c>
      <x:c r="D201" t="str">
        <x:v>fit</x:v>
      </x:c>
    </x:row>
    <x:row r="202">
      <x:c r="A202" t="str">
        <x:v>public_0060</x:v>
      </x:c>
      <x:c r="B202" t="str">
        <x:v>browsing</x:v>
      </x:c>
      <x:c r="C202" t="str">
        <x:v>medium</x:v>
      </x:c>
      <x:c r="D202" t="str">
        <x:v>style</x:v>
      </x:c>
    </x:row>
    <x:row r="203">
      <x:c r="A203" t="str">
        <x:v>public_0060</x:v>
      </x:c>
      <x:c r="B203" t="str">
        <x:v>browsing</x:v>
      </x:c>
      <x:c r="C203" t="str">
        <x:v>medium</x:v>
      </x:c>
      <x:c r="D203" t="str">
        <x:v>warmth</x:v>
      </x:c>
    </x:row>
    <x:row r="204">
      <x:c r="A204" t="str">
        <x:v>public_0061</x:v>
      </x:c>
      <x:c r="B204" t="str">
        <x:v>buying</x:v>
      </x:c>
      <x:c r="C204" t="str">
        <x:v>easy</x:v>
      </x:c>
      <x:c r="D204" t="str">
        <x:v>material</x:v>
      </x:c>
    </x:row>
    <x:row r="205">
      <x:c r="A205" t="str">
        <x:v>public_0061</x:v>
      </x:c>
      <x:c r="B205" t="str">
        <x:v>buying</x:v>
      </x:c>
      <x:c r="C205" t="str">
        <x:v>easy</x:v>
      </x:c>
      <x:c r="D205" t="str">
        <x:v>comfort</x:v>
      </x:c>
    </x:row>
    <x:row r="206">
      <x:c r="A206" t="str">
        <x:v>public_0062</x:v>
      </x:c>
      <x:c r="B206" t="str">
        <x:v>browsing</x:v>
      </x:c>
      <x:c r="C206" t="str">
        <x:v>medium</x:v>
      </x:c>
      <x:c r="D206" t="str">
        <x:v>style</x:v>
      </x:c>
    </x:row>
    <x:row r="207">
      <x:c r="A207" t="str">
        <x:v>public_0063</x:v>
      </x:c>
      <x:c r="B207" t="str">
        <x:v>browsing</x:v>
      </x:c>
      <x:c r="C207" t="str">
        <x:v>medium</x:v>
      </x:c>
      <x:c r="D207" t="str">
        <x:v>comfort</x:v>
      </x:c>
    </x:row>
    <x:row r="208">
      <x:c r="A208" t="str">
        <x:v>public_0063</x:v>
      </x:c>
      <x:c r="B208" t="str">
        <x:v>browsing</x:v>
      </x:c>
      <x:c r="C208" t="str">
        <x:v>medium</x:v>
      </x:c>
      <x:c r="D208" t="str">
        <x:v>fit</x:v>
      </x:c>
    </x:row>
    <x:row r="209">
      <x:c r="A209" t="str">
        <x:v>public_0063</x:v>
      </x:c>
      <x:c r="B209" t="str">
        <x:v>browsing</x:v>
      </x:c>
      <x:c r="C209" t="str">
        <x:v>medium</x:v>
      </x:c>
      <x:c r="D209" t="str">
        <x:v>style</x:v>
      </x:c>
    </x:row>
    <x:row r="210">
      <x:c r="A210" t="str">
        <x:v>public_0063</x:v>
      </x:c>
      <x:c r="B210" t="str">
        <x:v>browsing</x:v>
      </x:c>
      <x:c r="C210" t="str">
        <x:v>medium</x:v>
      </x:c>
      <x:c r="D210" t="str">
        <x:v>durability</x:v>
      </x:c>
    </x:row>
    <x:row r="211">
      <x:c r="A211" t="str">
        <x:v>public_0064</x:v>
      </x:c>
      <x:c r="B211" t="str">
        <x:v>intent_override</x:v>
      </x:c>
      <x:c r="C211" t="str">
        <x:v>hard</x:v>
      </x:c>
      <x:c r="D211" t="str">
        <x:v>comfort</x:v>
      </x:c>
    </x:row>
    <x:row r="212">
      <x:c r="A212" t="str">
        <x:v>public_0064</x:v>
      </x:c>
      <x:c r="B212" t="str">
        <x:v>intent_override</x:v>
      </x:c>
      <x:c r="C212" t="str">
        <x:v>hard</x:v>
      </x:c>
      <x:c r="D212" t="str">
        <x:v>performance</x:v>
      </x:c>
    </x:row>
    <x:row r="213">
      <x:c r="A213" t="str">
        <x:v>public_0064</x:v>
      </x:c>
      <x:c r="B213" t="str">
        <x:v>intent_override</x:v>
      </x:c>
      <x:c r="C213" t="str">
        <x:v>hard</x:v>
      </x:c>
      <x:c r="D213" t="str">
        <x:v>durability</x:v>
      </x:c>
    </x:row>
    <x:row r="214">
      <x:c r="A214" t="str">
        <x:v>public_0064</x:v>
      </x:c>
      <x:c r="B214" t="str">
        <x:v>intent_override</x:v>
      </x:c>
      <x:c r="C214" t="str">
        <x:v>hard</x:v>
      </x:c>
      <x:c r="D214" t="str">
        <x:v>style</x:v>
      </x:c>
    </x:row>
    <x:row r="215">
      <x:c r="A215" t="str">
        <x:v>public_0065</x:v>
      </x:c>
      <x:c r="B215" t="str">
        <x:v>buying</x:v>
      </x:c>
      <x:c r="C215" t="str">
        <x:v>easy</x:v>
      </x:c>
      <x:c r="D215" t="str">
        <x:v>material</x:v>
      </x:c>
    </x:row>
    <x:row r="216">
      <x:c r="A216" t="str">
        <x:v>public_0065</x:v>
      </x:c>
      <x:c r="B216" t="str">
        <x:v>buying</x:v>
      </x:c>
      <x:c r="C216" t="str">
        <x:v>easy</x:v>
      </x:c>
      <x:c r="D216" t="str">
        <x:v>fit</x:v>
      </x:c>
    </x:row>
    <x:row r="217">
      <x:c r="A217" t="str">
        <x:v>public_0065</x:v>
      </x:c>
      <x:c r="B217" t="str">
        <x:v>buying</x:v>
      </x:c>
      <x:c r="C217" t="str">
        <x:v>easy</x:v>
      </x:c>
      <x:c r="D217" t="str">
        <x:v>comfort</x:v>
      </x:c>
    </x:row>
    <x:row r="218">
      <x:c r="A218" t="str">
        <x:v>public_0066</x:v>
      </x:c>
      <x:c r="B218" t="str">
        <x:v>buying</x:v>
      </x:c>
      <x:c r="C218" t="str">
        <x:v>easy</x:v>
      </x:c>
      <x:c r="D218" t="str">
        <x:v>fit</x:v>
      </x:c>
    </x:row>
    <x:row r="219">
      <x:c r="A219" t="str">
        <x:v>public_0066</x:v>
      </x:c>
      <x:c r="B219" t="str">
        <x:v>buying</x:v>
      </x:c>
      <x:c r="C219" t="str">
        <x:v>easy</x:v>
      </x:c>
      <x:c r="D219" t="str">
        <x:v>comfort</x:v>
      </x:c>
    </x:row>
    <x:row r="220">
      <x:c r="A220" t="str">
        <x:v>public_0066</x:v>
      </x:c>
      <x:c r="B220" t="str">
        <x:v>buying</x:v>
      </x:c>
      <x:c r="C220" t="str">
        <x:v>easy</x:v>
      </x:c>
      <x:c r="D220" t="str">
        <x:v>material</x:v>
      </x:c>
    </x:row>
    <x:row r="221">
      <x:c r="A221" t="str">
        <x:v>public_0066</x:v>
      </x:c>
      <x:c r="B221" t="str">
        <x:v>buying</x:v>
      </x:c>
      <x:c r="C221" t="str">
        <x:v>easy</x:v>
      </x:c>
      <x:c r="D221" t="str">
        <x:v>performance</x:v>
      </x:c>
    </x:row>
    <x:row r="222">
      <x:c r="A222" t="str">
        <x:v>public_0067</x:v>
      </x:c>
      <x:c r="B222" t="str">
        <x:v>buying</x:v>
      </x:c>
      <x:c r="C222" t="str">
        <x:v>easy</x:v>
      </x:c>
      <x:c r="D222" t="str">
        <x:v>comfort</x:v>
      </x:c>
    </x:row>
    <x:row r="223">
      <x:c r="A223" t="str">
        <x:v>public_0067</x:v>
      </x:c>
      <x:c r="B223" t="str">
        <x:v>buying</x:v>
      </x:c>
      <x:c r="C223" t="str">
        <x:v>easy</x:v>
      </x:c>
      <x:c r="D223" t="str">
        <x:v>style</x:v>
      </x:c>
    </x:row>
    <x:row r="224">
      <x:c r="A224" t="str">
        <x:v>public_0067</x:v>
      </x:c>
      <x:c r="B224" t="str">
        <x:v>buying</x:v>
      </x:c>
      <x:c r="C224" t="str">
        <x:v>easy</x:v>
      </x:c>
      <x:c r="D224" t="str">
        <x:v>material</x:v>
      </x:c>
    </x:row>
    <x:row r="225">
      <x:c r="A225" t="str">
        <x:v>public_0068</x:v>
      </x:c>
      <x:c r="B225" t="str">
        <x:v>intent_override</x:v>
      </x:c>
      <x:c r="C225" t="str">
        <x:v>hard</x:v>
      </x:c>
      <x:c r="D225" t="str">
        <x:v>fit</x:v>
      </x:c>
    </x:row>
    <x:row r="226">
      <x:c r="A226" t="str">
        <x:v>public_0068</x:v>
      </x:c>
      <x:c r="B226" t="str">
        <x:v>intent_override</x:v>
      </x:c>
      <x:c r="C226" t="str">
        <x:v>hard</x:v>
      </x:c>
      <x:c r="D226" t="str">
        <x:v>material</x:v>
      </x:c>
    </x:row>
    <x:row r="227">
      <x:c r="A227" t="str">
        <x:v>public_0068</x:v>
      </x:c>
      <x:c r="B227" t="str">
        <x:v>intent_override</x:v>
      </x:c>
      <x:c r="C227" t="str">
        <x:v>hard</x:v>
      </x:c>
      <x:c r="D227" t="str">
        <x:v>comfort</x:v>
      </x:c>
    </x:row>
    <x:row r="228">
      <x:c r="A228" t="str">
        <x:v>public_0068</x:v>
      </x:c>
      <x:c r="B228" t="str">
        <x:v>intent_override</x:v>
      </x:c>
      <x:c r="C228" t="str">
        <x:v>hard</x:v>
      </x:c>
      <x:c r="D228" t="str">
        <x:v>style</x:v>
      </x:c>
    </x:row>
    <x:row r="229">
      <x:c r="A229" t="str">
        <x:v>public_0069</x:v>
      </x:c>
      <x:c r="B229" t="str">
        <x:v>browsing</x:v>
      </x:c>
      <x:c r="C229" t="str">
        <x:v>medium</x:v>
      </x:c>
      <x:c r="D229" t="str">
        <x:v>warmth</x:v>
      </x:c>
    </x:row>
    <x:row r="230">
      <x:c r="A230" t="str">
        <x:v>public_0069</x:v>
      </x:c>
      <x:c r="B230" t="str">
        <x:v>browsing</x:v>
      </x:c>
      <x:c r="C230" t="str">
        <x:v>medium</x:v>
      </x:c>
      <x:c r="D230" t="str">
        <x:v>material</x:v>
      </x:c>
    </x:row>
    <x:row r="231">
      <x:c r="A231" t="str">
        <x:v>public_0069</x:v>
      </x:c>
      <x:c r="B231" t="str">
        <x:v>browsing</x:v>
      </x:c>
      <x:c r="C231" t="str">
        <x:v>medium</x:v>
      </x:c>
      <x:c r="D231" t="str">
        <x:v>comfort</x:v>
      </x:c>
    </x:row>
    <x:row r="232">
      <x:c r="A232" t="str">
        <x:v>public_0069</x:v>
      </x:c>
      <x:c r="B232" t="str">
        <x:v>browsing</x:v>
      </x:c>
      <x:c r="C232" t="str">
        <x:v>medium</x:v>
      </x:c>
      <x:c r="D232" t="str">
        <x:v>fit</x:v>
      </x:c>
    </x:row>
    <x:row r="233">
      <x:c r="A233" t="str">
        <x:v>public_0070</x:v>
      </x:c>
      <x:c r="B233" t="str">
        <x:v>browsing</x:v>
      </x:c>
      <x:c r="C233" t="str">
        <x:v>medium</x:v>
      </x:c>
      <x:c r="D233" t="str">
        <x:v>comfort</x:v>
      </x:c>
    </x:row>
    <x:row r="234">
      <x:c r="A234" t="str">
        <x:v>public_0070</x:v>
      </x:c>
      <x:c r="B234" t="str">
        <x:v>browsing</x:v>
      </x:c>
      <x:c r="C234" t="str">
        <x:v>medium</x:v>
      </x:c>
      <x:c r="D234" t="str">
        <x:v>style</x:v>
      </x:c>
    </x:row>
    <x:row r="235">
      <x:c r="A235" t="str">
        <x:v>public_0070</x:v>
      </x:c>
      <x:c r="B235" t="str">
        <x:v>browsing</x:v>
      </x:c>
      <x:c r="C235" t="str">
        <x:v>medium</x:v>
      </x:c>
      <x:c r="D235" t="str">
        <x:v>fit</x:v>
      </x:c>
    </x:row>
    <x:row r="236">
      <x:c r="A236" t="str">
        <x:v>public_0070</x:v>
      </x:c>
      <x:c r="B236" t="str">
        <x:v>browsing</x:v>
      </x:c>
      <x:c r="C236" t="str">
        <x:v>medium</x:v>
      </x:c>
      <x:c r="D236" t="str">
        <x:v>performance</x:v>
      </x:c>
    </x:row>
    <x:row r="237">
      <x:c r="A237" t="str">
        <x:v>public_0071</x:v>
      </x:c>
      <x:c r="B237" t="str">
        <x:v>intent_override</x:v>
      </x:c>
      <x:c r="C237" t="str">
        <x:v>hard</x:v>
      </x:c>
      <x:c r="D237" t="str">
        <x:v>material</x:v>
      </x:c>
    </x:row>
    <x:row r="238">
      <x:c r="A238" t="str">
        <x:v>public_0071</x:v>
      </x:c>
      <x:c r="B238" t="str">
        <x:v>intent_override</x:v>
      </x:c>
      <x:c r="C238" t="str">
        <x:v>hard</x:v>
      </x:c>
      <x:c r="D238" t="str">
        <x:v>performance</x:v>
      </x:c>
    </x:row>
    <x:row r="239">
      <x:c r="A239" t="str">
        <x:v>public_0071</x:v>
      </x:c>
      <x:c r="B239" t="str">
        <x:v>intent_override</x:v>
      </x:c>
      <x:c r="C239" t="str">
        <x:v>hard</x:v>
      </x:c>
      <x:c r="D239" t="str">
        <x:v>durability</x:v>
      </x:c>
    </x:row>
    <x:row r="240">
      <x:c r="A240" t="str">
        <x:v>public_0071</x:v>
      </x:c>
      <x:c r="B240" t="str">
        <x:v>intent_override</x:v>
      </x:c>
      <x:c r="C240" t="str">
        <x:v>hard</x:v>
      </x:c>
      <x:c r="D240" t="str">
        <x:v>style</x:v>
      </x:c>
    </x:row>
    <x:row r="241">
      <x:c r="A241" t="str">
        <x:v>public_0072</x:v>
      </x:c>
      <x:c r="B241" t="str">
        <x:v>intent_override</x:v>
      </x:c>
      <x:c r="C241" t="str">
        <x:v>hard</x:v>
      </x:c>
      <x:c r="D241" t="str">
        <x:v>fit</x:v>
      </x:c>
    </x:row>
    <x:row r="242">
      <x:c r="A242" t="str">
        <x:v>public_0072</x:v>
      </x:c>
      <x:c r="B242" t="str">
        <x:v>intent_override</x:v>
      </x:c>
      <x:c r="C242" t="str">
        <x:v>hard</x:v>
      </x:c>
      <x:c r="D242" t="str">
        <x:v>material</x:v>
      </x:c>
    </x:row>
    <x:row r="243">
      <x:c r="A243" t="str">
        <x:v>public_0072</x:v>
      </x:c>
      <x:c r="B243" t="str">
        <x:v>intent_override</x:v>
      </x:c>
      <x:c r="C243" t="str">
        <x:v>hard</x:v>
      </x:c>
      <x:c r="D243" t="str">
        <x:v>style</x:v>
      </x:c>
    </x:row>
    <x:row r="244">
      <x:c r="A244" t="str">
        <x:v>public_0073</x:v>
      </x:c>
      <x:c r="B244" t="str">
        <x:v>browsing</x:v>
      </x:c>
      <x:c r="C244" t="str">
        <x:v>medium</x:v>
      </x:c>
      <x:c r="D244" t="str">
        <x:v>fit</x:v>
      </x:c>
    </x:row>
    <x:row r="245">
      <x:c r="A245" t="str">
        <x:v>public_0073</x:v>
      </x:c>
      <x:c r="B245" t="str">
        <x:v>browsing</x:v>
      </x:c>
      <x:c r="C245" t="str">
        <x:v>medium</x:v>
      </x:c>
      <x:c r="D245" t="str">
        <x:v>material</x:v>
      </x:c>
    </x:row>
    <x:row r="246">
      <x:c r="A246" t="str">
        <x:v>public_0073</x:v>
      </x:c>
      <x:c r="B246" t="str">
        <x:v>browsing</x:v>
      </x:c>
      <x:c r="C246" t="str">
        <x:v>medium</x:v>
      </x:c>
      <x:c r="D246" t="str">
        <x:v>comfort</x:v>
      </x:c>
    </x:row>
    <x:row r="247">
      <x:c r="A247" t="str">
        <x:v>public_0073</x:v>
      </x:c>
      <x:c r="B247" t="str">
        <x:v>browsing</x:v>
      </x:c>
      <x:c r="C247" t="str">
        <x:v>medium</x:v>
      </x:c>
      <x:c r="D247" t="str">
        <x:v>style</x:v>
      </x:c>
    </x:row>
    <x:row r="248">
      <x:c r="A248" t="str">
        <x:v>public_0074</x:v>
      </x:c>
      <x:c r="B248" t="str">
        <x:v>browsing</x:v>
      </x:c>
      <x:c r="C248" t="str">
        <x:v>medium</x:v>
      </x:c>
      <x:c r="D248" t="str">
        <x:v>style</x:v>
      </x:c>
    </x:row>
    <x:row r="249">
      <x:c r="A249" t="str">
        <x:v>public_0075</x:v>
      </x:c>
      <x:c r="B249" t="str">
        <x:v>browsing</x:v>
      </x:c>
      <x:c r="C249" t="str">
        <x:v>medium</x:v>
      </x:c>
      <x:c r="D249" t="str">
        <x:v>material</x:v>
      </x:c>
    </x:row>
    <x:row r="250">
      <x:c r="A250" t="str">
        <x:v>public_0075</x:v>
      </x:c>
      <x:c r="B250" t="str">
        <x:v>browsing</x:v>
      </x:c>
      <x:c r="C250" t="str">
        <x:v>medium</x:v>
      </x:c>
      <x:c r="D250" t="str">
        <x:v>comfort</x:v>
      </x:c>
    </x:row>
    <x:row r="251">
      <x:c r="A251" t="str">
        <x:v>public_0075</x:v>
      </x:c>
      <x:c r="B251" t="str">
        <x:v>browsing</x:v>
      </x:c>
      <x:c r="C251" t="str">
        <x:v>medium</x:v>
      </x:c>
      <x:c r="D251" t="str">
        <x:v>fit</x:v>
      </x:c>
    </x:row>
    <x:row r="252">
      <x:c r="A252" t="str">
        <x:v>public_0075</x:v>
      </x:c>
      <x:c r="B252" t="str">
        <x:v>browsing</x:v>
      </x:c>
      <x:c r="C252" t="str">
        <x:v>medium</x:v>
      </x:c>
      <x:c r="D252" t="str">
        <x:v>style</x:v>
      </x:c>
    </x:row>
    <x:row r="253">
      <x:c r="A253" t="str">
        <x:v>public_0076</x:v>
      </x:c>
      <x:c r="B253" t="str">
        <x:v>browsing</x:v>
      </x:c>
      <x:c r="C253" t="str">
        <x:v>medium</x:v>
      </x:c>
      <x:c r="D253" t="str">
        <x:v>style</x:v>
      </x:c>
    </x:row>
    <x:row r="254">
      <x:c r="A254" t="str">
        <x:v>public_0076</x:v>
      </x:c>
      <x:c r="B254" t="str">
        <x:v>browsing</x:v>
      </x:c>
      <x:c r="C254" t="str">
        <x:v>medium</x:v>
      </x:c>
      <x:c r="D254" t="str">
        <x:v>comfort</x:v>
      </x:c>
    </x:row>
    <x:row r="255">
      <x:c r="A255" t="str">
        <x:v>public_0076</x:v>
      </x:c>
      <x:c r="B255" t="str">
        <x:v>browsing</x:v>
      </x:c>
      <x:c r="C255" t="str">
        <x:v>medium</x:v>
      </x:c>
      <x:c r="D255" t="str">
        <x:v>performance</x:v>
      </x:c>
    </x:row>
    <x:row r="256">
      <x:c r="A256" t="str">
        <x:v>public_0076</x:v>
      </x:c>
      <x:c r="B256" t="str">
        <x:v>browsing</x:v>
      </x:c>
      <x:c r="C256" t="str">
        <x:v>medium</x:v>
      </x:c>
      <x:c r="D256" t="str">
        <x:v>fit</x:v>
      </x:c>
    </x:row>
    <x:row r="257">
      <x:c r="A257" t="str">
        <x:v>public_0077</x:v>
      </x:c>
      <x:c r="B257" t="str">
        <x:v>browsing</x:v>
      </x:c>
      <x:c r="C257" t="str">
        <x:v>medium</x:v>
      </x:c>
      <x:c r="D257" t="str">
        <x:v>material</x:v>
      </x:c>
    </x:row>
    <x:row r="258">
      <x:c r="A258" t="str">
        <x:v>public_0077</x:v>
      </x:c>
      <x:c r="B258" t="str">
        <x:v>browsing</x:v>
      </x:c>
      <x:c r="C258" t="str">
        <x:v>medium</x:v>
      </x:c>
      <x:c r="D258" t="str">
        <x:v>fit</x:v>
      </x:c>
    </x:row>
    <x:row r="259">
      <x:c r="A259" t="str">
        <x:v>public_0078</x:v>
      </x:c>
      <x:c r="B259" t="str">
        <x:v>intent_override</x:v>
      </x:c>
      <x:c r="C259" t="str">
        <x:v>hard</x:v>
      </x:c>
      <x:c r="D259" t="str">
        <x:v>material</x:v>
      </x:c>
    </x:row>
    <x:row r="260">
      <x:c r="A260" t="str">
        <x:v>public_0078</x:v>
      </x:c>
      <x:c r="B260" t="str">
        <x:v>intent_override</x:v>
      </x:c>
      <x:c r="C260" t="str">
        <x:v>hard</x:v>
      </x:c>
      <x:c r="D260" t="str">
        <x:v>fit</x:v>
      </x:c>
    </x:row>
    <x:row r="261">
      <x:c r="A261" t="str">
        <x:v>public_0078</x:v>
      </x:c>
      <x:c r="B261" t="str">
        <x:v>intent_override</x:v>
      </x:c>
      <x:c r="C261" t="str">
        <x:v>hard</x:v>
      </x:c>
      <x:c r="D261" t="str">
        <x:v>style</x:v>
      </x:c>
    </x:row>
    <x:row r="262">
      <x:c r="A262" t="str">
        <x:v>public_0079</x:v>
      </x:c>
      <x:c r="B262" t="str">
        <x:v>browsing</x:v>
      </x:c>
      <x:c r="C262" t="str">
        <x:v>medium</x:v>
      </x:c>
      <x:c r="D262" t="str">
        <x:v>style</x:v>
      </x:c>
    </x:row>
    <x:row r="263">
      <x:c r="A263" t="str">
        <x:v>public_0079</x:v>
      </x:c>
      <x:c r="B263" t="str">
        <x:v>browsing</x:v>
      </x:c>
      <x:c r="C263" t="str">
        <x:v>medium</x:v>
      </x:c>
      <x:c r="D263" t="str">
        <x:v>fit</x:v>
      </x:c>
    </x:row>
    <x:row r="264">
      <x:c r="A264" t="str">
        <x:v>public_0079</x:v>
      </x:c>
      <x:c r="B264" t="str">
        <x:v>browsing</x:v>
      </x:c>
      <x:c r="C264" t="str">
        <x:v>medium</x:v>
      </x:c>
      <x:c r="D264" t="str">
        <x:v>comfort</x:v>
      </x:c>
    </x:row>
    <x:row r="265">
      <x:c r="A265" t="str">
        <x:v>public_0079</x:v>
      </x:c>
      <x:c r="B265" t="str">
        <x:v>browsing</x:v>
      </x:c>
      <x:c r="C265" t="str">
        <x:v>medium</x:v>
      </x:c>
      <x:c r="D265" t="str">
        <x:v>durability</x:v>
      </x:c>
    </x:row>
    <x:row r="266">
      <x:c r="A266" t="str">
        <x:v>public_0080</x:v>
      </x:c>
      <x:c r="B266" t="str">
        <x:v>intent_override</x:v>
      </x:c>
      <x:c r="C266" t="str">
        <x:v>hard</x:v>
      </x:c>
      <x:c r="D266" t="str">
        <x:v>durability</x:v>
      </x:c>
    </x:row>
    <x:row r="267">
      <x:c r="A267" t="str">
        <x:v>public_0080</x:v>
      </x:c>
      <x:c r="B267" t="str">
        <x:v>intent_override</x:v>
      </x:c>
      <x:c r="C267" t="str">
        <x:v>hard</x:v>
      </x:c>
      <x:c r="D267" t="str">
        <x:v>material</x:v>
      </x:c>
    </x:row>
    <x:row r="268">
      <x:c r="A268" t="str">
        <x:v>public_0080</x:v>
      </x:c>
      <x:c r="B268" t="str">
        <x:v>intent_override</x:v>
      </x:c>
      <x:c r="C268" t="str">
        <x:v>hard</x:v>
      </x:c>
      <x:c r="D268" t="str">
        <x:v>comfort</x:v>
      </x:c>
    </x:row>
    <x:row r="269">
      <x:c r="A269" t="str">
        <x:v>public_0080</x:v>
      </x:c>
      <x:c r="B269" t="str">
        <x:v>intent_override</x:v>
      </x:c>
      <x:c r="C269" t="str">
        <x:v>hard</x:v>
      </x:c>
      <x:c r="D269" t="str">
        <x:v>fit</x:v>
      </x:c>
    </x:row>
    <x:row r="270">
      <x:c r="A270" t="str">
        <x:v>public_0081</x:v>
      </x:c>
      <x:c r="B270" t="str">
        <x:v>browsing</x:v>
      </x:c>
      <x:c r="C270" t="str">
        <x:v>medium</x:v>
      </x:c>
      <x:c r="D270" t="str">
        <x:v>fit</x:v>
      </x:c>
    </x:row>
    <x:row r="271">
      <x:c r="A271" t="str">
        <x:v>public_0081</x:v>
      </x:c>
      <x:c r="B271" t="str">
        <x:v>browsing</x:v>
      </x:c>
      <x:c r="C271" t="str">
        <x:v>medium</x:v>
      </x:c>
      <x:c r="D271" t="str">
        <x:v>material</x:v>
      </x:c>
    </x:row>
    <x:row r="272">
      <x:c r="A272" t="str">
        <x:v>public_0081</x:v>
      </x:c>
      <x:c r="B272" t="str">
        <x:v>browsing</x:v>
      </x:c>
      <x:c r="C272" t="str">
        <x:v>medium</x:v>
      </x:c>
      <x:c r="D272" t="str">
        <x:v>style</x:v>
      </x:c>
    </x:row>
    <x:row r="273">
      <x:c r="A273" t="str">
        <x:v>public_0081</x:v>
      </x:c>
      <x:c r="B273" t="str">
        <x:v>browsing</x:v>
      </x:c>
      <x:c r="C273" t="str">
        <x:v>medium</x:v>
      </x:c>
      <x:c r="D273" t="str">
        <x:v>durability</x:v>
      </x:c>
    </x:row>
    <x:row r="274">
      <x:c r="A274" t="str">
        <x:v>public_0082</x:v>
      </x:c>
      <x:c r="B274" t="str">
        <x:v>buying</x:v>
      </x:c>
      <x:c r="C274" t="str">
        <x:v>easy</x:v>
      </x:c>
      <x:c r="D274" t="str">
        <x:v>material</x:v>
      </x:c>
    </x:row>
    <x:row r="275">
      <x:c r="A275" t="str">
        <x:v>public_0082</x:v>
      </x:c>
      <x:c r="B275" t="str">
        <x:v>buying</x:v>
      </x:c>
      <x:c r="C275" t="str">
        <x:v>easy</x:v>
      </x:c>
      <x:c r="D275" t="str">
        <x:v>fit</x:v>
      </x:c>
    </x:row>
    <x:row r="276">
      <x:c r="A276" t="str">
        <x:v>public_0083</x:v>
      </x:c>
      <x:c r="B276" t="str">
        <x:v>buying</x:v>
      </x:c>
      <x:c r="C276" t="str">
        <x:v>easy</x:v>
      </x:c>
      <x:c r="D276" t="str">
        <x:v>fit</x:v>
      </x:c>
    </x:row>
    <x:row r="277">
      <x:c r="A277" t="str">
        <x:v>public_0083</x:v>
      </x:c>
      <x:c r="B277" t="str">
        <x:v>buying</x:v>
      </x:c>
      <x:c r="C277" t="str">
        <x:v>easy</x:v>
      </x:c>
      <x:c r="D277" t="str">
        <x:v>material</x:v>
      </x:c>
    </x:row>
    <x:row r="278">
      <x:c r="A278" t="str">
        <x:v>public_0083</x:v>
      </x:c>
      <x:c r="B278" t="str">
        <x:v>buying</x:v>
      </x:c>
      <x:c r="C278" t="str">
        <x:v>easy</x:v>
      </x:c>
      <x:c r="D278" t="str">
        <x:v>comfort</x:v>
      </x:c>
    </x:row>
    <x:row r="279">
      <x:c r="A279" t="str">
        <x:v>public_0083</x:v>
      </x:c>
      <x:c r="B279" t="str">
        <x:v>buying</x:v>
      </x:c>
      <x:c r="C279" t="str">
        <x:v>easy</x:v>
      </x:c>
      <x:c r="D279" t="str">
        <x:v>style</x:v>
      </x:c>
    </x:row>
    <x:row r="280">
      <x:c r="A280" t="str">
        <x:v>public_0084</x:v>
      </x:c>
      <x:c r="B280" t="str">
        <x:v>intent_override</x:v>
      </x:c>
      <x:c r="C280" t="str">
        <x:v>hard</x:v>
      </x:c>
      <x:c r="D280" t="str">
        <x:v>material</x:v>
      </x:c>
    </x:row>
    <x:row r="281">
      <x:c r="A281" t="str">
        <x:v>public_0084</x:v>
      </x:c>
      <x:c r="B281" t="str">
        <x:v>intent_override</x:v>
      </x:c>
      <x:c r="C281" t="str">
        <x:v>hard</x:v>
      </x:c>
      <x:c r="D281" t="str">
        <x:v>comfort</x:v>
      </x:c>
    </x:row>
    <x:row r="282">
      <x:c r="A282" t="str">
        <x:v>public_0084</x:v>
      </x:c>
      <x:c r="B282" t="str">
        <x:v>intent_override</x:v>
      </x:c>
      <x:c r="C282" t="str">
        <x:v>hard</x:v>
      </x:c>
      <x:c r="D282" t="str">
        <x:v>fit</x:v>
      </x:c>
    </x:row>
    <x:row r="283">
      <x:c r="A283" t="str">
        <x:v>public_0084</x:v>
      </x:c>
      <x:c r="B283" t="str">
        <x:v>intent_override</x:v>
      </x:c>
      <x:c r="C283" t="str">
        <x:v>hard</x:v>
      </x:c>
      <x:c r="D283" t="str">
        <x:v>performance</x:v>
      </x:c>
    </x:row>
    <x:row r="284">
      <x:c r="A284" t="str">
        <x:v>public_0085</x:v>
      </x:c>
      <x:c r="B284" t="str">
        <x:v>browsing</x:v>
      </x:c>
      <x:c r="C284" t="str">
        <x:v>medium</x:v>
      </x:c>
      <x:c r="D284" t="str">
        <x:v>fit</x:v>
      </x:c>
    </x:row>
    <x:row r="285">
      <x:c r="A285" t="str">
        <x:v>public_0085</x:v>
      </x:c>
      <x:c r="B285" t="str">
        <x:v>browsing</x:v>
      </x:c>
      <x:c r="C285" t="str">
        <x:v>medium</x:v>
      </x:c>
      <x:c r="D285" t="str">
        <x:v>comfort</x:v>
      </x:c>
    </x:row>
    <x:row r="286">
      <x:c r="A286" t="str">
        <x:v>public_0085</x:v>
      </x:c>
      <x:c r="B286" t="str">
        <x:v>browsing</x:v>
      </x:c>
      <x:c r="C286" t="str">
        <x:v>medium</x:v>
      </x:c>
      <x:c r="D286" t="str">
        <x:v>material</x:v>
      </x:c>
    </x:row>
    <x:row r="287">
      <x:c r="A287" t="str">
        <x:v>public_0085</x:v>
      </x:c>
      <x:c r="B287" t="str">
        <x:v>browsing</x:v>
      </x:c>
      <x:c r="C287" t="str">
        <x:v>medium</x:v>
      </x:c>
      <x:c r="D287" t="str">
        <x:v>durability</x:v>
      </x:c>
    </x:row>
    <x:row r="288">
      <x:c r="A288" t="str">
        <x:v>public_0086</x:v>
      </x:c>
      <x:c r="B288" t="str">
        <x:v>browsing</x:v>
      </x:c>
      <x:c r="C288" t="str">
        <x:v>medium</x:v>
      </x:c>
      <x:c r="D288" t="str">
        <x:v>comfort</x:v>
      </x:c>
    </x:row>
    <x:row r="289">
      <x:c r="A289" t="str">
        <x:v>public_0086</x:v>
      </x:c>
      <x:c r="B289" t="str">
        <x:v>browsing</x:v>
      </x:c>
      <x:c r="C289" t="str">
        <x:v>medium</x:v>
      </x:c>
      <x:c r="D289" t="str">
        <x:v>material</x:v>
      </x:c>
    </x:row>
    <x:row r="290">
      <x:c r="A290" t="str">
        <x:v>public_0086</x:v>
      </x:c>
      <x:c r="B290" t="str">
        <x:v>browsing</x:v>
      </x:c>
      <x:c r="C290" t="str">
        <x:v>medium</x:v>
      </x:c>
      <x:c r="D290" t="str">
        <x:v>fit</x:v>
      </x:c>
    </x:row>
    <x:row r="291">
      <x:c r="A291" t="str">
        <x:v>public_0086</x:v>
      </x:c>
      <x:c r="B291" t="str">
        <x:v>browsing</x:v>
      </x:c>
      <x:c r="C291" t="str">
        <x:v>medium</x:v>
      </x:c>
      <x:c r="D291" t="str">
        <x:v>durability</x:v>
      </x:c>
    </x:row>
    <x:row r="292">
      <x:c r="A292" t="str">
        <x:v>public_0087</x:v>
      </x:c>
      <x:c r="B292" t="str">
        <x:v>browsing</x:v>
      </x:c>
      <x:c r="C292" t="str">
        <x:v>medium</x:v>
      </x:c>
      <x:c r="D292" t="str">
        <x:v>material</x:v>
      </x:c>
    </x:row>
    <x:row r="293">
      <x:c r="A293" t="str">
        <x:v>public_0087</x:v>
      </x:c>
      <x:c r="B293" t="str">
        <x:v>browsing</x:v>
      </x:c>
      <x:c r="C293" t="str">
        <x:v>medium</x:v>
      </x:c>
      <x:c r="D293" t="str">
        <x:v>fit</x:v>
      </x:c>
    </x:row>
    <x:row r="294">
      <x:c r="A294" t="str">
        <x:v>public_0087</x:v>
      </x:c>
      <x:c r="B294" t="str">
        <x:v>browsing</x:v>
      </x:c>
      <x:c r="C294" t="str">
        <x:v>medium</x:v>
      </x:c>
      <x:c r="D294" t="str">
        <x:v>comfort</x:v>
      </x:c>
    </x:row>
    <x:row r="295">
      <x:c r="A295" t="str">
        <x:v>public_0088</x:v>
      </x:c>
      <x:c r="B295" t="str">
        <x:v>buying</x:v>
      </x:c>
      <x:c r="C295" t="str">
        <x:v>easy</x:v>
      </x:c>
      <x:c r="D295" t="str">
        <x:v>comfort</x:v>
      </x:c>
    </x:row>
    <x:row r="296">
      <x:c r="A296" t="str">
        <x:v>public_0088</x:v>
      </x:c>
      <x:c r="B296" t="str">
        <x:v>buying</x:v>
      </x:c>
      <x:c r="C296" t="str">
        <x:v>easy</x:v>
      </x:c>
      <x:c r="D296" t="str">
        <x:v>fit</x:v>
      </x:c>
    </x:row>
    <x:row r="297">
      <x:c r="A297" t="str">
        <x:v>public_0088</x:v>
      </x:c>
      <x:c r="B297" t="str">
        <x:v>buying</x:v>
      </x:c>
      <x:c r="C297" t="str">
        <x:v>easy</x:v>
      </x:c>
      <x:c r="D297" t="str">
        <x:v>durability</x:v>
      </x:c>
    </x:row>
    <x:row r="298">
      <x:c r="A298" t="str">
        <x:v>public_0088</x:v>
      </x:c>
      <x:c r="B298" t="str">
        <x:v>buying</x:v>
      </x:c>
      <x:c r="C298" t="str">
        <x:v>easy</x:v>
      </x:c>
      <x:c r="D298" t="str">
        <x:v>style</x:v>
      </x:c>
    </x:row>
    <x:row r="299">
      <x:c r="A299" t="str">
        <x:v>public_0089</x:v>
      </x:c>
      <x:c r="B299" t="str">
        <x:v>intent_override</x:v>
      </x:c>
      <x:c r="C299" t="str">
        <x:v>hard</x:v>
      </x:c>
      <x:c r="D299" t="str">
        <x:v>comfort</x:v>
      </x:c>
    </x:row>
    <x:row r="300">
      <x:c r="A300" t="str">
        <x:v>public_0089</x:v>
      </x:c>
      <x:c r="B300" t="str">
        <x:v>intent_override</x:v>
      </x:c>
      <x:c r="C300" t="str">
        <x:v>hard</x:v>
      </x:c>
      <x:c r="D300" t="str">
        <x:v>style</x:v>
      </x:c>
    </x:row>
    <x:row r="301">
      <x:c r="A301" t="str">
        <x:v>public_0089</x:v>
      </x:c>
      <x:c r="B301" t="str">
        <x:v>intent_override</x:v>
      </x:c>
      <x:c r="C301" t="str">
        <x:v>hard</x:v>
      </x:c>
      <x:c r="D301" t="str">
        <x:v>fit</x:v>
      </x:c>
    </x:row>
    <x:row r="302">
      <x:c r="A302" t="str">
        <x:v>public_0089</x:v>
      </x:c>
      <x:c r="B302" t="str">
        <x:v>intent_override</x:v>
      </x:c>
      <x:c r="C302" t="str">
        <x:v>hard</x:v>
      </x:c>
      <x:c r="D302" t="str">
        <x:v>durability</x:v>
      </x:c>
    </x:row>
    <x:row r="303">
      <x:c r="A303" t="str">
        <x:v>public_0090</x:v>
      </x:c>
      <x:c r="B303" t="str">
        <x:v>buying</x:v>
      </x:c>
      <x:c r="C303" t="str">
        <x:v>easy</x:v>
      </x:c>
      <x:c r="D303" t="str">
        <x:v>material</x:v>
      </x:c>
    </x:row>
    <x:row r="304">
      <x:c r="A304" t="str">
        <x:v>public_0091</x:v>
      </x:c>
      <x:c r="B304" t="str">
        <x:v>browsing</x:v>
      </x:c>
      <x:c r="C304" t="str">
        <x:v>medium</x:v>
      </x:c>
      <x:c r="D304" t="str">
        <x:v>performance</x:v>
      </x:c>
    </x:row>
    <x:row r="305">
      <x:c r="A305" t="str">
        <x:v>public_0091</x:v>
      </x:c>
      <x:c r="B305" t="str">
        <x:v>browsing</x:v>
      </x:c>
      <x:c r="C305" t="str">
        <x:v>medium</x:v>
      </x:c>
      <x:c r="D305" t="str">
        <x:v>comfort</x:v>
      </x:c>
    </x:row>
    <x:row r="306">
      <x:c r="A306" t="str">
        <x:v>public_0091</x:v>
      </x:c>
      <x:c r="B306" t="str">
        <x:v>browsing</x:v>
      </x:c>
      <x:c r="C306" t="str">
        <x:v>medium</x:v>
      </x:c>
      <x:c r="D306" t="str">
        <x:v>fit</x:v>
      </x:c>
    </x:row>
    <x:row r="307">
      <x:c r="A307" t="str">
        <x:v>public_0091</x:v>
      </x:c>
      <x:c r="B307" t="str">
        <x:v>browsing</x:v>
      </x:c>
      <x:c r="C307" t="str">
        <x:v>medium</x:v>
      </x:c>
      <x:c r="D307" t="str">
        <x:v>durability</x:v>
      </x:c>
    </x:row>
    <x:row r="308">
      <x:c r="A308" t="str">
        <x:v>public_0092</x:v>
      </x:c>
      <x:c r="B308" t="str">
        <x:v>browsing</x:v>
      </x:c>
      <x:c r="C308" t="str">
        <x:v>medium</x:v>
      </x:c>
      <x:c r="D308" t="str">
        <x:v>material</x:v>
      </x:c>
    </x:row>
    <x:row r="309">
      <x:c r="A309" t="str">
        <x:v>public_0092</x:v>
      </x:c>
      <x:c r="B309" t="str">
        <x:v>browsing</x:v>
      </x:c>
      <x:c r="C309" t="str">
        <x:v>medium</x:v>
      </x:c>
      <x:c r="D309" t="str">
        <x:v>comfort</x:v>
      </x:c>
    </x:row>
    <x:row r="310">
      <x:c r="A310" t="str">
        <x:v>public_0092</x:v>
      </x:c>
      <x:c r="B310" t="str">
        <x:v>browsing</x:v>
      </x:c>
      <x:c r="C310" t="str">
        <x:v>medium</x:v>
      </x:c>
      <x:c r="D310" t="str">
        <x:v>fit</x:v>
      </x:c>
    </x:row>
    <x:row r="311">
      <x:c r="A311" t="str">
        <x:v>public_0092</x:v>
      </x:c>
      <x:c r="B311" t="str">
        <x:v>browsing</x:v>
      </x:c>
      <x:c r="C311" t="str">
        <x:v>medium</x:v>
      </x:c>
      <x:c r="D311" t="str">
        <x:v>style</x:v>
      </x:c>
    </x:row>
    <x:row r="312">
      <x:c r="A312" t="str">
        <x:v>public_0093</x:v>
      </x:c>
      <x:c r="B312" t="str">
        <x:v>buying</x:v>
      </x:c>
      <x:c r="C312" t="str">
        <x:v>easy</x:v>
      </x:c>
      <x:c r="D312" t="str">
        <x:v>performance</x:v>
      </x:c>
    </x:row>
    <x:row r="313">
      <x:c r="A313" t="str">
        <x:v>public_0093</x:v>
      </x:c>
      <x:c r="B313" t="str">
        <x:v>buying</x:v>
      </x:c>
      <x:c r="C313" t="str">
        <x:v>easy</x:v>
      </x:c>
      <x:c r="D313" t="str">
        <x:v>fit</x:v>
      </x:c>
    </x:row>
    <x:row r="314">
      <x:c r="A314" t="str">
        <x:v>public_0093</x:v>
      </x:c>
      <x:c r="B314" t="str">
        <x:v>buying</x:v>
      </x:c>
      <x:c r="C314" t="str">
        <x:v>easy</x:v>
      </x:c>
      <x:c r="D314" t="str">
        <x:v>comfort</x:v>
      </x:c>
    </x:row>
    <x:row r="315">
      <x:c r="A315" t="str">
        <x:v>public_0093</x:v>
      </x:c>
      <x:c r="B315" t="str">
        <x:v>buying</x:v>
      </x:c>
      <x:c r="C315" t="str">
        <x:v>easy</x:v>
      </x:c>
      <x:c r="D315" t="str">
        <x:v>durability</x:v>
      </x:c>
    </x:row>
    <x:row r="316">
      <x:c r="A316" t="str">
        <x:v>public_0094</x:v>
      </x:c>
      <x:c r="B316" t="str">
        <x:v>buying</x:v>
      </x:c>
      <x:c r="C316" t="str">
        <x:v>easy</x:v>
      </x:c>
      <x:c r="D316" t="str">
        <x:v>fit</x:v>
      </x:c>
    </x:row>
    <x:row r="317">
      <x:c r="A317" t="str">
        <x:v>public_0094</x:v>
      </x:c>
      <x:c r="B317" t="str">
        <x:v>buying</x:v>
      </x:c>
      <x:c r="C317" t="str">
        <x:v>easy</x:v>
      </x:c>
      <x:c r="D317" t="str">
        <x:v>comfort</x:v>
      </x:c>
    </x:row>
    <x:row r="318">
      <x:c r="A318" t="str">
        <x:v>public_0094</x:v>
      </x:c>
      <x:c r="B318" t="str">
        <x:v>buying</x:v>
      </x:c>
      <x:c r="C318" t="str">
        <x:v>easy</x:v>
      </x:c>
      <x:c r="D318" t="str">
        <x:v>material</x:v>
      </x:c>
    </x:row>
    <x:row r="319">
      <x:c r="A319" t="str">
        <x:v>public_0094</x:v>
      </x:c>
      <x:c r="B319" t="str">
        <x:v>buying</x:v>
      </x:c>
      <x:c r="C319" t="str">
        <x:v>easy</x:v>
      </x:c>
      <x:c r="D319" t="str">
        <x:v>performance</x:v>
      </x:c>
    </x:row>
    <x:row r="320">
      <x:c r="A320" t="str">
        <x:v>public_0095</x:v>
      </x:c>
      <x:c r="B320" t="str">
        <x:v>buying</x:v>
      </x:c>
      <x:c r="C320" t="str">
        <x:v>easy</x:v>
      </x:c>
      <x:c r="D320" t="str">
        <x:v>warmth</x:v>
      </x:c>
    </x:row>
    <x:row r="321">
      <x:c r="A321" t="str">
        <x:v>public_0095</x:v>
      </x:c>
      <x:c r="B321" t="str">
        <x:v>buying</x:v>
      </x:c>
      <x:c r="C321" t="str">
        <x:v>easy</x:v>
      </x:c>
      <x:c r="D321" t="str">
        <x:v>weather</x:v>
      </x:c>
    </x:row>
    <x:row r="322">
      <x:c r="A322" t="str">
        <x:v>public_0095</x:v>
      </x:c>
      <x:c r="B322" t="str">
        <x:v>buying</x:v>
      </x:c>
      <x:c r="C322" t="str">
        <x:v>easy</x:v>
      </x:c>
      <x:c r="D322" t="str">
        <x:v>comfort</x:v>
      </x:c>
    </x:row>
    <x:row r="323">
      <x:c r="A323" t="str">
        <x:v>public_0095</x:v>
      </x:c>
      <x:c r="B323" t="str">
        <x:v>buying</x:v>
      </x:c>
      <x:c r="C323" t="str">
        <x:v>easy</x:v>
      </x:c>
      <x:c r="D323" t="str">
        <x:v>fit</x:v>
      </x:c>
    </x:row>
    <x:row r="324">
      <x:c r="A324" t="str">
        <x:v>public_0096</x:v>
      </x:c>
      <x:c r="B324" t="str">
        <x:v>intent_override</x:v>
      </x:c>
      <x:c r="C324" t="str">
        <x:v>hard</x:v>
      </x:c>
      <x:c r="D324" t="str">
        <x:v>comfort</x:v>
      </x:c>
    </x:row>
    <x:row r="325">
      <x:c r="A325" t="str">
        <x:v>public_0096</x:v>
      </x:c>
      <x:c r="B325" t="str">
        <x:v>intent_override</x:v>
      </x:c>
      <x:c r="C325" t="str">
        <x:v>hard</x:v>
      </x:c>
      <x:c r="D325" t="str">
        <x:v>material</x:v>
      </x:c>
    </x:row>
    <x:row r="326">
      <x:c r="A326" t="str">
        <x:v>public_0096</x:v>
      </x:c>
      <x:c r="B326" t="str">
        <x:v>intent_override</x:v>
      </x:c>
      <x:c r="C326" t="str">
        <x:v>hard</x:v>
      </x:c>
      <x:c r="D326" t="str">
        <x:v>fit</x:v>
      </x:c>
    </x:row>
    <x:row r="327">
      <x:c r="A327" t="str">
        <x:v>public_0096</x:v>
      </x:c>
      <x:c r="B327" t="str">
        <x:v>intent_override</x:v>
      </x:c>
      <x:c r="C327" t="str">
        <x:v>hard</x:v>
      </x:c>
      <x:c r="D327" t="str">
        <x:v>performance</x:v>
      </x:c>
    </x:row>
    <x:row r="328">
      <x:c r="A328" t="str">
        <x:v>public_0097</x:v>
      </x:c>
      <x:c r="B328" t="str">
        <x:v>buying</x:v>
      </x:c>
      <x:c r="C328" t="str">
        <x:v>easy</x:v>
      </x:c>
      <x:c r="D328" t="str">
        <x:v>fit</x:v>
      </x:c>
    </x:row>
    <x:row r="329">
      <x:c r="A329" t="str">
        <x:v>public_0097</x:v>
      </x:c>
      <x:c r="B329" t="str">
        <x:v>buying</x:v>
      </x:c>
      <x:c r="C329" t="str">
        <x:v>easy</x:v>
      </x:c>
      <x:c r="D329" t="str">
        <x:v>comfort</x:v>
      </x:c>
    </x:row>
    <x:row r="330">
      <x:c r="A330" t="str">
        <x:v>public_0097</x:v>
      </x:c>
      <x:c r="B330" t="str">
        <x:v>buying</x:v>
      </x:c>
      <x:c r="C330" t="str">
        <x:v>easy</x:v>
      </x:c>
      <x:c r="D330" t="str">
        <x:v>material</x:v>
      </x:c>
    </x:row>
    <x:row r="331">
      <x:c r="A331" t="str">
        <x:v>public_0097</x:v>
      </x:c>
      <x:c r="B331" t="str">
        <x:v>buying</x:v>
      </x:c>
      <x:c r="C331" t="str">
        <x:v>easy</x:v>
      </x:c>
      <x:c r="D331" t="str">
        <x:v>durability</x:v>
      </x:c>
    </x:row>
    <x:row r="332">
      <x:c r="A332" t="str">
        <x:v>public_0098</x:v>
      </x:c>
      <x:c r="B332" t="str">
        <x:v>browsing</x:v>
      </x:c>
      <x:c r="C332" t="str">
        <x:v>medium</x:v>
      </x:c>
      <x:c r="D332" t="str">
        <x:v>performance</x:v>
      </x:c>
    </x:row>
    <x:row r="333">
      <x:c r="A333" t="str">
        <x:v>public_0098</x:v>
      </x:c>
      <x:c r="B333" t="str">
        <x:v>browsing</x:v>
      </x:c>
      <x:c r="C333" t="str">
        <x:v>medium</x:v>
      </x:c>
      <x:c r="D333" t="str">
        <x:v>comfort</x:v>
      </x:c>
    </x:row>
    <x:row r="334">
      <x:c r="A334" t="str">
        <x:v>public_0098</x:v>
      </x:c>
      <x:c r="B334" t="str">
        <x:v>browsing</x:v>
      </x:c>
      <x:c r="C334" t="str">
        <x:v>medium</x:v>
      </x:c>
      <x:c r="D334" t="str">
        <x:v>style</x:v>
      </x:c>
    </x:row>
    <x:row r="335">
      <x:c r="A335" t="str">
        <x:v>public_0098</x:v>
      </x:c>
      <x:c r="B335" t="str">
        <x:v>browsing</x:v>
      </x:c>
      <x:c r="C335" t="str">
        <x:v>medium</x:v>
      </x:c>
      <x:c r="D335" t="str">
        <x:v>material</x:v>
      </x:c>
    </x:row>
    <x:row r="336">
      <x:c r="A336" t="str">
        <x:v>public_0099</x:v>
      </x:c>
      <x:c r="B336" t="str">
        <x:v>browsing</x:v>
      </x:c>
      <x:c r="C336" t="str">
        <x:v>medium</x:v>
      </x:c>
      <x:c r="D336" t="str">
        <x:v>fit</x:v>
      </x:c>
    </x:row>
    <x:row r="337">
      <x:c r="A337" t="str">
        <x:v>public_0099</x:v>
      </x:c>
      <x:c r="B337" t="str">
        <x:v>browsing</x:v>
      </x:c>
      <x:c r="C337" t="str">
        <x:v>medium</x:v>
      </x:c>
      <x:c r="D337" t="str">
        <x:v>comfort</x:v>
      </x:c>
    </x:row>
    <x:row r="338">
      <x:c r="A338" t="str">
        <x:v>public_0099</x:v>
      </x:c>
      <x:c r="B338" t="str">
        <x:v>browsing</x:v>
      </x:c>
      <x:c r="C338" t="str">
        <x:v>medium</x:v>
      </x:c>
      <x:c r="D338" t="str">
        <x:v>material</x:v>
      </x:c>
    </x:row>
    <x:row r="339">
      <x:c r="A339" t="str">
        <x:v>public_0099</x:v>
      </x:c>
      <x:c r="B339" t="str">
        <x:v>browsing</x:v>
      </x:c>
      <x:c r="C339" t="str">
        <x:v>medium</x:v>
      </x:c>
      <x:c r="D339" t="str">
        <x:v>durability</x:v>
      </x:c>
    </x:row>
    <x:row r="340">
      <x:c r="A340" t="str">
        <x:v>public_0100</x:v>
      </x:c>
      <x:c r="B340" t="str">
        <x:v>browsing</x:v>
      </x:c>
      <x:c r="C340" t="str">
        <x:v>medium</x:v>
      </x:c>
      <x:c r="D340" t="str">
        <x:v>fit</x:v>
      </x:c>
    </x:row>
    <x:row r="341">
      <x:c r="A341" t="str">
        <x:v>public_0100</x:v>
      </x:c>
      <x:c r="B341" t="str">
        <x:v>browsing</x:v>
      </x:c>
      <x:c r="C341" t="str">
        <x:v>medium</x:v>
      </x:c>
      <x:c r="D341" t="str">
        <x:v>comfort</x:v>
      </x:c>
    </x:row>
    <x:row r="342">
      <x:c r="A342" t="str">
        <x:v>public_0100</x:v>
      </x:c>
      <x:c r="B342" t="str">
        <x:v>browsing</x:v>
      </x:c>
      <x:c r="C342" t="str">
        <x:v>medium</x:v>
      </x:c>
      <x:c r="D342" t="str">
        <x:v>material</x:v>
      </x:c>
    </x:row>
    <x:row r="343">
      <x:c r="A343" t="str">
        <x:v>public_0100</x:v>
      </x:c>
      <x:c r="B343" t="str">
        <x:v>browsing</x:v>
      </x:c>
      <x:c r="C343" t="str">
        <x:v>medium</x:v>
      </x:c>
      <x:c r="D343" t="str">
        <x:v>performance</x:v>
      </x:c>
    </x:row>
    <x:row r="344">
      <x:c r="A344" t="str">
        <x:v>public_0101</x:v>
      </x:c>
      <x:c r="B344" t="str">
        <x:v>buying</x:v>
      </x:c>
      <x:c r="C344" t="str">
        <x:v>easy</x:v>
      </x:c>
      <x:c r="D344" t="str">
        <x:v>material</x:v>
      </x:c>
    </x:row>
    <x:row r="345">
      <x:c r="A345" t="str">
        <x:v>public_0101</x:v>
      </x:c>
      <x:c r="B345" t="str">
        <x:v>buying</x:v>
      </x:c>
      <x:c r="C345" t="str">
        <x:v>easy</x:v>
      </x:c>
      <x:c r="D345" t="str">
        <x:v>comfort</x:v>
      </x:c>
    </x:row>
    <x:row r="346">
      <x:c r="A346" t="str">
        <x:v>public_0101</x:v>
      </x:c>
      <x:c r="B346" t="str">
        <x:v>buying</x:v>
      </x:c>
      <x:c r="C346" t="str">
        <x:v>easy</x:v>
      </x:c>
      <x:c r="D346" t="str">
        <x:v>fit</x:v>
      </x:c>
    </x:row>
    <x:row r="347">
      <x:c r="A347" t="str">
        <x:v>public_0101</x:v>
      </x:c>
      <x:c r="B347" t="str">
        <x:v>buying</x:v>
      </x:c>
      <x:c r="C347" t="str">
        <x:v>easy</x:v>
      </x:c>
      <x:c r="D347" t="str">
        <x:v>durability</x:v>
      </x:c>
    </x:row>
    <x:row r="348">
      <x:c r="A348" t="str">
        <x:v>public_0102</x:v>
      </x:c>
      <x:c r="B348" t="str">
        <x:v>browsing</x:v>
      </x:c>
      <x:c r="C348" t="str">
        <x:v>medium</x:v>
      </x:c>
      <x:c r="D348" t="str">
        <x:v>comfort</x:v>
      </x:c>
    </x:row>
    <x:row r="349">
      <x:c r="A349" t="str">
        <x:v>public_0102</x:v>
      </x:c>
      <x:c r="B349" t="str">
        <x:v>browsing</x:v>
      </x:c>
      <x:c r="C349" t="str">
        <x:v>medium</x:v>
      </x:c>
      <x:c r="D349" t="str">
        <x:v>style</x:v>
      </x:c>
    </x:row>
    <x:row r="350">
      <x:c r="A350" t="str">
        <x:v>public_0102</x:v>
      </x:c>
      <x:c r="B350" t="str">
        <x:v>browsing</x:v>
      </x:c>
      <x:c r="C350" t="str">
        <x:v>medium</x:v>
      </x:c>
      <x:c r="D350" t="str">
        <x:v>fit</x:v>
      </x:c>
    </x:row>
    <x:row r="351">
      <x:c r="A351" t="str">
        <x:v>public_0102</x:v>
      </x:c>
      <x:c r="B351" t="str">
        <x:v>browsing</x:v>
      </x:c>
      <x:c r="C351" t="str">
        <x:v>medium</x:v>
      </x:c>
      <x:c r="D351" t="str">
        <x:v>material</x:v>
      </x:c>
    </x:row>
    <x:row r="352">
      <x:c r="A352" t="str">
        <x:v>public_0103</x:v>
      </x:c>
      <x:c r="B352" t="str">
        <x:v>intent_override</x:v>
      </x:c>
      <x:c r="C352" t="str">
        <x:v>hard</x:v>
      </x:c>
      <x:c r="D352" t="str">
        <x:v>material</x:v>
      </x:c>
    </x:row>
    <x:row r="353">
      <x:c r="A353" t="str">
        <x:v>public_0103</x:v>
      </x:c>
      <x:c r="B353" t="str">
        <x:v>intent_override</x:v>
      </x:c>
      <x:c r="C353" t="str">
        <x:v>hard</x:v>
      </x:c>
      <x:c r="D353" t="str">
        <x:v>comfort</x:v>
      </x:c>
    </x:row>
    <x:row r="354">
      <x:c r="A354" t="str">
        <x:v>public_0103</x:v>
      </x:c>
      <x:c r="B354" t="str">
        <x:v>intent_override</x:v>
      </x:c>
      <x:c r="C354" t="str">
        <x:v>hard</x:v>
      </x:c>
      <x:c r="D354" t="str">
        <x:v>fit</x:v>
      </x:c>
    </x:row>
    <x:row r="355">
      <x:c r="A355" t="str">
        <x:v>public_0103</x:v>
      </x:c>
      <x:c r="B355" t="str">
        <x:v>intent_override</x:v>
      </x:c>
      <x:c r="C355" t="str">
        <x:v>hard</x:v>
      </x:c>
      <x:c r="D355" t="str">
        <x:v>style</x:v>
      </x:c>
    </x:row>
    <x:row r="356">
      <x:c r="A356" t="str">
        <x:v>public_0104</x:v>
      </x:c>
      <x:c r="B356" t="str">
        <x:v>boundary</x:v>
      </x:c>
      <x:c r="C356" t="str">
        <x:v>medium</x:v>
      </x:c>
      <x:c r="D356" t="str">
        <x:v>comfort</x:v>
      </x:c>
    </x:row>
    <x:row r="357">
      <x:c r="A357" t="str">
        <x:v>public_0104</x:v>
      </x:c>
      <x:c r="B357" t="str">
        <x:v>boundary</x:v>
      </x:c>
      <x:c r="C357" t="str">
        <x:v>medium</x:v>
      </x:c>
      <x:c r="D357" t="str">
        <x:v>durability</x:v>
      </x:c>
    </x:row>
    <x:row r="358">
      <x:c r="A358" t="str">
        <x:v>public_0104</x:v>
      </x:c>
      <x:c r="B358" t="str">
        <x:v>boundary</x:v>
      </x:c>
      <x:c r="C358" t="str">
        <x:v>medium</x:v>
      </x:c>
      <x:c r="D358" t="str">
        <x:v>fit</x:v>
      </x:c>
    </x:row>
    <x:row r="359">
      <x:c r="A359" t="str">
        <x:v>public_0104</x:v>
      </x:c>
      <x:c r="B359" t="str">
        <x:v>boundary</x:v>
      </x:c>
      <x:c r="C359" t="str">
        <x:v>medium</x:v>
      </x:c>
      <x:c r="D359" t="str">
        <x:v>material</x:v>
      </x:c>
    </x:row>
    <x:row r="360">
      <x:c r="A360" t="str">
        <x:v>public_0105</x:v>
      </x:c>
      <x:c r="B360" t="str">
        <x:v>browsing</x:v>
      </x:c>
      <x:c r="C360" t="str">
        <x:v>medium</x:v>
      </x:c>
      <x:c r="D360" t="str">
        <x:v>comfort</x:v>
      </x:c>
    </x:row>
    <x:row r="361">
      <x:c r="A361" t="str">
        <x:v>public_0105</x:v>
      </x:c>
      <x:c r="B361" t="str">
        <x:v>browsing</x:v>
      </x:c>
      <x:c r="C361" t="str">
        <x:v>medium</x:v>
      </x:c>
      <x:c r="D361" t="str">
        <x:v>weather</x:v>
      </x:c>
    </x:row>
    <x:row r="362">
      <x:c r="A362" t="str">
        <x:v>public_0105</x:v>
      </x:c>
      <x:c r="B362" t="str">
        <x:v>browsing</x:v>
      </x:c>
      <x:c r="C362" t="str">
        <x:v>medium</x:v>
      </x:c>
      <x:c r="D362" t="str">
        <x:v>material</x:v>
      </x:c>
    </x:row>
    <x:row r="363">
      <x:c r="A363" t="str">
        <x:v>public_0105</x:v>
      </x:c>
      <x:c r="B363" t="str">
        <x:v>browsing</x:v>
      </x:c>
      <x:c r="C363" t="str">
        <x:v>medium</x:v>
      </x:c>
      <x:c r="D363" t="str">
        <x:v>durability</x:v>
      </x:c>
    </x:row>
    <x:row r="364">
      <x:c r="A364" t="str">
        <x:v>public_0106</x:v>
      </x:c>
      <x:c r="B364" t="str">
        <x:v>buying</x:v>
      </x:c>
      <x:c r="C364" t="str">
        <x:v>easy</x:v>
      </x:c>
      <x:c r="D364" t="str">
        <x:v>material</x:v>
      </x:c>
    </x:row>
    <x:row r="365">
      <x:c r="A365" t="str">
        <x:v>public_0106</x:v>
      </x:c>
      <x:c r="B365" t="str">
        <x:v>buying</x:v>
      </x:c>
      <x:c r="C365" t="str">
        <x:v>easy</x:v>
      </x:c>
      <x:c r="D365" t="str">
        <x:v>fit</x:v>
      </x:c>
    </x:row>
    <x:row r="366">
      <x:c r="A366" t="str">
        <x:v>public_0106</x:v>
      </x:c>
      <x:c r="B366" t="str">
        <x:v>buying</x:v>
      </x:c>
      <x:c r="C366" t="str">
        <x:v>easy</x:v>
      </x:c>
      <x:c r="D366" t="str">
        <x:v>style</x:v>
      </x:c>
    </x:row>
    <x:row r="367">
      <x:c r="A367" t="str">
        <x:v>public_0107</x:v>
      </x:c>
      <x:c r="B367" t="str">
        <x:v>buying</x:v>
      </x:c>
      <x:c r="C367" t="str">
        <x:v>easy</x:v>
      </x:c>
      <x:c r="D367" t="str">
        <x:v>material</x:v>
      </x:c>
    </x:row>
    <x:row r="368">
      <x:c r="A368" t="str">
        <x:v>public_0107</x:v>
      </x:c>
      <x:c r="B368" t="str">
        <x:v>buying</x:v>
      </x:c>
      <x:c r="C368" t="str">
        <x:v>easy</x:v>
      </x:c>
      <x:c r="D368" t="str">
        <x:v>fit</x:v>
      </x:c>
    </x:row>
    <x:row r="369">
      <x:c r="A369" t="str">
        <x:v>public_0108</x:v>
      </x:c>
      <x:c r="B369" t="str">
        <x:v>buying</x:v>
      </x:c>
      <x:c r="C369" t="str">
        <x:v>easy</x:v>
      </x:c>
      <x:c r="D369" t="str">
        <x:v>material</x:v>
      </x:c>
    </x:row>
    <x:row r="370">
      <x:c r="A370" t="str">
        <x:v>public_0108</x:v>
      </x:c>
      <x:c r="B370" t="str">
        <x:v>buying</x:v>
      </x:c>
      <x:c r="C370" t="str">
        <x:v>easy</x:v>
      </x:c>
      <x:c r="D370" t="str">
        <x:v>comfort</x:v>
      </x:c>
    </x:row>
    <x:row r="371">
      <x:c r="A371" t="str">
        <x:v>public_0108</x:v>
      </x:c>
      <x:c r="B371" t="str">
        <x:v>buying</x:v>
      </x:c>
      <x:c r="C371" t="str">
        <x:v>easy</x:v>
      </x:c>
      <x:c r="D371" t="str">
        <x:v>fit</x:v>
      </x:c>
    </x:row>
    <x:row r="372">
      <x:c r="A372" t="str">
        <x:v>public_0108</x:v>
      </x:c>
      <x:c r="B372" t="str">
        <x:v>buying</x:v>
      </x:c>
      <x:c r="C372" t="str">
        <x:v>easy</x:v>
      </x:c>
      <x:c r="D372" t="str">
        <x:v>style</x:v>
      </x:c>
    </x:row>
    <x:row r="373">
      <x:c r="A373" t="str">
        <x:v>public_0109</x:v>
      </x:c>
      <x:c r="B373" t="str">
        <x:v>buying</x:v>
      </x:c>
      <x:c r="C373" t="str">
        <x:v>easy</x:v>
      </x:c>
      <x:c r="D373" t="str">
        <x:v>material</x:v>
      </x:c>
    </x:row>
    <x:row r="374">
      <x:c r="A374" t="str">
        <x:v>public_0109</x:v>
      </x:c>
      <x:c r="B374" t="str">
        <x:v>buying</x:v>
      </x:c>
      <x:c r="C374" t="str">
        <x:v>easy</x:v>
      </x:c>
      <x:c r="D374" t="str">
        <x:v>fit</x:v>
      </x:c>
    </x:row>
    <x:row r="375">
      <x:c r="A375" t="str">
        <x:v>public_0110</x:v>
      </x:c>
      <x:c r="B375" t="str">
        <x:v>browsing</x:v>
      </x:c>
      <x:c r="C375" t="str">
        <x:v>medium</x:v>
      </x:c>
      <x:c r="D375" t="str">
        <x:v>fit</x:v>
      </x:c>
    </x:row>
    <x:row r="376">
      <x:c r="A376" t="str">
        <x:v>public_0110</x:v>
      </x:c>
      <x:c r="B376" t="str">
        <x:v>browsing</x:v>
      </x:c>
      <x:c r="C376" t="str">
        <x:v>medium</x:v>
      </x:c>
      <x:c r="D376" t="str">
        <x:v>comfort</x:v>
      </x:c>
    </x:row>
    <x:row r="377">
      <x:c r="A377" t="str">
        <x:v>public_0110</x:v>
      </x:c>
      <x:c r="B377" t="str">
        <x:v>browsing</x:v>
      </x:c>
      <x:c r="C377" t="str">
        <x:v>medium</x:v>
      </x:c>
      <x:c r="D377" t="str">
        <x:v>style</x:v>
      </x:c>
    </x:row>
    <x:row r="378">
      <x:c r="A378" t="str">
        <x:v>public_0111</x:v>
      </x:c>
      <x:c r="B378" t="str">
        <x:v>buying</x:v>
      </x:c>
      <x:c r="C378" t="str">
        <x:v>easy</x:v>
      </x:c>
      <x:c r="D378" t="str">
        <x:v>style</x:v>
      </x:c>
    </x:row>
    <x:row r="379">
      <x:c r="A379" t="str">
        <x:v>public_0111</x:v>
      </x:c>
      <x:c r="B379" t="str">
        <x:v>buying</x:v>
      </x:c>
      <x:c r="C379" t="str">
        <x:v>easy</x:v>
      </x:c>
      <x:c r="D379" t="str">
        <x:v>durability</x:v>
      </x:c>
    </x:row>
    <x:row r="380">
      <x:c r="A380" t="str">
        <x:v>public_0111</x:v>
      </x:c>
      <x:c r="B380" t="str">
        <x:v>buying</x:v>
      </x:c>
      <x:c r="C380" t="str">
        <x:v>easy</x:v>
      </x:c>
      <x:c r="D380" t="str">
        <x:v>material</x:v>
      </x:c>
    </x:row>
    <x:row r="381">
      <x:c r="A381" t="str">
        <x:v>public_0112</x:v>
      </x:c>
      <x:c r="B381" t="str">
        <x:v>boundary</x:v>
      </x:c>
      <x:c r="C381" t="str">
        <x:v>medium</x:v>
      </x:c>
      <x:c r="D381" t="str">
        <x:v>warmth</x:v>
      </x:c>
    </x:row>
    <x:row r="382">
      <x:c r="A382" t="str">
        <x:v>public_0112</x:v>
      </x:c>
      <x:c r="B382" t="str">
        <x:v>boundary</x:v>
      </x:c>
      <x:c r="C382" t="str">
        <x:v>medium</x:v>
      </x:c>
      <x:c r="D382" t="str">
        <x:v>weather</x:v>
      </x:c>
    </x:row>
    <x:row r="383">
      <x:c r="A383" t="str">
        <x:v>public_0112</x:v>
      </x:c>
      <x:c r="B383" t="str">
        <x:v>boundary</x:v>
      </x:c>
      <x:c r="C383" t="str">
        <x:v>medium</x:v>
      </x:c>
      <x:c r="D383" t="str">
        <x:v>comfort</x:v>
      </x:c>
    </x:row>
    <x:row r="384">
      <x:c r="A384" t="str">
        <x:v>public_0112</x:v>
      </x:c>
      <x:c r="B384" t="str">
        <x:v>boundary</x:v>
      </x:c>
      <x:c r="C384" t="str">
        <x:v>medium</x:v>
      </x:c>
      <x:c r="D384" t="str">
        <x:v>performance</x:v>
      </x:c>
    </x:row>
    <x:row r="385">
      <x:c r="A385" t="str">
        <x:v>public_0113</x:v>
      </x:c>
      <x:c r="B385" t="str">
        <x:v>browsing</x:v>
      </x:c>
      <x:c r="C385" t="str">
        <x:v>medium</x:v>
      </x:c>
      <x:c r="D385" t="str">
        <x:v>material</x:v>
      </x:c>
    </x:row>
    <x:row r="386">
      <x:c r="A386" t="str">
        <x:v>public_0113</x:v>
      </x:c>
      <x:c r="B386" t="str">
        <x:v>browsing</x:v>
      </x:c>
      <x:c r="C386" t="str">
        <x:v>medium</x:v>
      </x:c>
      <x:c r="D386" t="str">
        <x:v>fit</x:v>
      </x:c>
    </x:row>
    <x:row r="387">
      <x:c r="A387" t="str">
        <x:v>public_0114</x:v>
      </x:c>
      <x:c r="B387" t="str">
        <x:v>buying</x:v>
      </x:c>
      <x:c r="C387" t="str">
        <x:v>easy</x:v>
      </x:c>
      <x:c r="D387" t="str">
        <x:v>fit</x:v>
      </x:c>
    </x:row>
    <x:row r="388">
      <x:c r="A388" t="str">
        <x:v>public_0114</x:v>
      </x:c>
      <x:c r="B388" t="str">
        <x:v>buying</x:v>
      </x:c>
      <x:c r="C388" t="str">
        <x:v>easy</x:v>
      </x:c>
      <x:c r="D388" t="str">
        <x:v>style</x:v>
      </x:c>
    </x:row>
    <x:row r="389">
      <x:c r="A389" t="str">
        <x:v>public_0114</x:v>
      </x:c>
      <x:c r="B389" t="str">
        <x:v>buying</x:v>
      </x:c>
      <x:c r="C389" t="str">
        <x:v>easy</x:v>
      </x:c>
      <x:c r="D389" t="str">
        <x:v>comfort</x:v>
      </x:c>
    </x:row>
    <x:row r="390">
      <x:c r="A390" t="str">
        <x:v>public_0114</x:v>
      </x:c>
      <x:c r="B390" t="str">
        <x:v>buying</x:v>
      </x:c>
      <x:c r="C390" t="str">
        <x:v>easy</x:v>
      </x:c>
      <x:c r="D390" t="str">
        <x:v>material</x:v>
      </x:c>
    </x:row>
    <x:row r="391">
      <x:c r="A391" t="str">
        <x:v>public_0115</x:v>
      </x:c>
      <x:c r="B391" t="str">
        <x:v>browsing</x:v>
      </x:c>
      <x:c r="C391" t="str">
        <x:v>medium</x:v>
      </x:c>
      <x:c r="D391" t="str">
        <x:v>comfort</x:v>
      </x:c>
    </x:row>
    <x:row r="392">
      <x:c r="A392" t="str">
        <x:v>public_0115</x:v>
      </x:c>
      <x:c r="B392" t="str">
        <x:v>browsing</x:v>
      </x:c>
      <x:c r="C392" t="str">
        <x:v>medium</x:v>
      </x:c>
      <x:c r="D392" t="str">
        <x:v>fit</x:v>
      </x:c>
    </x:row>
    <x:row r="393">
      <x:c r="A393" t="str">
        <x:v>public_0115</x:v>
      </x:c>
      <x:c r="B393" t="str">
        <x:v>browsing</x:v>
      </x:c>
      <x:c r="C393" t="str">
        <x:v>medium</x:v>
      </x:c>
      <x:c r="D393" t="str">
        <x:v>durability</x:v>
      </x:c>
    </x:row>
    <x:row r="394">
      <x:c r="A394" t="str">
        <x:v>public_0115</x:v>
      </x:c>
      <x:c r="B394" t="str">
        <x:v>browsing</x:v>
      </x:c>
      <x:c r="C394" t="str">
        <x:v>medium</x:v>
      </x:c>
      <x:c r="D394" t="str">
        <x:v>style</x:v>
      </x:c>
    </x:row>
    <x:row r="395">
      <x:c r="A395" t="str">
        <x:v>public_0116</x:v>
      </x:c>
      <x:c r="B395" t="str">
        <x:v>buying</x:v>
      </x:c>
      <x:c r="C395" t="str">
        <x:v>easy</x:v>
      </x:c>
      <x:c r="D395" t="str">
        <x:v>material</x:v>
      </x:c>
    </x:row>
    <x:row r="396">
      <x:c r="A396" t="str">
        <x:v>public_0116</x:v>
      </x:c>
      <x:c r="B396" t="str">
        <x:v>buying</x:v>
      </x:c>
      <x:c r="C396" t="str">
        <x:v>easy</x:v>
      </x:c>
      <x:c r="D396" t="str">
        <x:v>comfort</x:v>
      </x:c>
    </x:row>
    <x:row r="397">
      <x:c r="A397" t="str">
        <x:v>public_0117</x:v>
      </x:c>
      <x:c r="B397" t="str">
        <x:v>buying</x:v>
      </x:c>
      <x:c r="C397" t="str">
        <x:v>easy</x:v>
      </x:c>
      <x:c r="D397" t="str">
        <x:v>style</x:v>
      </x:c>
    </x:row>
    <x:row r="398">
      <x:c r="A398" t="str">
        <x:v>public_0117</x:v>
      </x:c>
      <x:c r="B398" t="str">
        <x:v>buying</x:v>
      </x:c>
      <x:c r="C398" t="str">
        <x:v>easy</x:v>
      </x:c>
      <x:c r="D398" t="str">
        <x:v>comfort</x:v>
      </x:c>
    </x:row>
    <x:row r="399">
      <x:c r="A399" t="str">
        <x:v>public_0117</x:v>
      </x:c>
      <x:c r="B399" t="str">
        <x:v>buying</x:v>
      </x:c>
      <x:c r="C399" t="str">
        <x:v>easy</x:v>
      </x:c>
      <x:c r="D399" t="str">
        <x:v>durability</x:v>
      </x:c>
    </x:row>
    <x:row r="400">
      <x:c r="A400" t="str">
        <x:v>public_0118</x:v>
      </x:c>
      <x:c r="B400" t="str">
        <x:v>buying</x:v>
      </x:c>
      <x:c r="C400" t="str">
        <x:v>easy</x:v>
      </x:c>
      <x:c r="D400" t="str">
        <x:v>comfort</x:v>
      </x:c>
    </x:row>
    <x:row r="401">
      <x:c r="A401" t="str">
        <x:v>public_0118</x:v>
      </x:c>
      <x:c r="B401" t="str">
        <x:v>buying</x:v>
      </x:c>
      <x:c r="C401" t="str">
        <x:v>easy</x:v>
      </x:c>
      <x:c r="D401" t="str">
        <x:v>fit</x:v>
      </x:c>
    </x:row>
    <x:row r="402">
      <x:c r="A402" t="str">
        <x:v>public_0118</x:v>
      </x:c>
      <x:c r="B402" t="str">
        <x:v>buying</x:v>
      </x:c>
      <x:c r="C402" t="str">
        <x:v>easy</x:v>
      </x:c>
      <x:c r="D402" t="str">
        <x:v>material</x:v>
      </x:c>
    </x:row>
    <x:row r="403">
      <x:c r="A403" t="str">
        <x:v>public_0118</x:v>
      </x:c>
      <x:c r="B403" t="str">
        <x:v>buying</x:v>
      </x:c>
      <x:c r="C403" t="str">
        <x:v>easy</x:v>
      </x:c>
      <x:c r="D403" t="str">
        <x:v>style</x:v>
      </x:c>
    </x:row>
    <x:row r="404">
      <x:c r="A404" t="str">
        <x:v>public_0119</x:v>
      </x:c>
      <x:c r="B404" t="str">
        <x:v>buying</x:v>
      </x:c>
      <x:c r="C404" t="str">
        <x:v>easy</x:v>
      </x:c>
      <x:c r="D404" t="str">
        <x:v>comfort</x:v>
      </x:c>
    </x:row>
    <x:row r="405">
      <x:c r="A405" t="str">
        <x:v>public_0119</x:v>
      </x:c>
      <x:c r="B405" t="str">
        <x:v>buying</x:v>
      </x:c>
      <x:c r="C405" t="str">
        <x:v>easy</x:v>
      </x:c>
      <x:c r="D405" t="str">
        <x:v>fit</x:v>
      </x:c>
    </x:row>
    <x:row r="406">
      <x:c r="A406" t="str">
        <x:v>public_0119</x:v>
      </x:c>
      <x:c r="B406" t="str">
        <x:v>buying</x:v>
      </x:c>
      <x:c r="C406" t="str">
        <x:v>easy</x:v>
      </x:c>
      <x:c r="D406" t="str">
        <x:v>style</x:v>
      </x:c>
    </x:row>
    <x:row r="407">
      <x:c r="A407" t="str">
        <x:v>public_0120</x:v>
      </x:c>
      <x:c r="B407" t="str">
        <x:v>browsing</x:v>
      </x:c>
      <x:c r="C407" t="str">
        <x:v>medium</x:v>
      </x:c>
      <x:c r="D407" t="str">
        <x:v>comfort</x:v>
      </x:c>
    </x:row>
    <x:row r="408">
      <x:c r="A408" t="str">
        <x:v>public_0121</x:v>
      </x:c>
      <x:c r="B408" t="str">
        <x:v>browsing</x:v>
      </x:c>
      <x:c r="C408" t="str">
        <x:v>medium</x:v>
      </x:c>
      <x:c r="D408" t="str">
        <x:v>material</x:v>
      </x:c>
    </x:row>
    <x:row r="409">
      <x:c r="A409" t="str">
        <x:v>public_0121</x:v>
      </x:c>
      <x:c r="B409" t="str">
        <x:v>browsing</x:v>
      </x:c>
      <x:c r="C409" t="str">
        <x:v>medium</x:v>
      </x:c>
      <x:c r="D409" t="str">
        <x:v>fit</x:v>
      </x:c>
    </x:row>
    <x:row r="410">
      <x:c r="A410" t="str">
        <x:v>public_0122</x:v>
      </x:c>
      <x:c r="B410" t="str">
        <x:v>browsing</x:v>
      </x:c>
      <x:c r="C410" t="str">
        <x:v>medium</x:v>
      </x:c>
      <x:c r="D410" t="str">
        <x:v>fit</x:v>
      </x:c>
    </x:row>
    <x:row r="411">
      <x:c r="A411" t="str">
        <x:v>public_0122</x:v>
      </x:c>
      <x:c r="B411" t="str">
        <x:v>browsing</x:v>
      </x:c>
      <x:c r="C411" t="str">
        <x:v>medium</x:v>
      </x:c>
      <x:c r="D411" t="str">
        <x:v>comfort</x:v>
      </x:c>
    </x:row>
    <x:row r="412">
      <x:c r="A412" t="str">
        <x:v>public_0122</x:v>
      </x:c>
      <x:c r="B412" t="str">
        <x:v>browsing</x:v>
      </x:c>
      <x:c r="C412" t="str">
        <x:v>medium</x:v>
      </x:c>
      <x:c r="D412" t="str">
        <x:v>style</x:v>
      </x:c>
    </x:row>
    <x:row r="413">
      <x:c r="A413" t="str">
        <x:v>public_0122</x:v>
      </x:c>
      <x:c r="B413" t="str">
        <x:v>browsing</x:v>
      </x:c>
      <x:c r="C413" t="str">
        <x:v>medium</x:v>
      </x:c>
      <x:c r="D413" t="str">
        <x:v>material</x:v>
      </x:c>
    </x:row>
    <x:row r="414">
      <x:c r="A414" t="str">
        <x:v>public_0123</x:v>
      </x:c>
      <x:c r="B414" t="str">
        <x:v>intent_override</x:v>
      </x:c>
      <x:c r="C414" t="str">
        <x:v>hard</x:v>
      </x:c>
      <x:c r="D414" t="str">
        <x:v>style</x:v>
      </x:c>
    </x:row>
    <x:row r="415">
      <x:c r="A415" t="str">
        <x:v>public_0123</x:v>
      </x:c>
      <x:c r="B415" t="str">
        <x:v>intent_override</x:v>
      </x:c>
      <x:c r="C415" t="str">
        <x:v>hard</x:v>
      </x:c>
      <x:c r="D415" t="str">
        <x:v>fit</x:v>
      </x:c>
    </x:row>
    <x:row r="416">
      <x:c r="A416" t="str">
        <x:v>public_0123</x:v>
      </x:c>
      <x:c r="B416" t="str">
        <x:v>intent_override</x:v>
      </x:c>
      <x:c r="C416" t="str">
        <x:v>hard</x:v>
      </x:c>
      <x:c r="D416" t="str">
        <x:v>material</x:v>
      </x:c>
    </x:row>
    <x:row r="417">
      <x:c r="A417" t="str">
        <x:v>public_0123</x:v>
      </x:c>
      <x:c r="B417" t="str">
        <x:v>intent_override</x:v>
      </x:c>
      <x:c r="C417" t="str">
        <x:v>hard</x:v>
      </x:c>
      <x:c r="D417" t="str">
        <x:v>comfort</x:v>
      </x:c>
    </x:row>
    <x:row r="418">
      <x:c r="A418" t="str">
        <x:v>public_0124</x:v>
      </x:c>
      <x:c r="B418" t="str">
        <x:v>buying</x:v>
      </x:c>
      <x:c r="C418" t="str">
        <x:v>easy</x:v>
      </x:c>
      <x:c r="D418" t="str">
        <x:v>fit</x:v>
      </x:c>
    </x:row>
    <x:row r="419">
      <x:c r="A419" t="str">
        <x:v>public_0124</x:v>
      </x:c>
      <x:c r="B419" t="str">
        <x:v>buying</x:v>
      </x:c>
      <x:c r="C419" t="str">
        <x:v>easy</x:v>
      </x:c>
      <x:c r="D419" t="str">
        <x:v>weather</x:v>
      </x:c>
    </x:row>
    <x:row r="420">
      <x:c r="A420" t="str">
        <x:v>public_0124</x:v>
      </x:c>
      <x:c r="B420" t="str">
        <x:v>buying</x:v>
      </x:c>
      <x:c r="C420" t="str">
        <x:v>easy</x:v>
      </x:c>
      <x:c r="D420" t="str">
        <x:v>durability</x:v>
      </x:c>
    </x:row>
    <x:row r="421">
      <x:c r="A421" t="str">
        <x:v>public_0124</x:v>
      </x:c>
      <x:c r="B421" t="str">
        <x:v>buying</x:v>
      </x:c>
      <x:c r="C421" t="str">
        <x:v>easy</x:v>
      </x:c>
      <x:c r="D421" t="str">
        <x:v>comfort</x:v>
      </x:c>
    </x:row>
    <x:row r="422">
      <x:c r="A422" t="str">
        <x:v>public_0125</x:v>
      </x:c>
      <x:c r="B422" t="str">
        <x:v>intent_override</x:v>
      </x:c>
      <x:c r="C422" t="str">
        <x:v>hard</x:v>
      </x:c>
      <x:c r="D422" t="str">
        <x:v>material</x:v>
      </x:c>
    </x:row>
    <x:row r="423">
      <x:c r="A423" t="str">
        <x:v>public_0125</x:v>
      </x:c>
      <x:c r="B423" t="str">
        <x:v>intent_override</x:v>
      </x:c>
      <x:c r="C423" t="str">
        <x:v>hard</x:v>
      </x:c>
      <x:c r="D423" t="str">
        <x:v>fit</x:v>
      </x:c>
    </x:row>
    <x:row r="424">
      <x:c r="A424" t="str">
        <x:v>public_0126</x:v>
      </x:c>
      <x:c r="B424" t="str">
        <x:v>browsing</x:v>
      </x:c>
      <x:c r="C424" t="str">
        <x:v>medium</x:v>
      </x:c>
      <x:c r="D424" t="str">
        <x:v>material</x:v>
      </x:c>
    </x:row>
    <x:row r="425">
      <x:c r="A425" t="str">
        <x:v>public_0126</x:v>
      </x:c>
      <x:c r="B425" t="str">
        <x:v>browsing</x:v>
      </x:c>
      <x:c r="C425" t="str">
        <x:v>medium</x:v>
      </x:c>
      <x:c r="D425" t="str">
        <x:v>fit</x:v>
      </x:c>
    </x:row>
    <x:row r="426">
      <x:c r="A426" t="str">
        <x:v>public_0127</x:v>
      </x:c>
      <x:c r="B426" t="str">
        <x:v>browsing</x:v>
      </x:c>
      <x:c r="C426" t="str">
        <x:v>medium</x:v>
      </x:c>
      <x:c r="D426" t="str">
        <x:v>material</x:v>
      </x:c>
    </x:row>
    <x:row r="427">
      <x:c r="A427" t="str">
        <x:v>public_0127</x:v>
      </x:c>
      <x:c r="B427" t="str">
        <x:v>browsing</x:v>
      </x:c>
      <x:c r="C427" t="str">
        <x:v>medium</x:v>
      </x:c>
      <x:c r="D427" t="str">
        <x:v>fit</x:v>
      </x:c>
    </x:row>
    <x:row r="428">
      <x:c r="A428" t="str">
        <x:v>public_0127</x:v>
      </x:c>
      <x:c r="B428" t="str">
        <x:v>browsing</x:v>
      </x:c>
      <x:c r="C428" t="str">
        <x:v>medium</x:v>
      </x:c>
      <x:c r="D428" t="str">
        <x:v>comfort</x:v>
      </x:c>
    </x:row>
    <x:row r="429">
      <x:c r="A429" t="str">
        <x:v>public_0127</x:v>
      </x:c>
      <x:c r="B429" t="str">
        <x:v>browsing</x:v>
      </x:c>
      <x:c r="C429" t="str">
        <x:v>medium</x:v>
      </x:c>
      <x:c r="D429" t="str">
        <x:v>warmth</x:v>
      </x:c>
    </x:row>
    <x:row r="430">
      <x:c r="A430" t="str">
        <x:v>public_0128</x:v>
      </x:c>
      <x:c r="B430" t="str">
        <x:v>browsing</x:v>
      </x:c>
      <x:c r="C430" t="str">
        <x:v>medium</x:v>
      </x:c>
      <x:c r="D430" t="str">
        <x:v>material</x:v>
      </x:c>
    </x:row>
    <x:row r="431">
      <x:c r="A431" t="str">
        <x:v>public_0128</x:v>
      </x:c>
      <x:c r="B431" t="str">
        <x:v>browsing</x:v>
      </x:c>
      <x:c r="C431" t="str">
        <x:v>medium</x:v>
      </x:c>
      <x:c r="D431" t="str">
        <x:v>fit</x:v>
      </x:c>
    </x:row>
    <x:row r="432">
      <x:c r="A432" t="str">
        <x:v>public_0129</x:v>
      </x:c>
      <x:c r="B432" t="str">
        <x:v>buying</x:v>
      </x:c>
      <x:c r="C432" t="str">
        <x:v>easy</x:v>
      </x:c>
      <x:c r="D432" t="str">
        <x:v>fit</x:v>
      </x:c>
    </x:row>
    <x:row r="433">
      <x:c r="A433" t="str">
        <x:v>public_0129</x:v>
      </x:c>
      <x:c r="B433" t="str">
        <x:v>buying</x:v>
      </x:c>
      <x:c r="C433" t="str">
        <x:v>easy</x:v>
      </x:c>
      <x:c r="D433" t="str">
        <x:v>material</x:v>
      </x:c>
    </x:row>
    <x:row r="434">
      <x:c r="A434" t="str">
        <x:v>public_0130</x:v>
      </x:c>
      <x:c r="B434" t="str">
        <x:v>intent_override</x:v>
      </x:c>
      <x:c r="C434" t="str">
        <x:v>hard</x:v>
      </x:c>
      <x:c r="D434" t="str">
        <x:v>material</x:v>
      </x:c>
    </x:row>
    <x:row r="435">
      <x:c r="A435" t="str">
        <x:v>public_0130</x:v>
      </x:c>
      <x:c r="B435" t="str">
        <x:v>intent_override</x:v>
      </x:c>
      <x:c r="C435" t="str">
        <x:v>hard</x:v>
      </x:c>
      <x:c r="D435" t="str">
        <x:v>fit</x:v>
      </x:c>
    </x:row>
    <x:row r="436">
      <x:c r="A436" t="str">
        <x:v>public_0131</x:v>
      </x:c>
      <x:c r="B436" t="str">
        <x:v>boundary</x:v>
      </x:c>
      <x:c r="C436" t="str">
        <x:v>medium</x:v>
      </x:c>
      <x:c r="D436" t="str">
        <x:v>weather</x:v>
      </x:c>
    </x:row>
    <x:row r="437">
      <x:c r="A437" t="str">
        <x:v>public_0131</x:v>
      </x:c>
      <x:c r="B437" t="str">
        <x:v>boundary</x:v>
      </x:c>
      <x:c r="C437" t="str">
        <x:v>medium</x:v>
      </x:c>
      <x:c r="D437" t="str">
        <x:v>comfort</x:v>
      </x:c>
    </x:row>
    <x:row r="438">
      <x:c r="A438" t="str">
        <x:v>public_0131</x:v>
      </x:c>
      <x:c r="B438" t="str">
        <x:v>boundary</x:v>
      </x:c>
      <x:c r="C438" t="str">
        <x:v>medium</x:v>
      </x:c>
      <x:c r="D438" t="str">
        <x:v>style</x:v>
      </x:c>
    </x:row>
    <x:row r="439">
      <x:c r="A439" t="str">
        <x:v>public_0132</x:v>
      </x:c>
      <x:c r="B439" t="str">
        <x:v>buying</x:v>
      </x:c>
      <x:c r="C439" t="str">
        <x:v>easy</x:v>
      </x:c>
      <x:c r="D439" t="str">
        <x:v>comfort</x:v>
      </x:c>
    </x:row>
    <x:row r="440">
      <x:c r="A440" t="str">
        <x:v>public_0132</x:v>
      </x:c>
      <x:c r="B440" t="str">
        <x:v>buying</x:v>
      </x:c>
      <x:c r="C440" t="str">
        <x:v>easy</x:v>
      </x:c>
      <x:c r="D440" t="str">
        <x:v>warmth</x:v>
      </x:c>
    </x:row>
    <x:row r="441">
      <x:c r="A441" t="str">
        <x:v>public_0132</x:v>
      </x:c>
      <x:c r="B441" t="str">
        <x:v>buying</x:v>
      </x:c>
      <x:c r="C441" t="str">
        <x:v>easy</x:v>
      </x:c>
      <x:c r="D441" t="str">
        <x:v>style</x:v>
      </x:c>
    </x:row>
    <x:row r="442">
      <x:c r="A442" t="str">
        <x:v>public_0133</x:v>
      </x:c>
      <x:c r="B442" t="str">
        <x:v>buying</x:v>
      </x:c>
      <x:c r="C442" t="str">
        <x:v>easy</x:v>
      </x:c>
      <x:c r="D442" t="str">
        <x:v>material</x:v>
      </x:c>
    </x:row>
    <x:row r="443">
      <x:c r="A443" t="str">
        <x:v>public_0133</x:v>
      </x:c>
      <x:c r="B443" t="str">
        <x:v>buying</x:v>
      </x:c>
      <x:c r="C443" t="str">
        <x:v>easy</x:v>
      </x:c>
      <x:c r="D443" t="str">
        <x:v>fit</x:v>
      </x:c>
    </x:row>
    <x:row r="444">
      <x:c r="A444" t="str">
        <x:v>public_0133</x:v>
      </x:c>
      <x:c r="B444" t="str">
        <x:v>buying</x:v>
      </x:c>
      <x:c r="C444" t="str">
        <x:v>easy</x:v>
      </x:c>
      <x:c r="D444" t="str">
        <x:v>style</x:v>
      </x:c>
    </x:row>
    <x:row r="445">
      <x:c r="A445" t="str">
        <x:v>public_0134</x:v>
      </x:c>
      <x:c r="B445" t="str">
        <x:v>browsing</x:v>
      </x:c>
      <x:c r="C445" t="str">
        <x:v>medium</x:v>
      </x:c>
      <x:c r="D445" t="str">
        <x:v>style</x:v>
      </x:c>
    </x:row>
    <x:row r="446">
      <x:c r="A446" t="str">
        <x:v>public_0134</x:v>
      </x:c>
      <x:c r="B446" t="str">
        <x:v>browsing</x:v>
      </x:c>
      <x:c r="C446" t="str">
        <x:v>medium</x:v>
      </x:c>
      <x:c r="D446" t="str">
        <x:v>fit</x:v>
      </x:c>
    </x:row>
    <x:row r="447">
      <x:c r="A447" t="str">
        <x:v>public_0134</x:v>
      </x:c>
      <x:c r="B447" t="str">
        <x:v>browsing</x:v>
      </x:c>
      <x:c r="C447" t="str">
        <x:v>medium</x:v>
      </x:c>
      <x:c r="D447" t="str">
        <x:v>comfort</x:v>
      </x:c>
    </x:row>
    <x:row r="448">
      <x:c r="A448" t="str">
        <x:v>public_0135</x:v>
      </x:c>
      <x:c r="B448" t="str">
        <x:v>buying</x:v>
      </x:c>
      <x:c r="C448" t="str">
        <x:v>easy</x:v>
      </x:c>
      <x:c r="D448" t="str">
        <x:v>fit</x:v>
      </x:c>
    </x:row>
    <x:row r="449">
      <x:c r="A449" t="str">
        <x:v>public_0135</x:v>
      </x:c>
      <x:c r="B449" t="str">
        <x:v>buying</x:v>
      </x:c>
      <x:c r="C449" t="str">
        <x:v>easy</x:v>
      </x:c>
      <x:c r="D449" t="str">
        <x:v>comfort</x:v>
      </x:c>
    </x:row>
    <x:row r="450">
      <x:c r="A450" t="str">
        <x:v>public_0135</x:v>
      </x:c>
      <x:c r="B450" t="str">
        <x:v>buying</x:v>
      </x:c>
      <x:c r="C450" t="str">
        <x:v>easy</x:v>
      </x:c>
      <x:c r="D450" t="str">
        <x:v>material</x:v>
      </x:c>
    </x:row>
    <x:row r="451">
      <x:c r="A451" t="str">
        <x:v>public_0136</x:v>
      </x:c>
      <x:c r="B451" t="str">
        <x:v>buying</x:v>
      </x:c>
      <x:c r="C451" t="str">
        <x:v>easy</x:v>
      </x:c>
      <x:c r="D451" t="str">
        <x:v>comfort</x:v>
      </x:c>
    </x:row>
    <x:row r="452">
      <x:c r="A452" t="str">
        <x:v>public_0136</x:v>
      </x:c>
      <x:c r="B452" t="str">
        <x:v>buying</x:v>
      </x:c>
      <x:c r="C452" t="str">
        <x:v>easy</x:v>
      </x:c>
      <x:c r="D452" t="str">
        <x:v>style</x:v>
      </x:c>
    </x:row>
    <x:row r="453">
      <x:c r="A453" t="str">
        <x:v>public_0136</x:v>
      </x:c>
      <x:c r="B453" t="str">
        <x:v>buying</x:v>
      </x:c>
      <x:c r="C453" t="str">
        <x:v>easy</x:v>
      </x:c>
      <x:c r="D453" t="str">
        <x:v>material</x:v>
      </x:c>
    </x:row>
    <x:row r="454">
      <x:c r="A454" t="str">
        <x:v>public_0137</x:v>
      </x:c>
      <x:c r="B454" t="str">
        <x:v>browsing</x:v>
      </x:c>
      <x:c r="C454" t="str">
        <x:v>medium</x:v>
      </x:c>
      <x:c r="D454" t="str">
        <x:v>comfort</x:v>
      </x:c>
    </x:row>
    <x:row r="455">
      <x:c r="A455" t="str">
        <x:v>public_0137</x:v>
      </x:c>
      <x:c r="B455" t="str">
        <x:v>browsing</x:v>
      </x:c>
      <x:c r="C455" t="str">
        <x:v>medium</x:v>
      </x:c>
      <x:c r="D455" t="str">
        <x:v>weather</x:v>
      </x:c>
    </x:row>
    <x:row r="456">
      <x:c r="A456" t="str">
        <x:v>public_0137</x:v>
      </x:c>
      <x:c r="B456" t="str">
        <x:v>browsing</x:v>
      </x:c>
      <x:c r="C456" t="str">
        <x:v>medium</x:v>
      </x:c>
      <x:c r="D456" t="str">
        <x:v>material</x:v>
      </x:c>
    </x:row>
    <x:row r="457">
      <x:c r="A457" t="str">
        <x:v>public_0137</x:v>
      </x:c>
      <x:c r="B457" t="str">
        <x:v>browsing</x:v>
      </x:c>
      <x:c r="C457" t="str">
        <x:v>medium</x:v>
      </x:c>
      <x:c r="D457" t="str">
        <x:v>durability</x:v>
      </x:c>
    </x:row>
    <x:row r="458">
      <x:c r="A458" t="str">
        <x:v>public_0138</x:v>
      </x:c>
      <x:c r="B458" t="str">
        <x:v>browsing</x:v>
      </x:c>
      <x:c r="C458" t="str">
        <x:v>medium</x:v>
      </x:c>
      <x:c r="D458" t="str">
        <x:v>performance</x:v>
      </x:c>
    </x:row>
    <x:row r="459">
      <x:c r="A459" t="str">
        <x:v>public_0138</x:v>
      </x:c>
      <x:c r="B459" t="str">
        <x:v>browsing</x:v>
      </x:c>
      <x:c r="C459" t="str">
        <x:v>medium</x:v>
      </x:c>
      <x:c r="D459" t="str">
        <x:v>comfort</x:v>
      </x:c>
    </x:row>
    <x:row r="460">
      <x:c r="A460" t="str">
        <x:v>public_0138</x:v>
      </x:c>
      <x:c r="B460" t="str">
        <x:v>browsing</x:v>
      </x:c>
      <x:c r="C460" t="str">
        <x:v>medium</x:v>
      </x:c>
      <x:c r="D460" t="str">
        <x:v>material</x:v>
      </x:c>
    </x:row>
    <x:row r="461">
      <x:c r="A461" t="str">
        <x:v>public_0138</x:v>
      </x:c>
      <x:c r="B461" t="str">
        <x:v>browsing</x:v>
      </x:c>
      <x:c r="C461" t="str">
        <x:v>medium</x:v>
      </x:c>
      <x:c r="D461" t="str">
        <x:v>durability</x:v>
      </x:c>
    </x:row>
    <x:row r="462">
      <x:c r="A462" t="str">
        <x:v>public_0139</x:v>
      </x:c>
      <x:c r="B462" t="str">
        <x:v>browsing</x:v>
      </x:c>
      <x:c r="C462" t="str">
        <x:v>medium</x:v>
      </x:c>
      <x:c r="D462" t="str">
        <x:v>material</x:v>
      </x:c>
    </x:row>
    <x:row r="463">
      <x:c r="A463" t="str">
        <x:v>public_0139</x:v>
      </x:c>
      <x:c r="B463" t="str">
        <x:v>browsing</x:v>
      </x:c>
      <x:c r="C463" t="str">
        <x:v>medium</x:v>
      </x:c>
      <x:c r="D463" t="str">
        <x:v>fit</x:v>
      </x:c>
    </x:row>
    <x:row r="464">
      <x:c r="A464" t="str">
        <x:v>public_0139</x:v>
      </x:c>
      <x:c r="B464" t="str">
        <x:v>browsing</x:v>
      </x:c>
      <x:c r="C464" t="str">
        <x:v>medium</x:v>
      </x:c>
      <x:c r="D464" t="str">
        <x:v>comfort</x:v>
      </x:c>
    </x:row>
    <x:row r="465">
      <x:c r="A465" t="str">
        <x:v>public_0139</x:v>
      </x:c>
      <x:c r="B465" t="str">
        <x:v>browsing</x:v>
      </x:c>
      <x:c r="C465" t="str">
        <x:v>medium</x:v>
      </x:c>
      <x:c r="D465" t="str">
        <x:v>durability</x:v>
      </x:c>
    </x:row>
    <x:row r="466">
      <x:c r="A466" t="str">
        <x:v>public_0140</x:v>
      </x:c>
      <x:c r="B466" t="str">
        <x:v>browsing</x:v>
      </x:c>
      <x:c r="C466" t="str">
        <x:v>medium</x:v>
      </x:c>
      <x:c r="D466" t="str">
        <x:v>fit</x:v>
      </x:c>
    </x:row>
    <x:row r="467">
      <x:c r="A467" t="str">
        <x:v>public_0140</x:v>
      </x:c>
      <x:c r="B467" t="str">
        <x:v>browsing</x:v>
      </x:c>
      <x:c r="C467" t="str">
        <x:v>medium</x:v>
      </x:c>
      <x:c r="D467" t="str">
        <x:v>comfort</x:v>
      </x:c>
    </x:row>
    <x:row r="468">
      <x:c r="A468" t="str">
        <x:v>public_0140</x:v>
      </x:c>
      <x:c r="B468" t="str">
        <x:v>browsing</x:v>
      </x:c>
      <x:c r="C468" t="str">
        <x:v>medium</x:v>
      </x:c>
      <x:c r="D468" t="str">
        <x:v>material</x:v>
      </x:c>
    </x:row>
    <x:row r="469">
      <x:c r="A469" t="str">
        <x:v>public_0140</x:v>
      </x:c>
      <x:c r="B469" t="str">
        <x:v>browsing</x:v>
      </x:c>
      <x:c r="C469" t="str">
        <x:v>medium</x:v>
      </x:c>
      <x:c r="D469" t="str">
        <x:v>style</x:v>
      </x:c>
    </x:row>
    <x:row r="470">
      <x:c r="A470" t="str">
        <x:v>public_0141</x:v>
      </x:c>
      <x:c r="B470" t="str">
        <x:v>browsing</x:v>
      </x:c>
      <x:c r="C470" t="str">
        <x:v>medium</x:v>
      </x:c>
      <x:c r="D470" t="str">
        <x:v>material</x:v>
      </x:c>
    </x:row>
    <x:row r="471">
      <x:c r="A471" t="str">
        <x:v>public_0141</x:v>
      </x:c>
      <x:c r="B471" t="str">
        <x:v>browsing</x:v>
      </x:c>
      <x:c r="C471" t="str">
        <x:v>medium</x:v>
      </x:c>
      <x:c r="D471" t="str">
        <x:v>fit</x:v>
      </x:c>
    </x:row>
    <x:row r="472">
      <x:c r="A472" t="str">
        <x:v>public_0142</x:v>
      </x:c>
      <x:c r="B472" t="str">
        <x:v>intent_override</x:v>
      </x:c>
      <x:c r="C472" t="str">
        <x:v>hard</x:v>
      </x:c>
      <x:c r="D472" t="str">
        <x:v>warmth</x:v>
      </x:c>
    </x:row>
    <x:row r="473">
      <x:c r="A473" t="str">
        <x:v>public_0142</x:v>
      </x:c>
      <x:c r="B473" t="str">
        <x:v>intent_override</x:v>
      </x:c>
      <x:c r="C473" t="str">
        <x:v>hard</x:v>
      </x:c>
      <x:c r="D473" t="str">
        <x:v>performance</x:v>
      </x:c>
    </x:row>
    <x:row r="474">
      <x:c r="A474" t="str">
        <x:v>public_0142</x:v>
      </x:c>
      <x:c r="B474" t="str">
        <x:v>intent_override</x:v>
      </x:c>
      <x:c r="C474" t="str">
        <x:v>hard</x:v>
      </x:c>
      <x:c r="D474" t="str">
        <x:v>material</x:v>
      </x:c>
    </x:row>
    <x:row r="475">
      <x:c r="A475" t="str">
        <x:v>public_0142</x:v>
      </x:c>
      <x:c r="B475" t="str">
        <x:v>intent_override</x:v>
      </x:c>
      <x:c r="C475" t="str">
        <x:v>hard</x:v>
      </x:c>
      <x:c r="D475" t="str">
        <x:v>fit</x:v>
      </x:c>
    </x:row>
    <x:row r="476">
      <x:c r="A476" t="str">
        <x:v>public_0143</x:v>
      </x:c>
      <x:c r="B476" t="str">
        <x:v>buying</x:v>
      </x:c>
      <x:c r="C476" t="str">
        <x:v>easy</x:v>
      </x:c>
      <x:c r="D476" t="str">
        <x:v>material</x:v>
      </x:c>
    </x:row>
    <x:row r="477">
      <x:c r="A477" t="str">
        <x:v>public_0143</x:v>
      </x:c>
      <x:c r="B477" t="str">
        <x:v>buying</x:v>
      </x:c>
      <x:c r="C477" t="str">
        <x:v>easy</x:v>
      </x:c>
      <x:c r="D477" t="str">
        <x:v>style</x:v>
      </x:c>
    </x:row>
    <x:row r="478">
      <x:c r="A478" t="str">
        <x:v>public_0143</x:v>
      </x:c>
      <x:c r="B478" t="str">
        <x:v>buying</x:v>
      </x:c>
      <x:c r="C478" t="str">
        <x:v>easy</x:v>
      </x:c>
      <x:c r="D478" t="str">
        <x:v>fit</x:v>
      </x:c>
    </x:row>
    <x:row r="479">
      <x:c r="A479" t="str">
        <x:v>public_0143</x:v>
      </x:c>
      <x:c r="B479" t="str">
        <x:v>buying</x:v>
      </x:c>
      <x:c r="C479" t="str">
        <x:v>easy</x:v>
      </x:c>
      <x:c r="D479" t="str">
        <x:v>comfort</x:v>
      </x:c>
    </x:row>
    <x:row r="480">
      <x:c r="A480" t="str">
        <x:v>public_0144</x:v>
      </x:c>
      <x:c r="B480" t="str">
        <x:v>intent_override</x:v>
      </x:c>
      <x:c r="C480" t="str">
        <x:v>hard</x:v>
      </x:c>
      <x:c r="D480" t="str">
        <x:v>comfort</x:v>
      </x:c>
    </x:row>
    <x:row r="481">
      <x:c r="A481" t="str">
        <x:v>public_0144</x:v>
      </x:c>
      <x:c r="B481" t="str">
        <x:v>intent_override</x:v>
      </x:c>
      <x:c r="C481" t="str">
        <x:v>hard</x:v>
      </x:c>
      <x:c r="D481" t="str">
        <x:v>material</x:v>
      </x:c>
    </x:row>
    <x:row r="482">
      <x:c r="A482" t="str">
        <x:v>public_0145</x:v>
      </x:c>
      <x:c r="B482" t="str">
        <x:v>buying</x:v>
      </x:c>
      <x:c r="C482" t="str">
        <x:v>easy</x:v>
      </x:c>
      <x:c r="D482" t="str">
        <x:v>style</x:v>
      </x:c>
    </x:row>
    <x:row r="483">
      <x:c r="A483" t="str">
        <x:v>public_0145</x:v>
      </x:c>
      <x:c r="B483" t="str">
        <x:v>buying</x:v>
      </x:c>
      <x:c r="C483" t="str">
        <x:v>easy</x:v>
      </x:c>
      <x:c r="D483" t="str">
        <x:v>comfort</x:v>
      </x:c>
    </x:row>
    <x:row r="484">
      <x:c r="A484" t="str">
        <x:v>public_0145</x:v>
      </x:c>
      <x:c r="B484" t="str">
        <x:v>buying</x:v>
      </x:c>
      <x:c r="C484" t="str">
        <x:v>easy</x:v>
      </x:c>
      <x:c r="D484" t="str">
        <x:v>durability</x:v>
      </x:c>
    </x:row>
    <x:row r="485">
      <x:c r="A485" t="str">
        <x:v>public_0146</x:v>
      </x:c>
      <x:c r="B485" t="str">
        <x:v>buying</x:v>
      </x:c>
      <x:c r="C485" t="str">
        <x:v>easy</x:v>
      </x:c>
      <x:c r="D485" t="str">
        <x:v>style</x:v>
      </x:c>
    </x:row>
    <x:row r="486">
      <x:c r="A486" t="str">
        <x:v>public_0146</x:v>
      </x:c>
      <x:c r="B486" t="str">
        <x:v>buying</x:v>
      </x:c>
      <x:c r="C486" t="str">
        <x:v>easy</x:v>
      </x:c>
      <x:c r="D486" t="str">
        <x:v>comfort</x:v>
      </x:c>
    </x:row>
    <x:row r="487">
      <x:c r="A487" t="str">
        <x:v>public_0146</x:v>
      </x:c>
      <x:c r="B487" t="str">
        <x:v>buying</x:v>
      </x:c>
      <x:c r="C487" t="str">
        <x:v>easy</x:v>
      </x:c>
      <x:c r="D487" t="str">
        <x:v>material</x:v>
      </x:c>
    </x:row>
    <x:row r="488">
      <x:c r="A488" t="str">
        <x:v>public_0146</x:v>
      </x:c>
      <x:c r="B488" t="str">
        <x:v>buying</x:v>
      </x:c>
      <x:c r="C488" t="str">
        <x:v>easy</x:v>
      </x:c>
      <x:c r="D488" t="str">
        <x:v>fit</x:v>
      </x:c>
    </x:row>
    <x:row r="489">
      <x:c r="A489" t="str">
        <x:v>public_0147</x:v>
      </x:c>
      <x:c r="B489" t="str">
        <x:v>browsing</x:v>
      </x:c>
      <x:c r="C489" t="str">
        <x:v>medium</x:v>
      </x:c>
      <x:c r="D489" t="str">
        <x:v>material</x:v>
      </x:c>
    </x:row>
    <x:row r="490">
      <x:c r="A490" t="str">
        <x:v>public_0147</x:v>
      </x:c>
      <x:c r="B490" t="str">
        <x:v>browsing</x:v>
      </x:c>
      <x:c r="C490" t="str">
        <x:v>medium</x:v>
      </x:c>
      <x:c r="D490" t="str">
        <x:v>comfort</x:v>
      </x:c>
    </x:row>
    <x:row r="491">
      <x:c r="A491" t="str">
        <x:v>public_0147</x:v>
      </x:c>
      <x:c r="B491" t="str">
        <x:v>browsing</x:v>
      </x:c>
      <x:c r="C491" t="str">
        <x:v>medium</x:v>
      </x:c>
      <x:c r="D491" t="str">
        <x:v>fit</x:v>
      </x:c>
    </x:row>
    <x:row r="492">
      <x:c r="A492" t="str">
        <x:v>public_0147</x:v>
      </x:c>
      <x:c r="B492" t="str">
        <x:v>browsing</x:v>
      </x:c>
      <x:c r="C492" t="str">
        <x:v>medium</x:v>
      </x:c>
      <x:c r="D492" t="str">
        <x:v>style</x:v>
      </x:c>
    </x:row>
    <x:row r="493">
      <x:c r="A493" t="str">
        <x:v>public_0148</x:v>
      </x:c>
      <x:c r="B493" t="str">
        <x:v>buying</x:v>
      </x:c>
      <x:c r="C493" t="str">
        <x:v>easy</x:v>
      </x:c>
      <x:c r="D493" t="str">
        <x:v>fit</x:v>
      </x:c>
    </x:row>
    <x:row r="494">
      <x:c r="A494" t="str">
        <x:v>public_0148</x:v>
      </x:c>
      <x:c r="B494" t="str">
        <x:v>buying</x:v>
      </x:c>
      <x:c r="C494" t="str">
        <x:v>easy</x:v>
      </x:c>
      <x:c r="D494" t="str">
        <x:v>comfort</x:v>
      </x:c>
    </x:row>
    <x:row r="495">
      <x:c r="A495" t="str">
        <x:v>public_0148</x:v>
      </x:c>
      <x:c r="B495" t="str">
        <x:v>buying</x:v>
      </x:c>
      <x:c r="C495" t="str">
        <x:v>easy</x:v>
      </x:c>
      <x:c r="D495" t="str">
        <x:v>material</x:v>
      </x:c>
    </x:row>
    <x:row r="496">
      <x:c r="A496" t="str">
        <x:v>public_0148</x:v>
      </x:c>
      <x:c r="B496" t="str">
        <x:v>buying</x:v>
      </x:c>
      <x:c r="C496" t="str">
        <x:v>easy</x:v>
      </x:c>
      <x:c r="D496" t="str">
        <x:v>performance</x:v>
      </x:c>
    </x:row>
    <x:row r="497">
      <x:c r="A497" t="str">
        <x:v>public_0149</x:v>
      </x:c>
      <x:c r="B497" t="str">
        <x:v>buying</x:v>
      </x:c>
      <x:c r="C497" t="str">
        <x:v>easy</x:v>
      </x:c>
      <x:c r="D497" t="str">
        <x:v>fit</x:v>
      </x:c>
    </x:row>
    <x:row r="498">
      <x:c r="A498" t="str">
        <x:v>public_0149</x:v>
      </x:c>
      <x:c r="B498" t="str">
        <x:v>buying</x:v>
      </x:c>
      <x:c r="C498" t="str">
        <x:v>easy</x:v>
      </x:c>
      <x:c r="D498" t="str">
        <x:v>performance</x:v>
      </x:c>
    </x:row>
    <x:row r="499">
      <x:c r="A499" t="str">
        <x:v>public_0149</x:v>
      </x:c>
      <x:c r="B499" t="str">
        <x:v>buying</x:v>
      </x:c>
      <x:c r="C499" t="str">
        <x:v>easy</x:v>
      </x:c>
      <x:c r="D499" t="str">
        <x:v>material</x:v>
      </x:c>
    </x:row>
    <x:row r="500">
      <x:c r="A500" t="str">
        <x:v>public_0150</x:v>
      </x:c>
      <x:c r="B500" t="str">
        <x:v>browsing</x:v>
      </x:c>
      <x:c r="C500" t="str">
        <x:v>medium</x:v>
      </x:c>
      <x:c r="D500" t="str">
        <x:v>material</x:v>
      </x:c>
    </x:row>
    <x:row r="501">
      <x:c r="A501" t="str">
        <x:v>public_0150</x:v>
      </x:c>
      <x:c r="B501" t="str">
        <x:v>browsing</x:v>
      </x:c>
      <x:c r="C501" t="str">
        <x:v>medium</x:v>
      </x:c>
      <x:c r="D501" t="str">
        <x:v>fit</x:v>
      </x:c>
    </x:row>
    <x:row r="502">
      <x:c r="A502" t="str">
        <x:v>public_0151</x:v>
      </x:c>
      <x:c r="B502" t="str">
        <x:v>browsing</x:v>
      </x:c>
      <x:c r="C502" t="str">
        <x:v>medium</x:v>
      </x:c>
      <x:c r="D502" t="str">
        <x:v>comfort</x:v>
      </x:c>
    </x:row>
    <x:row r="503">
      <x:c r="A503" t="str">
        <x:v>public_0151</x:v>
      </x:c>
      <x:c r="B503" t="str">
        <x:v>browsing</x:v>
      </x:c>
      <x:c r="C503" t="str">
        <x:v>medium</x:v>
      </x:c>
      <x:c r="D503" t="str">
        <x:v>fit</x:v>
      </x:c>
    </x:row>
    <x:row r="504">
      <x:c r="A504" t="str">
        <x:v>public_0151</x:v>
      </x:c>
      <x:c r="B504" t="str">
        <x:v>browsing</x:v>
      </x:c>
      <x:c r="C504" t="str">
        <x:v>medium</x:v>
      </x:c>
      <x:c r="D504" t="str">
        <x:v>durability</x:v>
      </x:c>
    </x:row>
    <x:row r="505">
      <x:c r="A505" t="str">
        <x:v>public_0151</x:v>
      </x:c>
      <x:c r="B505" t="str">
        <x:v>browsing</x:v>
      </x:c>
      <x:c r="C505" t="str">
        <x:v>medium</x:v>
      </x:c>
      <x:c r="D505" t="str">
        <x:v>material</x:v>
      </x:c>
    </x:row>
    <x:row r="506">
      <x:c r="A506" t="str">
        <x:v>public_0152</x:v>
      </x:c>
      <x:c r="B506" t="str">
        <x:v>buying</x:v>
      </x:c>
      <x:c r="C506" t="str">
        <x:v>easy</x:v>
      </x:c>
      <x:c r="D506" t="str">
        <x:v>comfort</x:v>
      </x:c>
    </x:row>
    <x:row r="507">
      <x:c r="A507" t="str">
        <x:v>public_0152</x:v>
      </x:c>
      <x:c r="B507" t="str">
        <x:v>buying</x:v>
      </x:c>
      <x:c r="C507" t="str">
        <x:v>easy</x:v>
      </x:c>
      <x:c r="D507" t="str">
        <x:v>fit</x:v>
      </x:c>
    </x:row>
    <x:row r="508">
      <x:c r="A508" t="str">
        <x:v>public_0152</x:v>
      </x:c>
      <x:c r="B508" t="str">
        <x:v>buying</x:v>
      </x:c>
      <x:c r="C508" t="str">
        <x:v>easy</x:v>
      </x:c>
      <x:c r="D508" t="str">
        <x:v>durability</x:v>
      </x:c>
    </x:row>
    <x:row r="509">
      <x:c r="A509" t="str">
        <x:v>public_0152</x:v>
      </x:c>
      <x:c r="B509" t="str">
        <x:v>buying</x:v>
      </x:c>
      <x:c r="C509" t="str">
        <x:v>easy</x:v>
      </x:c>
      <x:c r="D509" t="str">
        <x:v>style</x:v>
      </x:c>
    </x:row>
    <x:row r="510">
      <x:c r="A510" t="str">
        <x:v>public_0153</x:v>
      </x:c>
      <x:c r="B510" t="str">
        <x:v>browsing</x:v>
      </x:c>
      <x:c r="C510" t="str">
        <x:v>medium</x:v>
      </x:c>
      <x:c r="D510" t="str">
        <x:v>comfort</x:v>
      </x:c>
    </x:row>
    <x:row r="511">
      <x:c r="A511" t="str">
        <x:v>public_0153</x:v>
      </x:c>
      <x:c r="B511" t="str">
        <x:v>browsing</x:v>
      </x:c>
      <x:c r="C511" t="str">
        <x:v>medium</x:v>
      </x:c>
      <x:c r="D511" t="str">
        <x:v>fit</x:v>
      </x:c>
    </x:row>
    <x:row r="512">
      <x:c r="A512" t="str">
        <x:v>public_0153</x:v>
      </x:c>
      <x:c r="B512" t="str">
        <x:v>browsing</x:v>
      </x:c>
      <x:c r="C512" t="str">
        <x:v>medium</x:v>
      </x:c>
      <x:c r="D512" t="str">
        <x:v>style</x:v>
      </x:c>
    </x:row>
    <x:row r="513">
      <x:c r="A513" t="str">
        <x:v>public_0153</x:v>
      </x:c>
      <x:c r="B513" t="str">
        <x:v>browsing</x:v>
      </x:c>
      <x:c r="C513" t="str">
        <x:v>medium</x:v>
      </x:c>
      <x:c r="D513" t="str">
        <x:v>durability</x:v>
      </x:c>
    </x:row>
    <x:row r="514">
      <x:c r="A514" t="str">
        <x:v>public_0154</x:v>
      </x:c>
      <x:c r="B514" t="str">
        <x:v>buying</x:v>
      </x:c>
      <x:c r="C514" t="str">
        <x:v>easy</x:v>
      </x:c>
      <x:c r="D514" t="str">
        <x:v>material</x:v>
      </x:c>
    </x:row>
    <x:row r="515">
      <x:c r="A515" t="str">
        <x:v>public_0154</x:v>
      </x:c>
      <x:c r="B515" t="str">
        <x:v>buying</x:v>
      </x:c>
      <x:c r="C515" t="str">
        <x:v>easy</x:v>
      </x:c>
      <x:c r="D515" t="str">
        <x:v>comfort</x:v>
      </x:c>
    </x:row>
    <x:row r="516">
      <x:c r="A516" t="str">
        <x:v>public_0154</x:v>
      </x:c>
      <x:c r="B516" t="str">
        <x:v>buying</x:v>
      </x:c>
      <x:c r="C516" t="str">
        <x:v>easy</x:v>
      </x:c>
      <x:c r="D516" t="str">
        <x:v>fit</x:v>
      </x:c>
    </x:row>
    <x:row r="517">
      <x:c r="A517" t="str">
        <x:v>public_0154</x:v>
      </x:c>
      <x:c r="B517" t="str">
        <x:v>buying</x:v>
      </x:c>
      <x:c r="C517" t="str">
        <x:v>easy</x:v>
      </x:c>
      <x:c r="D517" t="str">
        <x:v>style</x:v>
      </x:c>
    </x:row>
    <x:row r="518">
      <x:c r="A518" t="str">
        <x:v>public_0155</x:v>
      </x:c>
      <x:c r="B518" t="str">
        <x:v>buying</x:v>
      </x:c>
      <x:c r="C518" t="str">
        <x:v>easy</x:v>
      </x:c>
      <x:c r="D518" t="str">
        <x:v>style</x:v>
      </x:c>
    </x:row>
    <x:row r="519">
      <x:c r="A519" t="str">
        <x:v>public_0155</x:v>
      </x:c>
      <x:c r="B519" t="str">
        <x:v>buying</x:v>
      </x:c>
      <x:c r="C519" t="str">
        <x:v>easy</x:v>
      </x:c>
      <x:c r="D519" t="str">
        <x:v>fit</x:v>
      </x:c>
    </x:row>
    <x:row r="520">
      <x:c r="A520" t="str">
        <x:v>public_0155</x:v>
      </x:c>
      <x:c r="B520" t="str">
        <x:v>buying</x:v>
      </x:c>
      <x:c r="C520" t="str">
        <x:v>easy</x:v>
      </x:c>
      <x:c r="D520" t="str">
        <x:v>comfort</x:v>
      </x:c>
    </x:row>
    <x:row r="521">
      <x:c r="A521" t="str">
        <x:v>public_0155</x:v>
      </x:c>
      <x:c r="B521" t="str">
        <x:v>buying</x:v>
      </x:c>
      <x:c r="C521" t="str">
        <x:v>easy</x:v>
      </x:c>
      <x:c r="D521" t="str">
        <x:v>material</x:v>
      </x:c>
    </x:row>
    <x:row r="522">
      <x:c r="A522" t="str">
        <x:v>public_0156</x:v>
      </x:c>
      <x:c r="B522" t="str">
        <x:v>buying</x:v>
      </x:c>
      <x:c r="C522" t="str">
        <x:v>easy</x:v>
      </x:c>
      <x:c r="D522" t="str">
        <x:v>fit</x:v>
      </x:c>
    </x:row>
    <x:row r="523">
      <x:c r="A523" t="str">
        <x:v>public_0156</x:v>
      </x:c>
      <x:c r="B523" t="str">
        <x:v>buying</x:v>
      </x:c>
      <x:c r="C523" t="str">
        <x:v>easy</x:v>
      </x:c>
      <x:c r="D523" t="str">
        <x:v>comfort</x:v>
      </x:c>
    </x:row>
    <x:row r="524">
      <x:c r="A524" t="str">
        <x:v>public_0156</x:v>
      </x:c>
      <x:c r="B524" t="str">
        <x:v>buying</x:v>
      </x:c>
      <x:c r="C524" t="str">
        <x:v>easy</x:v>
      </x:c>
      <x:c r="D524" t="str">
        <x:v>style</x:v>
      </x:c>
    </x:row>
    <x:row r="525">
      <x:c r="A525" t="str">
        <x:v>public_0157</x:v>
      </x:c>
      <x:c r="B525" t="str">
        <x:v>buying</x:v>
      </x:c>
      <x:c r="C525" t="str">
        <x:v>easy</x:v>
      </x:c>
      <x:c r="D525" t="str">
        <x:v>comfort</x:v>
      </x:c>
    </x:row>
    <x:row r="526">
      <x:c r="A526" t="str">
        <x:v>public_0157</x:v>
      </x:c>
      <x:c r="B526" t="str">
        <x:v>buying</x:v>
      </x:c>
      <x:c r="C526" t="str">
        <x:v>easy</x:v>
      </x:c>
      <x:c r="D526" t="str">
        <x:v>fit</x:v>
      </x:c>
    </x:row>
    <x:row r="527">
      <x:c r="A527" t="str">
        <x:v>public_0157</x:v>
      </x:c>
      <x:c r="B527" t="str">
        <x:v>buying</x:v>
      </x:c>
      <x:c r="C527" t="str">
        <x:v>easy</x:v>
      </x:c>
      <x:c r="D527" t="str">
        <x:v>material</x:v>
      </x:c>
    </x:row>
    <x:row r="528">
      <x:c r="A528" t="str">
        <x:v>public_0157</x:v>
      </x:c>
      <x:c r="B528" t="str">
        <x:v>buying</x:v>
      </x:c>
      <x:c r="C528" t="str">
        <x:v>easy</x:v>
      </x:c>
      <x:c r="D528" t="str">
        <x:v>warmth</x:v>
      </x:c>
    </x:row>
    <x:row r="529">
      <x:c r="A529" t="str">
        <x:v>public_0158</x:v>
      </x:c>
      <x:c r="B529" t="str">
        <x:v>browsing</x:v>
      </x:c>
      <x:c r="C529" t="str">
        <x:v>medium</x:v>
      </x:c>
      <x:c r="D529" t="str">
        <x:v>warmth</x:v>
      </x:c>
    </x:row>
    <x:row r="530">
      <x:c r="A530" t="str">
        <x:v>public_0158</x:v>
      </x:c>
      <x:c r="B530" t="str">
        <x:v>browsing</x:v>
      </x:c>
      <x:c r="C530" t="str">
        <x:v>medium</x:v>
      </x:c>
      <x:c r="D530" t="str">
        <x:v>comfort</x:v>
      </x:c>
    </x:row>
    <x:row r="531">
      <x:c r="A531" t="str">
        <x:v>public_0158</x:v>
      </x:c>
      <x:c r="B531" t="str">
        <x:v>browsing</x:v>
      </x:c>
      <x:c r="C531" t="str">
        <x:v>medium</x:v>
      </x:c>
      <x:c r="D531" t="str">
        <x:v>material</x:v>
      </x:c>
    </x:row>
    <x:row r="532">
      <x:c r="A532" t="str">
        <x:v>public_0158</x:v>
      </x:c>
      <x:c r="B532" t="str">
        <x:v>browsing</x:v>
      </x:c>
      <x:c r="C532" t="str">
        <x:v>medium</x:v>
      </x:c>
      <x:c r="D532" t="str">
        <x:v>fit</x:v>
      </x:c>
    </x:row>
    <x:row r="533">
      <x:c r="A533" t="str">
        <x:v>public_0159</x:v>
      </x:c>
      <x:c r="B533" t="str">
        <x:v>buying</x:v>
      </x:c>
      <x:c r="C533" t="str">
        <x:v>easy</x:v>
      </x:c>
      <x:c r="D533" t="str">
        <x:v>material</x:v>
      </x:c>
    </x:row>
    <x:row r="534">
      <x:c r="A534" t="str">
        <x:v>public_0159</x:v>
      </x:c>
      <x:c r="B534" t="str">
        <x:v>buying</x:v>
      </x:c>
      <x:c r="C534" t="str">
        <x:v>easy</x:v>
      </x:c>
      <x:c r="D534" t="str">
        <x:v>comfort</x:v>
      </x:c>
    </x:row>
    <x:row r="535">
      <x:c r="A535" t="str">
        <x:v>public_0159</x:v>
      </x:c>
      <x:c r="B535" t="str">
        <x:v>buying</x:v>
      </x:c>
      <x:c r="C535" t="str">
        <x:v>easy</x:v>
      </x:c>
      <x:c r="D535" t="str">
        <x:v>fit</x:v>
      </x:c>
    </x:row>
    <x:row r="536">
      <x:c r="A536" t="str">
        <x:v>public_0159</x:v>
      </x:c>
      <x:c r="B536" t="str">
        <x:v>buying</x:v>
      </x:c>
      <x:c r="C536" t="str">
        <x:v>easy</x:v>
      </x:c>
      <x:c r="D536" t="str">
        <x:v>style</x:v>
      </x:c>
    </x:row>
    <x:row r="537">
      <x:c r="A537" t="str">
        <x:v>public_0160</x:v>
      </x:c>
      <x:c r="B537" t="str">
        <x:v>buying</x:v>
      </x:c>
      <x:c r="C537" t="str">
        <x:v>easy</x:v>
      </x:c>
      <x:c r="D537" t="str">
        <x:v>material</x:v>
      </x:c>
    </x:row>
    <x:row r="538">
      <x:c r="A538" t="str">
        <x:v>public_0160</x:v>
      </x:c>
      <x:c r="B538" t="str">
        <x:v>buying</x:v>
      </x:c>
      <x:c r="C538" t="str">
        <x:v>easy</x:v>
      </x:c>
      <x:c r="D538" t="str">
        <x:v>fit</x:v>
      </x:c>
    </x:row>
    <x:row r="539">
      <x:c r="A539" t="str">
        <x:v>public_0161</x:v>
      </x:c>
      <x:c r="B539" t="str">
        <x:v>buying</x:v>
      </x:c>
      <x:c r="C539" t="str">
        <x:v>easy</x:v>
      </x:c>
      <x:c r="D539" t="str">
        <x:v>style</x:v>
      </x:c>
    </x:row>
    <x:row r="540">
      <x:c r="A540" t="str">
        <x:v>public_0161</x:v>
      </x:c>
      <x:c r="B540" t="str">
        <x:v>buying</x:v>
      </x:c>
      <x:c r="C540" t="str">
        <x:v>easy</x:v>
      </x:c>
      <x:c r="D540" t="str">
        <x:v>fit</x:v>
      </x:c>
    </x:row>
    <x:row r="541">
      <x:c r="A541" t="str">
        <x:v>public_0161</x:v>
      </x:c>
      <x:c r="B541" t="str">
        <x:v>buying</x:v>
      </x:c>
      <x:c r="C541" t="str">
        <x:v>easy</x:v>
      </x:c>
      <x:c r="D541" t="str">
        <x:v>comfort</x:v>
      </x:c>
    </x:row>
    <x:row r="542">
      <x:c r="A542" t="str">
        <x:v>public_0161</x:v>
      </x:c>
      <x:c r="B542" t="str">
        <x:v>buying</x:v>
      </x:c>
      <x:c r="C542" t="str">
        <x:v>easy</x:v>
      </x:c>
      <x:c r="D542" t="str">
        <x:v>material</x:v>
      </x:c>
    </x:row>
    <x:row r="543">
      <x:c r="A543" t="str">
        <x:v>public_0162</x:v>
      </x:c>
      <x:c r="B543" t="str">
        <x:v>browsing</x:v>
      </x:c>
      <x:c r="C543" t="str">
        <x:v>medium</x:v>
      </x:c>
      <x:c r="D543" t="str">
        <x:v>material</x:v>
      </x:c>
    </x:row>
    <x:row r="544">
      <x:c r="A544" t="str">
        <x:v>public_0162</x:v>
      </x:c>
      <x:c r="B544" t="str">
        <x:v>browsing</x:v>
      </x:c>
      <x:c r="C544" t="str">
        <x:v>medium</x:v>
      </x:c>
      <x:c r="D544" t="str">
        <x:v>fit</x:v>
      </x:c>
    </x:row>
    <x:row r="545">
      <x:c r="A545" t="str">
        <x:v>public_0163</x:v>
      </x:c>
      <x:c r="B545" t="str">
        <x:v>buying</x:v>
      </x:c>
      <x:c r="C545" t="str">
        <x:v>easy</x:v>
      </x:c>
      <x:c r="D545" t="str">
        <x:v>fit</x:v>
      </x:c>
    </x:row>
    <x:row r="546">
      <x:c r="A546" t="str">
        <x:v>public_0163</x:v>
      </x:c>
      <x:c r="B546" t="str">
        <x:v>buying</x:v>
      </x:c>
      <x:c r="C546" t="str">
        <x:v>easy</x:v>
      </x:c>
      <x:c r="D546" t="str">
        <x:v>comfort</x:v>
      </x:c>
    </x:row>
    <x:row r="547">
      <x:c r="A547" t="str">
        <x:v>public_0163</x:v>
      </x:c>
      <x:c r="B547" t="str">
        <x:v>buying</x:v>
      </x:c>
      <x:c r="C547" t="str">
        <x:v>easy</x:v>
      </x:c>
      <x:c r="D547" t="str">
        <x:v>material</x:v>
      </x:c>
    </x:row>
    <x:row r="548">
      <x:c r="A548" t="str">
        <x:v>public_0163</x:v>
      </x:c>
      <x:c r="B548" t="str">
        <x:v>buying</x:v>
      </x:c>
      <x:c r="C548" t="str">
        <x:v>easy</x:v>
      </x:c>
      <x:c r="D548" t="str">
        <x:v>performance</x:v>
      </x:c>
    </x:row>
    <x:row r="549">
      <x:c r="A549" t="str">
        <x:v>public_0164</x:v>
      </x:c>
      <x:c r="B549" t="str">
        <x:v>browsing</x:v>
      </x:c>
      <x:c r="C549" t="str">
        <x:v>medium</x:v>
      </x:c>
      <x:c r="D549" t="str">
        <x:v>material</x:v>
      </x:c>
    </x:row>
    <x:row r="550">
      <x:c r="A550" t="str">
        <x:v>public_0164</x:v>
      </x:c>
      <x:c r="B550" t="str">
        <x:v>browsing</x:v>
      </x:c>
      <x:c r="C550" t="str">
        <x:v>medium</x:v>
      </x:c>
      <x:c r="D550" t="str">
        <x:v>fit</x:v>
      </x:c>
    </x:row>
    <x:row r="551">
      <x:c r="A551" t="str">
        <x:v>public_0164</x:v>
      </x:c>
      <x:c r="B551" t="str">
        <x:v>browsing</x:v>
      </x:c>
      <x:c r="C551" t="str">
        <x:v>medium</x:v>
      </x:c>
      <x:c r="D551" t="str">
        <x:v>style</x:v>
      </x:c>
    </x:row>
    <x:row r="552">
      <x:c r="A552" t="str">
        <x:v>public_0164</x:v>
      </x:c>
      <x:c r="B552" t="str">
        <x:v>browsing</x:v>
      </x:c>
      <x:c r="C552" t="str">
        <x:v>medium</x:v>
      </x:c>
      <x:c r="D552" t="str">
        <x:v>weather</x:v>
      </x:c>
    </x:row>
    <x:row r="553">
      <x:c r="A553" t="str">
        <x:v>public_0165</x:v>
      </x:c>
      <x:c r="B553" t="str">
        <x:v>buying</x:v>
      </x:c>
      <x:c r="C553" t="str">
        <x:v>easy</x:v>
      </x:c>
      <x:c r="D553" t="str">
        <x:v>material</x:v>
      </x:c>
    </x:row>
    <x:row r="554">
      <x:c r="A554" t="str">
        <x:v>public_0165</x:v>
      </x:c>
      <x:c r="B554" t="str">
        <x:v>buying</x:v>
      </x:c>
      <x:c r="C554" t="str">
        <x:v>easy</x:v>
      </x:c>
      <x:c r="D554" t="str">
        <x:v>comfort</x:v>
      </x:c>
    </x:row>
    <x:row r="555">
      <x:c r="A555" t="str">
        <x:v>public_0165</x:v>
      </x:c>
      <x:c r="B555" t="str">
        <x:v>buying</x:v>
      </x:c>
      <x:c r="C555" t="str">
        <x:v>easy</x:v>
      </x:c>
      <x:c r="D555" t="str">
        <x:v>fit</x:v>
      </x:c>
    </x:row>
    <x:row r="556">
      <x:c r="A556" t="str">
        <x:v>public_0165</x:v>
      </x:c>
      <x:c r="B556" t="str">
        <x:v>buying</x:v>
      </x:c>
      <x:c r="C556" t="str">
        <x:v>easy</x:v>
      </x:c>
      <x:c r="D556" t="str">
        <x:v>style</x:v>
      </x:c>
    </x:row>
    <x:row r="557">
      <x:c r="A557" t="str">
        <x:v>public_0166</x:v>
      </x:c>
      <x:c r="B557" t="str">
        <x:v>intent_override</x:v>
      </x:c>
      <x:c r="C557" t="str">
        <x:v>hard</x:v>
      </x:c>
      <x:c r="D557" t="str">
        <x:v>comfort</x:v>
      </x:c>
    </x:row>
    <x:row r="558">
      <x:c r="A558" t="str">
        <x:v>public_0166</x:v>
      </x:c>
      <x:c r="B558" t="str">
        <x:v>intent_override</x:v>
      </x:c>
      <x:c r="C558" t="str">
        <x:v>hard</x:v>
      </x:c>
      <x:c r="D558" t="str">
        <x:v>fit</x:v>
      </x:c>
    </x:row>
    <x:row r="559">
      <x:c r="A559" t="str">
        <x:v>public_0166</x:v>
      </x:c>
      <x:c r="B559" t="str">
        <x:v>intent_override</x:v>
      </x:c>
      <x:c r="C559" t="str">
        <x:v>hard</x:v>
      </x:c>
      <x:c r="D559" t="str">
        <x:v>style</x:v>
      </x:c>
    </x:row>
    <x:row r="560">
      <x:c r="A560" t="str">
        <x:v>public_0167</x:v>
      </x:c>
      <x:c r="B560" t="str">
        <x:v>browsing</x:v>
      </x:c>
      <x:c r="C560" t="str">
        <x:v>medium</x:v>
      </x:c>
      <x:c r="D560" t="str">
        <x:v>comfort</x:v>
      </x:c>
    </x:row>
    <x:row r="561">
      <x:c r="A561" t="str">
        <x:v>public_0167</x:v>
      </x:c>
      <x:c r="B561" t="str">
        <x:v>browsing</x:v>
      </x:c>
      <x:c r="C561" t="str">
        <x:v>medium</x:v>
      </x:c>
      <x:c r="D561" t="str">
        <x:v>fit</x:v>
      </x:c>
    </x:row>
    <x:row r="562">
      <x:c r="A562" t="str">
        <x:v>public_0167</x:v>
      </x:c>
      <x:c r="B562" t="str">
        <x:v>browsing</x:v>
      </x:c>
      <x:c r="C562" t="str">
        <x:v>medium</x:v>
      </x:c>
      <x:c r="D562" t="str">
        <x:v>style</x:v>
      </x:c>
    </x:row>
    <x:row r="563">
      <x:c r="A563" t="str">
        <x:v>public_0167</x:v>
      </x:c>
      <x:c r="B563" t="str">
        <x:v>browsing</x:v>
      </x:c>
      <x:c r="C563" t="str">
        <x:v>medium</x:v>
      </x:c>
      <x:c r="D563" t="str">
        <x:v>durability</x:v>
      </x:c>
    </x:row>
    <x:row r="564">
      <x:c r="A564" t="str">
        <x:v>public_0168</x:v>
      </x:c>
      <x:c r="B564" t="str">
        <x:v>buying</x:v>
      </x:c>
      <x:c r="C564" t="str">
        <x:v>easy</x:v>
      </x:c>
      <x:c r="D564" t="str">
        <x:v>comfort</x:v>
      </x:c>
    </x:row>
    <x:row r="565">
      <x:c r="A565" t="str">
        <x:v>public_0168</x:v>
      </x:c>
      <x:c r="B565" t="str">
        <x:v>buying</x:v>
      </x:c>
      <x:c r="C565" t="str">
        <x:v>easy</x:v>
      </x:c>
      <x:c r="D565" t="str">
        <x:v>warmth</x:v>
      </x:c>
    </x:row>
    <x:row r="566">
      <x:c r="A566" t="str">
        <x:v>public_0168</x:v>
      </x:c>
      <x:c r="B566" t="str">
        <x:v>buying</x:v>
      </x:c>
      <x:c r="C566" t="str">
        <x:v>easy</x:v>
      </x:c>
      <x:c r="D566" t="str">
        <x:v>durability</x:v>
      </x:c>
    </x:row>
    <x:row r="567">
      <x:c r="A567" t="str">
        <x:v>public_0168</x:v>
      </x:c>
      <x:c r="B567" t="str">
        <x:v>buying</x:v>
      </x:c>
      <x:c r="C567" t="str">
        <x:v>easy</x:v>
      </x:c>
      <x:c r="D567" t="str">
        <x:v>fit</x:v>
      </x:c>
    </x:row>
    <x:row r="568">
      <x:c r="A568" t="str">
        <x:v>public_0169</x:v>
      </x:c>
      <x:c r="B568" t="str">
        <x:v>boundary</x:v>
      </x:c>
      <x:c r="C568" t="str">
        <x:v>medium</x:v>
      </x:c>
      <x:c r="D568" t="str">
        <x:v>material</x:v>
      </x:c>
    </x:row>
    <x:row r="569">
      <x:c r="A569" t="str">
        <x:v>public_0169</x:v>
      </x:c>
      <x:c r="B569" t="str">
        <x:v>boundary</x:v>
      </x:c>
      <x:c r="C569" t="str">
        <x:v>medium</x:v>
      </x:c>
      <x:c r="D569" t="str">
        <x:v>comfort</x:v>
      </x:c>
    </x:row>
    <x:row r="570">
      <x:c r="A570" t="str">
        <x:v>public_0170</x:v>
      </x:c>
      <x:c r="B570" t="str">
        <x:v>browsing</x:v>
      </x:c>
      <x:c r="C570" t="str">
        <x:v>medium</x:v>
      </x:c>
      <x:c r="D570" t="str">
        <x:v>material</x:v>
      </x:c>
    </x:row>
    <x:row r="571">
      <x:c r="A571" t="str">
        <x:v>public_0170</x:v>
      </x:c>
      <x:c r="B571" t="str">
        <x:v>browsing</x:v>
      </x:c>
      <x:c r="C571" t="str">
        <x:v>medium</x:v>
      </x:c>
      <x:c r="D571" t="str">
        <x:v>fit</x:v>
      </x:c>
    </x:row>
    <x:row r="572">
      <x:c r="A572" t="str">
        <x:v>public_0171</x:v>
      </x:c>
      <x:c r="B572" t="str">
        <x:v>buying</x:v>
      </x:c>
      <x:c r="C572" t="str">
        <x:v>easy</x:v>
      </x:c>
      <x:c r="D572" t="str">
        <x:v>fit</x:v>
      </x:c>
    </x:row>
    <x:row r="573">
      <x:c r="A573" t="str">
        <x:v>public_0171</x:v>
      </x:c>
      <x:c r="B573" t="str">
        <x:v>buying</x:v>
      </x:c>
      <x:c r="C573" t="str">
        <x:v>easy</x:v>
      </x:c>
      <x:c r="D573" t="str">
        <x:v>material</x:v>
      </x:c>
    </x:row>
    <x:row r="574">
      <x:c r="A574" t="str">
        <x:v>public_0171</x:v>
      </x:c>
      <x:c r="B574" t="str">
        <x:v>buying</x:v>
      </x:c>
      <x:c r="C574" t="str">
        <x:v>easy</x:v>
      </x:c>
      <x:c r="D574" t="str">
        <x:v>comfort</x:v>
      </x:c>
    </x:row>
    <x:row r="575">
      <x:c r="A575" t="str">
        <x:v>public_0171</x:v>
      </x:c>
      <x:c r="B575" t="str">
        <x:v>buying</x:v>
      </x:c>
      <x:c r="C575" t="str">
        <x:v>easy</x:v>
      </x:c>
      <x:c r="D575" t="str">
        <x:v>warmth</x:v>
      </x:c>
    </x:row>
    <x:row r="576">
      <x:c r="A576" t="str">
        <x:v>public_0172</x:v>
      </x:c>
      <x:c r="B576" t="str">
        <x:v>browsing</x:v>
      </x:c>
      <x:c r="C576" t="str">
        <x:v>medium</x:v>
      </x:c>
      <x:c r="D576" t="str">
        <x:v>style</x:v>
      </x:c>
    </x:row>
    <x:row r="577">
      <x:c r="A577" t="str">
        <x:v>public_0172</x:v>
      </x:c>
      <x:c r="B577" t="str">
        <x:v>browsing</x:v>
      </x:c>
      <x:c r="C577" t="str">
        <x:v>medium</x:v>
      </x:c>
      <x:c r="D577" t="str">
        <x:v>fit</x:v>
      </x:c>
    </x:row>
    <x:row r="578">
      <x:c r="A578" t="str">
        <x:v>public_0172</x:v>
      </x:c>
      <x:c r="B578" t="str">
        <x:v>browsing</x:v>
      </x:c>
      <x:c r="C578" t="str">
        <x:v>medium</x:v>
      </x:c>
      <x:c r="D578" t="str">
        <x:v>material</x:v>
      </x:c>
    </x:row>
    <x:row r="579">
      <x:c r="A579" t="str">
        <x:v>public_0172</x:v>
      </x:c>
      <x:c r="B579" t="str">
        <x:v>browsing</x:v>
      </x:c>
      <x:c r="C579" t="str">
        <x:v>medium</x:v>
      </x:c>
      <x:c r="D579" t="str">
        <x:v>comfort</x:v>
      </x:c>
    </x:row>
    <x:row r="580">
      <x:c r="A580" t="str">
        <x:v>public_0173</x:v>
      </x:c>
      <x:c r="B580" t="str">
        <x:v>browsing</x:v>
      </x:c>
      <x:c r="C580" t="str">
        <x:v>medium</x:v>
      </x:c>
      <x:c r="D580" t="str">
        <x:v>fit</x:v>
      </x:c>
    </x:row>
    <x:row r="581">
      <x:c r="A581" t="str">
        <x:v>public_0173</x:v>
      </x:c>
      <x:c r="B581" t="str">
        <x:v>browsing</x:v>
      </x:c>
      <x:c r="C581" t="str">
        <x:v>medium</x:v>
      </x:c>
      <x:c r="D581" t="str">
        <x:v>comfort</x:v>
      </x:c>
    </x:row>
    <x:row r="582">
      <x:c r="A582" t="str">
        <x:v>public_0173</x:v>
      </x:c>
      <x:c r="B582" t="str">
        <x:v>browsing</x:v>
      </x:c>
      <x:c r="C582" t="str">
        <x:v>medium</x:v>
      </x:c>
      <x:c r="D582" t="str">
        <x:v>durability</x:v>
      </x:c>
    </x:row>
    <x:row r="583">
      <x:c r="A583" t="str">
        <x:v>public_0173</x:v>
      </x:c>
      <x:c r="B583" t="str">
        <x:v>browsing</x:v>
      </x:c>
      <x:c r="C583" t="str">
        <x:v>medium</x:v>
      </x:c>
      <x:c r="D583" t="str">
        <x:v>style</x:v>
      </x:c>
    </x:row>
    <x:row r="584">
      <x:c r="A584" t="str">
        <x:v>public_0174</x:v>
      </x:c>
      <x:c r="B584" t="str">
        <x:v>buying</x:v>
      </x:c>
      <x:c r="C584" t="str">
        <x:v>easy</x:v>
      </x:c>
      <x:c r="D584" t="str">
        <x:v>fit</x:v>
      </x:c>
    </x:row>
    <x:row r="585">
      <x:c r="A585" t="str">
        <x:v>public_0174</x:v>
      </x:c>
      <x:c r="B585" t="str">
        <x:v>buying</x:v>
      </x:c>
      <x:c r="C585" t="str">
        <x:v>easy</x:v>
      </x:c>
      <x:c r="D585" t="str">
        <x:v>comfort</x:v>
      </x:c>
    </x:row>
    <x:row r="586">
      <x:c r="A586" t="str">
        <x:v>public_0174</x:v>
      </x:c>
      <x:c r="B586" t="str">
        <x:v>buying</x:v>
      </x:c>
      <x:c r="C586" t="str">
        <x:v>easy</x:v>
      </x:c>
      <x:c r="D586" t="str">
        <x:v>material</x:v>
      </x:c>
    </x:row>
    <x:row r="587">
      <x:c r="A587" t="str">
        <x:v>public_0174</x:v>
      </x:c>
      <x:c r="B587" t="str">
        <x:v>buying</x:v>
      </x:c>
      <x:c r="C587" t="str">
        <x:v>easy</x:v>
      </x:c>
      <x:c r="D587" t="str">
        <x:v>durability</x:v>
      </x:c>
    </x:row>
    <x:row r="588">
      <x:c r="A588" t="str">
        <x:v>public_0175</x:v>
      </x:c>
      <x:c r="B588" t="str">
        <x:v>browsing</x:v>
      </x:c>
      <x:c r="C588" t="str">
        <x:v>medium</x:v>
      </x:c>
      <x:c r="D588" t="str">
        <x:v>fit</x:v>
      </x:c>
    </x:row>
    <x:row r="589">
      <x:c r="A589" t="str">
        <x:v>public_0175</x:v>
      </x:c>
      <x:c r="B589" t="str">
        <x:v>browsing</x:v>
      </x:c>
      <x:c r="C589" t="str">
        <x:v>medium</x:v>
      </x:c>
      <x:c r="D589" t="str">
        <x:v>style</x:v>
      </x:c>
    </x:row>
    <x:row r="590">
      <x:c r="A590" t="str">
        <x:v>public_0175</x:v>
      </x:c>
      <x:c r="B590" t="str">
        <x:v>browsing</x:v>
      </x:c>
      <x:c r="C590" t="str">
        <x:v>medium</x:v>
      </x:c>
      <x:c r="D590" t="str">
        <x:v>material</x:v>
      </x:c>
    </x:row>
    <x:row r="591">
      <x:c r="A591" t="str">
        <x:v>public_0175</x:v>
      </x:c>
      <x:c r="B591" t="str">
        <x:v>browsing</x:v>
      </x:c>
      <x:c r="C591" t="str">
        <x:v>medium</x:v>
      </x:c>
      <x:c r="D591" t="str">
        <x:v>comfort</x:v>
      </x:c>
    </x:row>
    <x:row r="592">
      <x:c r="A592" t="str">
        <x:v>public_0176</x:v>
      </x:c>
      <x:c r="B592" t="str">
        <x:v>browsing</x:v>
      </x:c>
      <x:c r="C592" t="str">
        <x:v>medium</x:v>
      </x:c>
      <x:c r="D592" t="str">
        <x:v>fit</x:v>
      </x:c>
    </x:row>
    <x:row r="593">
      <x:c r="A593" t="str">
        <x:v>public_0176</x:v>
      </x:c>
      <x:c r="B593" t="str">
        <x:v>browsing</x:v>
      </x:c>
      <x:c r="C593" t="str">
        <x:v>medium</x:v>
      </x:c>
      <x:c r="D593" t="str">
        <x:v>style</x:v>
      </x:c>
    </x:row>
    <x:row r="594">
      <x:c r="A594" t="str">
        <x:v>public_0176</x:v>
      </x:c>
      <x:c r="B594" t="str">
        <x:v>browsing</x:v>
      </x:c>
      <x:c r="C594" t="str">
        <x:v>medium</x:v>
      </x:c>
      <x:c r="D594" t="str">
        <x:v>material</x:v>
      </x:c>
    </x:row>
    <x:row r="595">
      <x:c r="A595" t="str">
        <x:v>public_0176</x:v>
      </x:c>
      <x:c r="B595" t="str">
        <x:v>browsing</x:v>
      </x:c>
      <x:c r="C595" t="str">
        <x:v>medium</x:v>
      </x:c>
      <x:c r="D595" t="str">
        <x:v>comfort</x:v>
      </x:c>
    </x:row>
    <x:row r="596">
      <x:c r="A596" t="str">
        <x:v>public_0177</x:v>
      </x:c>
      <x:c r="B596" t="str">
        <x:v>intent_override</x:v>
      </x:c>
      <x:c r="C596" t="str">
        <x:v>hard</x:v>
      </x:c>
      <x:c r="D596" t="str">
        <x:v>style</x:v>
      </x:c>
    </x:row>
    <x:row r="597">
      <x:c r="A597" t="str">
        <x:v>public_0177</x:v>
      </x:c>
      <x:c r="B597" t="str">
        <x:v>intent_override</x:v>
      </x:c>
      <x:c r="C597" t="str">
        <x:v>hard</x:v>
      </x:c>
      <x:c r="D597" t="str">
        <x:v>fit</x:v>
      </x:c>
    </x:row>
    <x:row r="598">
      <x:c r="A598" t="str">
        <x:v>public_0177</x:v>
      </x:c>
      <x:c r="B598" t="str">
        <x:v>intent_override</x:v>
      </x:c>
      <x:c r="C598" t="str">
        <x:v>hard</x:v>
      </x:c>
      <x:c r="D598" t="str">
        <x:v>comfort</x:v>
      </x:c>
    </x:row>
    <x:row r="599">
      <x:c r="A599" t="str">
        <x:v>public_0177</x:v>
      </x:c>
      <x:c r="B599" t="str">
        <x:v>intent_override</x:v>
      </x:c>
      <x:c r="C599" t="str">
        <x:v>hard</x:v>
      </x:c>
      <x:c r="D599" t="str">
        <x:v>material</x:v>
      </x:c>
    </x:row>
    <x:row r="600">
      <x:c r="A600" t="str">
        <x:v>public_0178</x:v>
      </x:c>
      <x:c r="B600" t="str">
        <x:v>buying</x:v>
      </x:c>
      <x:c r="C600" t="str">
        <x:v>easy</x:v>
      </x:c>
      <x:c r="D600" t="str">
        <x:v>comfort</x:v>
      </x:c>
    </x:row>
    <x:row r="601">
      <x:c r="A601" t="str">
        <x:v>public_0178</x:v>
      </x:c>
      <x:c r="B601" t="str">
        <x:v>buying</x:v>
      </x:c>
      <x:c r="C601" t="str">
        <x:v>easy</x:v>
      </x:c>
      <x:c r="D601" t="str">
        <x:v>material</x:v>
      </x:c>
    </x:row>
    <x:row r="602">
      <x:c r="A602" t="str">
        <x:v>public_0178</x:v>
      </x:c>
      <x:c r="B602" t="str">
        <x:v>buying</x:v>
      </x:c>
      <x:c r="C602" t="str">
        <x:v>easy</x:v>
      </x:c>
      <x:c r="D602" t="str">
        <x:v>fit</x:v>
      </x:c>
    </x:row>
    <x:row r="603">
      <x:c r="A603" t="str">
        <x:v>public_0179</x:v>
      </x:c>
      <x:c r="B603" t="str">
        <x:v>buying</x:v>
      </x:c>
      <x:c r="C603" t="str">
        <x:v>easy</x:v>
      </x:c>
      <x:c r="D603" t="str">
        <x:v>warmth</x:v>
      </x:c>
    </x:row>
    <x:row r="604">
      <x:c r="A604" t="str">
        <x:v>public_0179</x:v>
      </x:c>
      <x:c r="B604" t="str">
        <x:v>buying</x:v>
      </x:c>
      <x:c r="C604" t="str">
        <x:v>easy</x:v>
      </x:c>
      <x:c r="D604" t="str">
        <x:v>comfort</x:v>
      </x:c>
    </x:row>
    <x:row r="605">
      <x:c r="A605" t="str">
        <x:v>public_0179</x:v>
      </x:c>
      <x:c r="B605" t="str">
        <x:v>buying</x:v>
      </x:c>
      <x:c r="C605" t="str">
        <x:v>easy</x:v>
      </x:c>
      <x:c r="D605" t="str">
        <x:v>material</x:v>
      </x:c>
    </x:row>
    <x:row r="606">
      <x:c r="A606" t="str">
        <x:v>public_0179</x:v>
      </x:c>
      <x:c r="B606" t="str">
        <x:v>buying</x:v>
      </x:c>
      <x:c r="C606" t="str">
        <x:v>easy</x:v>
      </x:c>
      <x:c r="D606" t="str">
        <x:v>fit</x:v>
      </x:c>
    </x:row>
    <x:row r="607">
      <x:c r="A607" t="str">
        <x:v>public_0180</x:v>
      </x:c>
      <x:c r="B607" t="str">
        <x:v>boundary</x:v>
      </x:c>
      <x:c r="C607" t="str">
        <x:v>medium</x:v>
      </x:c>
      <x:c r="D607" t="str">
        <x:v>material</x:v>
      </x:c>
    </x:row>
    <x:row r="608">
      <x:c r="A608" t="str">
        <x:v>public_0180</x:v>
      </x:c>
      <x:c r="B608" t="str">
        <x:v>boundary</x:v>
      </x:c>
      <x:c r="C608" t="str">
        <x:v>medium</x:v>
      </x:c>
      <x:c r="D608" t="str">
        <x:v>comfort</x:v>
      </x:c>
    </x:row>
    <x:row r="609">
      <x:c r="A609" t="str">
        <x:v>public_0180</x:v>
      </x:c>
      <x:c r="B609" t="str">
        <x:v>boundary</x:v>
      </x:c>
      <x:c r="C609" t="str">
        <x:v>medium</x:v>
      </x:c>
      <x:c r="D609" t="str">
        <x:v>fit</x:v>
      </x:c>
    </x:row>
    <x:row r="610">
      <x:c r="A610" t="str">
        <x:v>public_0180</x:v>
      </x:c>
      <x:c r="B610" t="str">
        <x:v>boundary</x:v>
      </x:c>
      <x:c r="C610" t="str">
        <x:v>medium</x:v>
      </x:c>
      <x:c r="D610" t="str">
        <x:v>style</x:v>
      </x:c>
    </x:row>
    <x:row r="611">
      <x:c r="A611" t="str">
        <x:v>public_0181</x:v>
      </x:c>
      <x:c r="B611" t="str">
        <x:v>browsing</x:v>
      </x:c>
      <x:c r="C611" t="str">
        <x:v>medium</x:v>
      </x:c>
      <x:c r="D611" t="str">
        <x:v>warmth</x:v>
      </x:c>
    </x:row>
    <x:row r="612">
      <x:c r="A612" t="str">
        <x:v>public_0181</x:v>
      </x:c>
      <x:c r="B612" t="str">
        <x:v>browsing</x:v>
      </x:c>
      <x:c r="C612" t="str">
        <x:v>medium</x:v>
      </x:c>
      <x:c r="D612" t="str">
        <x:v>comfort</x:v>
      </x:c>
    </x:row>
    <x:row r="613">
      <x:c r="A613" t="str">
        <x:v>public_0181</x:v>
      </x:c>
      <x:c r="B613" t="str">
        <x:v>browsing</x:v>
      </x:c>
      <x:c r="C613" t="str">
        <x:v>medium</x:v>
      </x:c>
      <x:c r="D613" t="str">
        <x:v>material</x:v>
      </x:c>
    </x:row>
    <x:row r="614">
      <x:c r="A614" t="str">
        <x:v>public_0181</x:v>
      </x:c>
      <x:c r="B614" t="str">
        <x:v>browsing</x:v>
      </x:c>
      <x:c r="C614" t="str">
        <x:v>medium</x:v>
      </x:c>
      <x:c r="D614" t="str">
        <x:v>fit</x:v>
      </x:c>
    </x:row>
    <x:row r="615">
      <x:c r="A615" t="str">
        <x:v>public_0182</x:v>
      </x:c>
      <x:c r="B615" t="str">
        <x:v>browsing</x:v>
      </x:c>
      <x:c r="C615" t="str">
        <x:v>medium</x:v>
      </x:c>
      <x:c r="D615" t="str">
        <x:v>comfort</x:v>
      </x:c>
    </x:row>
    <x:row r="616">
      <x:c r="A616" t="str">
        <x:v>public_0182</x:v>
      </x:c>
      <x:c r="B616" t="str">
        <x:v>browsing</x:v>
      </x:c>
      <x:c r="C616" t="str">
        <x:v>medium</x:v>
      </x:c>
      <x:c r="D616" t="str">
        <x:v>material</x:v>
      </x:c>
    </x:row>
    <x:row r="617">
      <x:c r="A617" t="str">
        <x:v>public_0183</x:v>
      </x:c>
      <x:c r="B617" t="str">
        <x:v>intent_override</x:v>
      </x:c>
      <x:c r="C617" t="str">
        <x:v>hard</x:v>
      </x:c>
      <x:c r="D617" t="str">
        <x:v>material</x:v>
      </x:c>
    </x:row>
    <x:row r="618">
      <x:c r="A618" t="str">
        <x:v>public_0183</x:v>
      </x:c>
      <x:c r="B618" t="str">
        <x:v>intent_override</x:v>
      </x:c>
      <x:c r="C618" t="str">
        <x:v>hard</x:v>
      </x:c>
      <x:c r="D618" t="str">
        <x:v>fit</x:v>
      </x:c>
    </x:row>
    <x:row r="619">
      <x:c r="A619" t="str">
        <x:v>public_0184</x:v>
      </x:c>
      <x:c r="B619" t="str">
        <x:v>browsing</x:v>
      </x:c>
      <x:c r="C619" t="str">
        <x:v>medium</x:v>
      </x:c>
      <x:c r="D619" t="str">
        <x:v>fit</x:v>
      </x:c>
    </x:row>
    <x:row r="620">
      <x:c r="A620" t="str">
        <x:v>public_0184</x:v>
      </x:c>
      <x:c r="B620" t="str">
        <x:v>browsing</x:v>
      </x:c>
      <x:c r="C620" t="str">
        <x:v>medium</x:v>
      </x:c>
      <x:c r="D620" t="str">
        <x:v>material</x:v>
      </x:c>
    </x:row>
    <x:row r="621">
      <x:c r="A621" t="str">
        <x:v>public_0184</x:v>
      </x:c>
      <x:c r="B621" t="str">
        <x:v>browsing</x:v>
      </x:c>
      <x:c r="C621" t="str">
        <x:v>medium</x:v>
      </x:c>
      <x:c r="D621" t="str">
        <x:v>comfort</x:v>
      </x:c>
    </x:row>
    <x:row r="622">
      <x:c r="A622" t="str">
        <x:v>public_0184</x:v>
      </x:c>
      <x:c r="B622" t="str">
        <x:v>browsing</x:v>
      </x:c>
      <x:c r="C622" t="str">
        <x:v>medium</x:v>
      </x:c>
      <x:c r="D622" t="str">
        <x:v>style</x:v>
      </x:c>
    </x:row>
    <x:row r="623">
      <x:c r="A623" t="str">
        <x:v>public_0185</x:v>
      </x:c>
      <x:c r="B623" t="str">
        <x:v>buying</x:v>
      </x:c>
      <x:c r="C623" t="str">
        <x:v>easy</x:v>
      </x:c>
      <x:c r="D623" t="str">
        <x:v>comfort</x:v>
      </x:c>
    </x:row>
    <x:row r="624">
      <x:c r="A624" t="str">
        <x:v>public_0185</x:v>
      </x:c>
      <x:c r="B624" t="str">
        <x:v>buying</x:v>
      </x:c>
      <x:c r="C624" t="str">
        <x:v>easy</x:v>
      </x:c>
      <x:c r="D624" t="str">
        <x:v>style</x:v>
      </x:c>
    </x:row>
    <x:row r="625">
      <x:c r="A625" t="str">
        <x:v>public_0185</x:v>
      </x:c>
      <x:c r="B625" t="str">
        <x:v>buying</x:v>
      </x:c>
      <x:c r="C625" t="str">
        <x:v>easy</x:v>
      </x:c>
      <x:c r="D625" t="str">
        <x:v>material</x:v>
      </x:c>
    </x:row>
    <x:row r="626">
      <x:c r="A626" t="str">
        <x:v>public_0185</x:v>
      </x:c>
      <x:c r="B626" t="str">
        <x:v>buying</x:v>
      </x:c>
      <x:c r="C626" t="str">
        <x:v>easy</x:v>
      </x:c>
      <x:c r="D626" t="str">
        <x:v>fit</x:v>
      </x:c>
    </x:row>
    <x:row r="627">
      <x:c r="A627" t="str">
        <x:v>public_0186</x:v>
      </x:c>
      <x:c r="B627" t="str">
        <x:v>intent_override</x:v>
      </x:c>
      <x:c r="C627" t="str">
        <x:v>hard</x:v>
      </x:c>
      <x:c r="D627" t="str">
        <x:v>material</x:v>
      </x:c>
    </x:row>
    <x:row r="628">
      <x:c r="A628" t="str">
        <x:v>public_0186</x:v>
      </x:c>
      <x:c r="B628" t="str">
        <x:v>intent_override</x:v>
      </x:c>
      <x:c r="C628" t="str">
        <x:v>hard</x:v>
      </x:c>
      <x:c r="D628" t="str">
        <x:v>comfort</x:v>
      </x:c>
    </x:row>
    <x:row r="629">
      <x:c r="A629" t="str">
        <x:v>public_0186</x:v>
      </x:c>
      <x:c r="B629" t="str">
        <x:v>intent_override</x:v>
      </x:c>
      <x:c r="C629" t="str">
        <x:v>hard</x:v>
      </x:c>
      <x:c r="D629" t="str">
        <x:v>fit</x:v>
      </x:c>
    </x:row>
    <x:row r="630">
      <x:c r="A630" t="str">
        <x:v>public_0186</x:v>
      </x:c>
      <x:c r="B630" t="str">
        <x:v>intent_override</x:v>
      </x:c>
      <x:c r="C630" t="str">
        <x:v>hard</x:v>
      </x:c>
      <x:c r="D630" t="str">
        <x:v>style</x:v>
      </x:c>
    </x:row>
    <x:row r="631">
      <x:c r="A631" t="str">
        <x:v>public_0187</x:v>
      </x:c>
      <x:c r="B631" t="str">
        <x:v>boundary</x:v>
      </x:c>
      <x:c r="C631" t="str">
        <x:v>medium</x:v>
      </x:c>
      <x:c r="D631" t="str">
        <x:v>weather</x:v>
      </x:c>
    </x:row>
    <x:row r="632">
      <x:c r="A632" t="str">
        <x:v>public_0187</x:v>
      </x:c>
      <x:c r="B632" t="str">
        <x:v>boundary</x:v>
      </x:c>
      <x:c r="C632" t="str">
        <x:v>medium</x:v>
      </x:c>
      <x:c r="D632" t="str">
        <x:v>comfort</x:v>
      </x:c>
    </x:row>
    <x:row r="633">
      <x:c r="A633" t="str">
        <x:v>public_0187</x:v>
      </x:c>
      <x:c r="B633" t="str">
        <x:v>boundary</x:v>
      </x:c>
      <x:c r="C633" t="str">
        <x:v>medium</x:v>
      </x:c>
      <x:c r="D633" t="str">
        <x:v>style</x:v>
      </x:c>
    </x:row>
    <x:row r="634">
      <x:c r="A634" t="str">
        <x:v>public_0188</x:v>
      </x:c>
      <x:c r="B634" t="str">
        <x:v>buying</x:v>
      </x:c>
      <x:c r="C634" t="str">
        <x:v>easy</x:v>
      </x:c>
      <x:c r="D634" t="str">
        <x:v>material</x:v>
      </x:c>
    </x:row>
    <x:row r="635">
      <x:c r="A635" t="str">
        <x:v>public_0188</x:v>
      </x:c>
      <x:c r="B635" t="str">
        <x:v>buying</x:v>
      </x:c>
      <x:c r="C635" t="str">
        <x:v>easy</x:v>
      </x:c>
      <x:c r="D635" t="str">
        <x:v>fit</x:v>
      </x:c>
    </x:row>
    <x:row r="636">
      <x:c r="A636" t="str">
        <x:v>public_0189</x:v>
      </x:c>
      <x:c r="B636" t="str">
        <x:v>buying</x:v>
      </x:c>
      <x:c r="C636" t="str">
        <x:v>easy</x:v>
      </x:c>
      <x:c r="D636" t="str">
        <x:v>comfort</x:v>
      </x:c>
    </x:row>
    <x:row r="637">
      <x:c r="A637" t="str">
        <x:v>public_0189</x:v>
      </x:c>
      <x:c r="B637" t="str">
        <x:v>buying</x:v>
      </x:c>
      <x:c r="C637" t="str">
        <x:v>easy</x:v>
      </x:c>
      <x:c r="D637" t="str">
        <x:v>material</x:v>
      </x:c>
    </x:row>
    <x:row r="638">
      <x:c r="A638" t="str">
        <x:v>public_0190</x:v>
      </x:c>
      <x:c r="B638" t="str">
        <x:v>buying</x:v>
      </x:c>
      <x:c r="C638" t="str">
        <x:v>easy</x:v>
      </x:c>
      <x:c r="D638" t="str">
        <x:v>material</x:v>
      </x:c>
    </x:row>
    <x:row r="639">
      <x:c r="A639" t="str">
        <x:v>public_0190</x:v>
      </x:c>
      <x:c r="B639" t="str">
        <x:v>buying</x:v>
      </x:c>
      <x:c r="C639" t="str">
        <x:v>easy</x:v>
      </x:c>
      <x:c r="D639" t="str">
        <x:v>fit</x:v>
      </x:c>
    </x:row>
    <x:row r="640">
      <x:c r="A640" t="str">
        <x:v>public_0191</x:v>
      </x:c>
      <x:c r="B640" t="str">
        <x:v>browsing</x:v>
      </x:c>
      <x:c r="C640" t="str">
        <x:v>medium</x:v>
      </x:c>
      <x:c r="D640" t="str">
        <x:v>performance</x:v>
      </x:c>
    </x:row>
    <x:row r="641">
      <x:c r="A641" t="str">
        <x:v>public_0191</x:v>
      </x:c>
      <x:c r="B641" t="str">
        <x:v>browsing</x:v>
      </x:c>
      <x:c r="C641" t="str">
        <x:v>medium</x:v>
      </x:c>
      <x:c r="D641" t="str">
        <x:v>comfort</x:v>
      </x:c>
    </x:row>
    <x:row r="642">
      <x:c r="A642" t="str">
        <x:v>public_0191</x:v>
      </x:c>
      <x:c r="B642" t="str">
        <x:v>browsing</x:v>
      </x:c>
      <x:c r="C642" t="str">
        <x:v>medium</x:v>
      </x:c>
      <x:c r="D642" t="str">
        <x:v>material</x:v>
      </x:c>
    </x:row>
    <x:row r="643">
      <x:c r="A643" t="str">
        <x:v>public_0191</x:v>
      </x:c>
      <x:c r="B643" t="str">
        <x:v>browsing</x:v>
      </x:c>
      <x:c r="C643" t="str">
        <x:v>medium</x:v>
      </x:c>
      <x:c r="D643" t="str">
        <x:v>fit</x:v>
      </x:c>
    </x:row>
    <x:row r="644">
      <x:c r="A644" t="str">
        <x:v>public_0192</x:v>
      </x:c>
      <x:c r="B644" t="str">
        <x:v>boundary</x:v>
      </x:c>
      <x:c r="C644" t="str">
        <x:v>medium</x:v>
      </x:c>
      <x:c r="D644" t="str">
        <x:v>comfort</x:v>
      </x:c>
    </x:row>
    <x:row r="645">
      <x:c r="A645" t="str">
        <x:v>public_0192</x:v>
      </x:c>
      <x:c r="B645" t="str">
        <x:v>boundary</x:v>
      </x:c>
      <x:c r="C645" t="str">
        <x:v>medium</x:v>
      </x:c>
      <x:c r="D645" t="str">
        <x:v>fit</x:v>
      </x:c>
    </x:row>
    <x:row r="646">
      <x:c r="A646" t="str">
        <x:v>public_0192</x:v>
      </x:c>
      <x:c r="B646" t="str">
        <x:v>boundary</x:v>
      </x:c>
      <x:c r="C646" t="str">
        <x:v>medium</x:v>
      </x:c>
      <x:c r="D646" t="str">
        <x:v>style</x:v>
      </x:c>
    </x:row>
    <x:row r="647">
      <x:c r="A647" t="str">
        <x:v>public_0193</x:v>
      </x:c>
      <x:c r="B647" t="str">
        <x:v>buying</x:v>
      </x:c>
      <x:c r="C647" t="str">
        <x:v>easy</x:v>
      </x:c>
      <x:c r="D647" t="str">
        <x:v>material</x:v>
      </x:c>
    </x:row>
    <x:row r="648">
      <x:c r="A648" t="str">
        <x:v>public_0193</x:v>
      </x:c>
      <x:c r="B648" t="str">
        <x:v>buying</x:v>
      </x:c>
      <x:c r="C648" t="str">
        <x:v>easy</x:v>
      </x:c>
      <x:c r="D648" t="str">
        <x:v>fit</x:v>
      </x:c>
    </x:row>
    <x:row r="649">
      <x:c r="A649" t="str">
        <x:v>public_0194</x:v>
      </x:c>
      <x:c r="B649" t="str">
        <x:v>buying</x:v>
      </x:c>
      <x:c r="C649" t="str">
        <x:v>easy</x:v>
      </x:c>
      <x:c r="D649" t="str">
        <x:v>warmth</x:v>
      </x:c>
    </x:row>
    <x:row r="650">
      <x:c r="A650" t="str">
        <x:v>public_0194</x:v>
      </x:c>
      <x:c r="B650" t="str">
        <x:v>buying</x:v>
      </x:c>
      <x:c r="C650" t="str">
        <x:v>easy</x:v>
      </x:c>
      <x:c r="D650" t="str">
        <x:v>weather</x:v>
      </x:c>
    </x:row>
    <x:row r="651">
      <x:c r="A651" t="str">
        <x:v>public_0194</x:v>
      </x:c>
      <x:c r="B651" t="str">
        <x:v>buying</x:v>
      </x:c>
      <x:c r="C651" t="str">
        <x:v>easy</x:v>
      </x:c>
      <x:c r="D651" t="str">
        <x:v>comfort</x:v>
      </x:c>
    </x:row>
    <x:row r="652">
      <x:c r="A652" t="str">
        <x:v>public_0194</x:v>
      </x:c>
      <x:c r="B652" t="str">
        <x:v>buying</x:v>
      </x:c>
      <x:c r="C652" t="str">
        <x:v>easy</x:v>
      </x:c>
      <x:c r="D652" t="str">
        <x:v>fit</x:v>
      </x:c>
    </x:row>
    <x:row r="653">
      <x:c r="A653" t="str">
        <x:v>public_0195</x:v>
      </x:c>
      <x:c r="B653" t="str">
        <x:v>browsing</x:v>
      </x:c>
      <x:c r="C653" t="str">
        <x:v>medium</x:v>
      </x:c>
      <x:c r="D653" t="str">
        <x:v>material</x:v>
      </x:c>
    </x:row>
    <x:row r="654">
      <x:c r="A654" t="str">
        <x:v>public_0195</x:v>
      </x:c>
      <x:c r="B654" t="str">
        <x:v>browsing</x:v>
      </x:c>
      <x:c r="C654" t="str">
        <x:v>medium</x:v>
      </x:c>
      <x:c r="D654" t="str">
        <x:v>fit</x:v>
      </x:c>
    </x:row>
    <x:row r="655">
      <x:c r="A655" t="str">
        <x:v>public_0196</x:v>
      </x:c>
      <x:c r="B655" t="str">
        <x:v>browsing</x:v>
      </x:c>
      <x:c r="C655" t="str">
        <x:v>medium</x:v>
      </x:c>
      <x:c r="D655" t="str">
        <x:v>material</x:v>
      </x:c>
    </x:row>
    <x:row r="656">
      <x:c r="A656" t="str">
        <x:v>public_0196</x:v>
      </x:c>
      <x:c r="B656" t="str">
        <x:v>browsing</x:v>
      </x:c>
      <x:c r="C656" t="str">
        <x:v>medium</x:v>
      </x:c>
      <x:c r="D656" t="str">
        <x:v>fit</x:v>
      </x:c>
    </x:row>
    <x:row r="657">
      <x:c r="A657" t="str">
        <x:v>public_0196</x:v>
      </x:c>
      <x:c r="B657" t="str">
        <x:v>browsing</x:v>
      </x:c>
      <x:c r="C657" t="str">
        <x:v>medium</x:v>
      </x:c>
      <x:c r="D657" t="str">
        <x:v>comfort</x:v>
      </x:c>
    </x:row>
    <x:row r="658">
      <x:c r="A658" t="str">
        <x:v>public_0196</x:v>
      </x:c>
      <x:c r="B658" t="str">
        <x:v>browsing</x:v>
      </x:c>
      <x:c r="C658" t="str">
        <x:v>medium</x:v>
      </x:c>
      <x:c r="D658" t="str">
        <x:v>style</x:v>
      </x:c>
    </x:row>
    <x:row r="659">
      <x:c r="A659" t="str">
        <x:v>public_0197</x:v>
      </x:c>
      <x:c r="B659" t="str">
        <x:v>intent_override</x:v>
      </x:c>
      <x:c r="C659" t="str">
        <x:v>hard</x:v>
      </x:c>
      <x:c r="D659" t="str">
        <x:v>material</x:v>
      </x:c>
    </x:row>
    <x:row r="660">
      <x:c r="A660" t="str">
        <x:v>public_0197</x:v>
      </x:c>
      <x:c r="B660" t="str">
        <x:v>intent_override</x:v>
      </x:c>
      <x:c r="C660" t="str">
        <x:v>hard</x:v>
      </x:c>
      <x:c r="D660" t="str">
        <x:v>fit</x:v>
      </x:c>
    </x:row>
    <x:row r="661">
      <x:c r="A661" t="str">
        <x:v>public_0198</x:v>
      </x:c>
      <x:c r="B661" t="str">
        <x:v>intent_override</x:v>
      </x:c>
      <x:c r="C661" t="str">
        <x:v>hard</x:v>
      </x:c>
      <x:c r="D661" t="str">
        <x:v>material</x:v>
      </x:c>
    </x:row>
    <x:row r="662">
      <x:c r="A662" t="str">
        <x:v>public_0198</x:v>
      </x:c>
      <x:c r="B662" t="str">
        <x:v>intent_override</x:v>
      </x:c>
      <x:c r="C662" t="str">
        <x:v>hard</x:v>
      </x:c>
      <x:c r="D662" t="str">
        <x:v>durability</x:v>
      </x:c>
    </x:row>
    <x:row r="663">
      <x:c r="A663" t="str">
        <x:v>public_0198</x:v>
      </x:c>
      <x:c r="B663" t="str">
        <x:v>intent_override</x:v>
      </x:c>
      <x:c r="C663" t="str">
        <x:v>hard</x:v>
      </x:c>
      <x:c r="D663" t="str">
        <x:v>fit</x:v>
      </x:c>
    </x:row>
    <x:row r="664">
      <x:c r="A664" t="str">
        <x:v>public_0198</x:v>
      </x:c>
      <x:c r="B664" t="str">
        <x:v>intent_override</x:v>
      </x:c>
      <x:c r="C664" t="str">
        <x:v>hard</x:v>
      </x:c>
      <x:c r="D664" t="str">
        <x:v>comfort</x:v>
      </x:c>
    </x:row>
    <x:row r="665">
      <x:c r="A665" t="str">
        <x:v>public_0199</x:v>
      </x:c>
      <x:c r="B665" t="str">
        <x:v>buying</x:v>
      </x:c>
      <x:c r="C665" t="str">
        <x:v>easy</x:v>
      </x:c>
      <x:c r="D665" t="str">
        <x:v>material</x:v>
      </x:c>
    </x:row>
    <x:row r="666">
      <x:c r="A666" t="str">
        <x:v>public_0199</x:v>
      </x:c>
      <x:c r="B666" t="str">
        <x:v>buying</x:v>
      </x:c>
      <x:c r="C666" t="str">
        <x:v>easy</x:v>
      </x:c>
      <x:c r="D666" t="str">
        <x:v>fit</x:v>
      </x:c>
    </x:row>
    <x:row r="667">
      <x:c r="A667" t="str">
        <x:v>public_0200</x:v>
      </x:c>
      <x:c r="B667" t="str">
        <x:v>buying</x:v>
      </x:c>
      <x:c r="C667" t="str">
        <x:v>easy</x:v>
      </x:c>
      <x:c r="D667" t="str">
        <x:v>material</x:v>
      </x:c>
    </x:row>
    <x:row r="668">
      <x:c r="A668" t="str">
        <x:v>public_0200</x:v>
      </x:c>
      <x:c r="B668" t="str">
        <x:v>buying</x:v>
      </x:c>
      <x:c r="C668" t="str">
        <x:v>easy</x:v>
      </x:c>
      <x:c r="D668" t="str">
        <x:v>comfort</x:v>
      </x:c>
    </x:row>
    <x:row r="669">
      <x:c r="A669" t="str">
        <x:v>public_0200</x:v>
      </x:c>
      <x:c r="B669" t="str">
        <x:v>buying</x:v>
      </x:c>
      <x:c r="C669" t="str">
        <x:v>easy</x:v>
      </x:c>
      <x:c r="D669" t="str">
        <x:v>fit</x:v>
      </x:c>
    </x:row>
    <x:row r="670">
      <x:c r="A670" t="str">
        <x:v>public_0200</x:v>
      </x:c>
      <x:c r="B670" t="str">
        <x:v>buying</x:v>
      </x:c>
      <x:c r="C670" t="str">
        <x:v>easy</x:v>
      </x:c>
      <x:c r="D670" t="str">
        <x:v>style</x:v>
      </x:c>
    </x:row>
  </x:sheetData>
  <x:mergeCells>
    <x:mergeCell ref="A1:D1"/>
    <x:mergeCell ref="A2:D2"/>
  </x:mergeCells>
  <x:pageMargins left="0.7" right="0.7" top="0.75" bottom="0.75" header="0.3" footer="0.3"/>
  <x:tableParts count="1">
    <x:tablePart xmlns:r="http://schemas.openxmlformats.org/officeDocument/2006/relationships" r:id="R8a6249d84fb549d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95" hidden="0" customWidth="1"/>
    <x:col min="4" max="4" width="80" hidden="0" customWidth="1"/>
    <x:col min="5" max="5" width="75" hidden="0" customWidth="1"/>
    <x:col min="6" max="6" width="60" hidden="0" customWidth="1"/>
    <x:col min="7" max="7" width="38" hidden="0" customWidth="1"/>
    <x:col min="8" max="8" width="16" hidden="0" customWidth="1"/>
    <x:col min="9" max="9" width="18" hidden="0" customWidth="1"/>
    <x:col min="10" max="10" width="45" hidden="0" customWidth="1"/>
  </x:cols>
  <x:sheetData>
    <x:row r="1" ht="34" customHeight="1">
      <x:c r="A1" s="4" t="str">
        <x:v>Embedding &amp; Encoding Study Corpus</x:v>
      </x:c>
    </x:row>
    <x:row r="2" ht="30" customHeight="1">
      <x:c r="A2" s="8" t="str">
        <x:v>Formula-linked product documents and query-side state examples. Product and session representations remain deliberately separate.</x:v>
      </x:c>
      <x:c r="B2" s="8" t="str">
        <x:v>Formula-linked product documents and query-side state examples. Product and session representations remain deliberately separate.</x:v>
      </x:c>
      <x:c r="C2" s="8" t="str">
        <x:v>Formula-linked product documents and query-side state examples. Product and session representations remain deliberately separate.</x:v>
      </x:c>
      <x:c r="D2" s="8" t="str">
        <x:v>Formula-linked product documents and query-side state examples. Product and session representations remain deliberately separate.</x:v>
      </x:c>
      <x:c r="E2" s="8" t="str">
        <x:v>Formula-linked product documents and query-side state examples. Product and session representations remain deliberately separate.</x:v>
      </x:c>
      <x:c r="F2" s="8" t="str">
        <x:v>Formula-linked product documents and query-side state examples. Product and session representations remain deliberately separate.</x:v>
      </x:c>
      <x:c r="G2" s="8" t="str">
        <x:v>Formula-linked product documents and query-side state examples. Product and session representations remain deliberately separate.</x:v>
      </x:c>
      <x:c r="H2" s="8" t="str">
        <x:v>Formula-linked product documents and query-side state examples. Product and session representations remain deliberately separate.</x:v>
      </x:c>
      <x:c r="I2" s="8" t="str">
        <x:v>Formula-linked product documents and query-side state examples. Product and session representations remain deliberately separate.</x:v>
      </x:c>
      <x:c r="J2" s="8" t="str">
        <x:v>Formula-linked product documents and query-side state examples. Product and session representations remain deliberately separate.</x:v>
      </x:c>
    </x:row>
    <x:row r="4" ht="28" customHeight="1">
      <x:c r="A4" s="40" t="str">
        <x:v>sample_id</x:v>
      </x:c>
      <x:c r="B4" s="41" t="str">
        <x:v>parent_asin</x:v>
      </x:c>
      <x:c r="C4" s="41" t="str">
        <x:v>dense_product_document</x:v>
      </x:c>
      <x:c r="D4" s="41" t="str">
        <x:v>lexical_exact_document</x:v>
      </x:c>
      <x:c r="E4" s="41" t="str">
        <x:v>query_context_example</x:v>
      </x:c>
      <x:c r="F4" s="41" t="str">
        <x:v>active_hard_constraints</x:v>
      </x:c>
      <x:c r="G4" s="41" t="str">
        <x:v>soft_profile_prior</x:v>
      </x:c>
      <x:c r="H4" s="41" t="str">
        <x:v>product_doc_chars</x:v>
      </x:c>
      <x:c r="I4" s="41" t="str">
        <x:v>recommended_chunks</x:v>
      </x:c>
      <x:c r="J4" s="42" t="str">
        <x:v>encoding_note</x:v>
      </x:c>
    </x:row>
    <x:row r="5" ht="72" customHeight="1">
      <x:c r="A5" t="str">
        <x:f>'Sessions'!A5</x:f>
        <x:v>public_0001</x:v>
      </x:c>
      <x:c r="B5" t="str">
        <x:f>'Target Products'!B5</x:f>
        <x:v>B09PYB7B6Z</x:v>
      </x:c>
      <x:c r="C5" s="17" t="str">
        <x:f>"title: "&amp;'Target Products'!C5&amp;" | categories: "&amp;'Target Products'!D5&amp;" | features: "&amp;'Target Products'!F5&amp;" | details: "&amp;'Target Products'!G5&amp;" | description: "&amp;'Target Products'!H5</x:f>
        <x:v>title: QIAN0813 Celttic Knot Triple Moon Pentagram Pentacle Star Wicca Pendant Necklace Round Pagan Jewelry | categories: Clothing, Shoes &amp; Jewelry | Boys | Jewelry | Necklaces | features: Material:alloy | Triple Moon Pentagram Symbol | The Triple Moon represents the Phases of the Moon which are linked to the three aspects of the Goddess and the phases of the Life of Women.The Pentagram representing the holistic relationship between human spirituality and physical universe. A master piece to hang in your wiccan or pagan altar. | ♥ a special gift to your wife/mom/girlfriend/daughter/grandmother/best friend/kids on St. Valentine’s Day, Easter， Christmas day,Birthday,Anniversary ,Independence Day,Labor Day,Thanksgiving Day,New Year's Day and mother's day to celebrate those holiday. We prepare a jewelry gift box for every club party banquet wedding office engagement celebration gift | 100% Quality controlled manually before packaging,Your bracelet will come packaged in one of my logo gift boxes, perfect for gift giving and safe keeping. | details: Package Dimensions: 1.97 x 1.97 x 0.59 inches; 1.06 Ounces | Department: unisex-child | Date First Available: January 7, 2022 | Manufacturer: MIXIA | description: Item name:Celttic Knot Triple Moon Pentagram Pentacle Star Wicca Pendant Necklace Round Pagan Jewelry | Item type:necklace   Style: FashionSpecial design and unique structure, a popular item.Charming and attractive on all occasions. It is a good gift for your family, friends and coworkers.Method of Jewelry Maintenance and Protection  1.Please don't wear for long time.Don't wear jewelry while sleep. Should often replace jewelry . Avoid wearing a long time, especially in hot summer.  2. Please do not touch chemicals, otherwise will erode jewelry. 3. Please do not try to touch water and Avoid wear it whenbathing or swimming. these are all damaged for jewelry, will affect glossiness. . 4. Frequent cleaning is necessary. Please use a soft brush to wipe the surface of the accessory and remove surface stains. 5.it is not real gold and silver products andIt will fade away slowly, So we often wipe itto extend the use of it. liquid will encounter discoloration for a long time. | Choose our reason:1. We have an independentfactory. 2. We are committed to provide the best jewelry and the bestservices to our customers, your feedback is our motivations to improve. In case of HELP, please feel free to contact us through Amazon. MIXIA care every customer</x:v>
      </x:c>
      <x:c r="D5" s="17" t="str">
        <x:f>"title: "&amp;'Target Products'!C5&amp;" | leaf_category: "&amp;'Target Products'!E5&amp;" | store: "&amp;'Target Products'!L5&amp;" | details: "&amp;'Target Products'!G5</x:f>
        <x:v>title: QIAN0813 Celttic Knot Triple Moon Pentagram Pentacle Star Wicca Pendant Necklace Round Pagan Jewelry | leaf_category: Necklaces | store: QIAN0813 | details: Package Dimensions: 1.97 x 1.97 x 0.59 inches; 1.06 Ounces | Department: unisex-child | Date First Available: January 7, 2022 | Manufacturer: MIXIA</x:v>
      </x:c>
      <x:c r="E5" s="17" t="str">
        <x:f>"scenario: "&amp;'Sessions'!B5&amp;" | current_message: "&amp;'Sessions'!M5&amp;" | profile_soft_tags: "&amp;'Sessions'!I5</x:f>
        <x:v>scenario: buying | current_message: I'm looking for Jewelry Necklaces. A key requirement is: Material:alloy. | profile_soft_tags: fit | comfort | durability</x:v>
      </x:c>
      <x:c r="F5" s="17" t="str">
        <x:f>'Intent Cards'!D5&amp;IF('Intent Cards'!F5&lt;&gt;""," | "&amp;'Intent Cards'!F5,"")</x:f>
        <x:v>Material:alloy | Triple Moon Pentagram Symbol</x:v>
      </x:c>
      <x:c r="G5" s="17" t="str">
        <x:f>'Sessions'!I5</x:f>
        <x:v>fit | comfort | durability</x:v>
      </x:c>
      <x:c r="H5" s="77" t="n">
        <x:f>LEN(C5)</x:f>
        <x:v>2480</x:v>
      </x:c>
      <x:c r="I5" s="77" t="n">
        <x:f>IF(H5&gt;2400,3,IF(H5&gt;1200,2,1))</x:f>
        <x:v>3</x:v>
      </x:c>
      <x:c r="J5" s="17" t="str">
        <x:f>IF('Sessions'!B5="intent_override","Drop superseded values before query embedding",IF('Sessions'!B5="boundary","Do not invent a value for no-preference attributes","Keep profile tags soft; current message wins"))</x:f>
        <x:v>Keep profile tags soft; current message wins</x:v>
      </x:c>
    </x:row>
    <x:row r="6" ht="72" customHeight="1">
      <x:c r="A6" t="str">
        <x:f>'Sessions'!A6</x:f>
        <x:v>public_0002</x:v>
      </x:c>
      <x:c r="B6" t="str">
        <x:f>'Target Products'!B6</x:f>
        <x:v>B071X54486</x:v>
      </x:c>
      <x:c r="C6" s="17" t="str">
        <x:f>"title: "&amp;'Target Products'!C6&amp;" | categories: "&amp;'Target Products'!D6&amp;" | features: "&amp;'Target Products'!F6&amp;" | details: "&amp;'Target Products'!G6&amp;" | description: "&amp;'Target Products'!H6</x:f>
        <x:v>title: Hide &amp; Drink, Rustic Handmade Full Grain Leather Men's Belt, Two Row Stitch Stylish Design - Everyday Belts for Men | categories: Clothing, Shoes &amp; Jewelry | Men | Accessories | Belts | features: 100% Leather | Imported | Buckle closure | Dry Cloth Clean | HIDE &amp; DRINK’S 101 YEAR WARRANTY: Each of Hide &amp; Drink’s rustic, durable belts is made with care and craftsmanship, with every belt handmade to the highest standard. Our confidence in our belts knows no bounds, so we include each belt that you purchase with a 101 Year Warranty. We aim for nothing but 100% satisfaction when it comes to our products, so if you’re not satisfied, just get in touch with us and we’ll help you as quickly as possible. | HANDMADE FROM SOFT &amp; ATTRACTIVE FULL GRAIN LEATHER: Hide &amp; Drink’s belts are hand cut and handcrafted using the highest quality of leather that you will find, namely Full Grain Leather. The quality of this leather ensures a long-lasting life and durability. After time and use, the leather will attain a beautiful and unique patina. Each belt is made with a width of 1.5 inches and the leather used is 3.5mm thick. | CLASSIC NICKEL BUCKLE: The belt is adorned with a classy nickel buckle that shouts style and charm. Combined with the elegantly hand cut and hand sewn Full Grain Leather, it will serve as a fine accessory to any jeans or pants, suitable for any occasion. | DOUBLE ROW STITCHING: The belt is handmade by expert local artisans of Pastores, Guatemala. The belt is hand cut and finished with a double row stitching method than not only looks good, but also makes for a durable belt that will give you a lifetime of use. | MAKES A GREAT GIFT: Hide &amp; Drink swears by its leather, and knows that this fine, rustic Full Grain Leather belt will make an excellent gift for friends, family and loved ones. Built to last a lifetime, this belt will make a thoughtful, long-lasting gift for anyone and everyone. | details: Is Discontinued By Manufacturer: No | Product Dimensions: 42 x 1.6 x 0.2 inches; 6.5 Ounces | Department: Mens | Date First Available: August 22, 2016 | description: </x:v>
      </x:c>
      <x:c r="D6" s="17" t="str">
        <x:f>"title: "&amp;'Target Products'!C6&amp;" | leaf_category: "&amp;'Target Products'!E6&amp;" | store: "&amp;'Target Products'!L6&amp;" | details: "&amp;'Target Products'!G6</x:f>
        <x:v>title: Hide &amp; Drink, Rustic Handmade Full Grain Leather Men's Belt, Two Row Stitch Stylish Design - Everyday Belts for Men | leaf_category: Belts | store: Hide &amp; Drink | details: Is Discontinued By Manufacturer: No | Product Dimensions: 42 x 1.6 x 0.2 inches; 6.5 Ounces | Department: Mens | Date First Available: August 22, 2016</x:v>
      </x:c>
      <x:c r="E6" s="17" t="str">
        <x:f>"scenario: "&amp;'Sessions'!B6&amp;" | current_message: "&amp;'Sessions'!M6&amp;" | profile_soft_tags: "&amp;'Sessions'!I6</x:f>
        <x:v>scenario: intent_override | current_message: I'm looking for Accessories Belts. Buckle closure | profile_soft_tags: fit | comfort | style</x:v>
      </x:c>
      <x:c r="F6" s="17" t="str">
        <x:f>'Intent Cards'!D6&amp;IF('Intent Cards'!F6&lt;&gt;""," | "&amp;'Intent Cards'!F6,"")</x:f>
        <x:v>leather | 100% Leather</x:v>
      </x:c>
      <x:c r="G6" s="17" t="str">
        <x:f>'Sessions'!I6</x:f>
        <x:v>fit | comfort | style</x:v>
      </x:c>
      <x:c r="H6" s="77" t="n">
        <x:f>LEN(C6)</x:f>
        <x:v>2106</x:v>
      </x:c>
      <x:c r="I6" s="77" t="n">
        <x:f>IF(H6&gt;2400,3,IF(H6&gt;1200,2,1))</x:f>
        <x:v>2</x:v>
      </x:c>
      <x:c r="J6" s="17" t="str">
        <x:f>IF('Sessions'!B6="intent_override","Drop superseded values before query embedding",IF('Sessions'!B6="boundary","Do not invent a value for no-preference attributes","Keep profile tags soft; current message wins"))</x:f>
        <x:v>Drop superseded values before query embedding</x:v>
      </x:c>
    </x:row>
    <x:row r="7" ht="72" customHeight="1">
      <x:c r="A7" t="str">
        <x:f>'Sessions'!A7</x:f>
        <x:v>public_0003</x:v>
      </x:c>
      <x:c r="B7" t="str">
        <x:f>'Target Products'!B7</x:f>
        <x:v>B09YMTWDXJ</x:v>
      </x:c>
      <x:c r="C7" s="17" t="str">
        <x:f>"title: "&amp;'Target Products'!C7&amp;" | categories: "&amp;'Target Products'!D7&amp;" | features: "&amp;'Target Products'!F7&amp;" | details: "&amp;'Target Products'!G7&amp;" | description: "&amp;'Target Products'!H7</x:f>
        <x:v>title: Casio Men's Wrist Watch AQ-800E-7A | categories: Clothing, Shoes &amp; Jewelry | Men | Watches | Wrist Watches | features: Water Resistant | 3 Year Battery | Day / Date Indicator | Stainless Steel Band | Alarm | Chronograph | details: Package Dimensions: 4.37 x 3.39 x 2.83 inches; 5.29 Ounces | Item model number: AQ-800E-7ACF | Department: mens | Batteries: 1 Lithium Ion batteries required. (included) | Date First Available: April 22, 2022 | Manufacturer: Casio | Country of Origin: Japan | description: Reboot your retro vintage style with a contemporary update on the 1980s AQ-450 design. This brand-new vintage style watch is a beautiful blend of retro and stylish. A separate dial and LCD serve up analog beauty alongside digital performance. The LCD angles gently to follow the lines of the lugs, while the analog dial features simple bar index marks. The watch face adorned in a grid pattern adds the final touch for a real retro feel. The combination of the angular case and the straight links of the metal band is a simple and stylish celebration of structural beauty. More than just a fashion statement, these timepieces deliver practical functions like dual time, stopwatch, and alarm, as well as water resistance for daily use to free you from worry, even on rainy days.</x:v>
      </x:c>
      <x:c r="D7" s="17" t="str">
        <x:f>"title: "&amp;'Target Products'!C7&amp;" | leaf_category: "&amp;'Target Products'!E7&amp;" | store: "&amp;'Target Products'!L7&amp;" | details: "&amp;'Target Products'!G7</x:f>
        <x:v>title: Casio Men's Wrist Watch AQ-800E-7A | leaf_category: Wrist Watches | store: Casio | details: Package Dimensions: 4.37 x 3.39 x 2.83 inches; 5.29 Ounces | Item model number: AQ-800E-7ACF | Department: mens | Batteries: 1 Lithium Ion batteries required. (included) | Date First Available: April 22, 2022 | Manufacturer: Casio | Country of Origin: Japan</x:v>
      </x:c>
      <x:c r="E7" s="17" t="str">
        <x:f>"scenario: "&amp;'Sessions'!B7&amp;" | current_message: "&amp;'Sessions'!M7&amp;" | profile_soft_tags: "&amp;'Sessions'!I7</x:f>
        <x:v>scenario: intent_override | current_message: I'm looking for Watches Wrist Watches. Stainless Steel Band | profile_soft_tags: material | fit</x:v>
      </x:c>
      <x:c r="F7" s="17" t="str">
        <x:f>'Intent Cards'!D7&amp;IF('Intent Cards'!F7&lt;&gt;""," | "&amp;'Intent Cards'!F7,"")</x:f>
        <x:v>Water Resistant | 3 Year Battery</x:v>
      </x:c>
      <x:c r="G7" s="17" t="str">
        <x:f>'Sessions'!I7</x:f>
        <x:v>material | fit</x:v>
      </x:c>
      <x:c r="H7" s="77" t="n">
        <x:f>LEN(C7)</x:f>
        <x:v>1288</x:v>
      </x:c>
      <x:c r="I7" s="77" t="n">
        <x:f>IF(H7&gt;2400,3,IF(H7&gt;1200,2,1))</x:f>
        <x:v>2</x:v>
      </x:c>
      <x:c r="J7" s="17" t="str">
        <x:f>IF('Sessions'!B7="intent_override","Drop superseded values before query embedding",IF('Sessions'!B7="boundary","Do not invent a value for no-preference attributes","Keep profile tags soft; current message wins"))</x:f>
        <x:v>Drop superseded values before query embedding</x:v>
      </x:c>
    </x:row>
    <x:row r="8" ht="72" customHeight="1">
      <x:c r="A8" t="str">
        <x:f>'Sessions'!A8</x:f>
        <x:v>public_0004</x:v>
      </x:c>
      <x:c r="B8" t="str">
        <x:f>'Target Products'!B8</x:f>
        <x:v>B07C2XPZ6D</x:v>
      </x:c>
      <x:c r="C8" s="17" t="str">
        <x:f>"title: "&amp;'Target Products'!C8&amp;" | categories: "&amp;'Target Products'!D8&amp;" | features: "&amp;'Target Products'!F8&amp;" | details: "&amp;'Target Products'!G8&amp;" | description: "&amp;'Target Products'!H8</x:f>
        <x:v>title: Emmalise Women's Basic Casual Long Camisole Adjustable Strap Cami Layering Top | categories: Clothing, Shoes &amp; Jewelry | Novelty &amp; More | Clothing | Novelty | Women | Tops &amp; Tees | Tanks &amp; Camis | features: Polyester,Cotton,Spandex | Quality soft cottonblend camisole, 95% cotton, 5% spandex, Neon Colors 57% cotton 38% polyester 5% spandex | Long torso camisole for extra coverage with spagetti adjustable strap for perfect fit | Stretchy comfortable fabric for extra comfort and movement | Perfect for layering and wearing under other clothing | Junior and plus sizes for every body type | details: Department: Womens | Date First Available: August 19, 2015 | description: Great basic layering cami tank top in junior and plus sizes. Great for exercising, going to the gym, working out, jogging, cycling, and any activity. Must have! Emmalise is a progressive active basic apparel line designed in Los Angeles, California. Our focus is to create high quality, comfortable everyday clothing for women, men, children, and infants. Our design collection includes high quality every day long and short sleeves t-shirts, basic camisole and tank tops for easy layering, cute easy to wear children and women dresses. Our shirts and tank tops are perfect for workout, gym, running, jogging, and exercising. All of Emmalise products uses great quality, comfortable fabrics. Our focus is on great fitting fashionable cute designs. A camisole is a sleeveless undergarment for women, normally extending to the waist. The camisole is usually made of satin, nylon, or cotton. In modern usage a camisole or cami is a loose-fitting sleeveless woman's undergarment which covers the top part of the body but is shorter than a chemise. A camisole normally extends to the waist but is sometimes cropped to expose the midriff, or extended to cover the entire pelvic region. Camisoles are manufactured from light materials, commonly cotton-based, occasionally satin or silk, or stretch fabrics such as lycra, nylon, or spandex. A camisole typically has thin "spaghetti straps" and can be worn over a brassiere or without one. Since 1989, some camisoles have come with a built-in underwire bra or other support which eliminates the need for a bra among those who prefer one. Recently, camisoles have been known to be used as outerwear. A variety of sleeveless body shaping undergarments have been derived from the camisole shape, offering medium control of the bust, waist and/or abdomen. Such control camisoles are the most casual of shaping garments, covering the torso from above the chest to at or below the waist.</x:v>
      </x:c>
      <x:c r="D8" s="17" t="str">
        <x:f>"title: "&amp;'Target Products'!C8&amp;" | leaf_category: "&amp;'Target Products'!E8&amp;" | store: "&amp;'Target Products'!L8&amp;" | details: "&amp;'Target Products'!G8</x:f>
        <x:v>title: Emmalise Women's Basic Casual Long Camisole Adjustable Strap Cami Layering Top | leaf_category: Tanks &amp; Camis | store: Emmalise | details: Department: Womens | Date First Available: August 19, 2015</x:v>
      </x:c>
      <x:c r="E8" s="17" t="str">
        <x:f>"scenario: "&amp;'Sessions'!B8&amp;" | current_message: "&amp;'Sessions'!M8&amp;" | profile_soft_tags: "&amp;'Sessions'!I8</x:f>
        <x:v>scenario: intent_override | current_message: I'm looking for Tops &amp; Tees Tanks &amp; Camis. Long torso camisole for extra coverage with spagetti adjustable strap for perfect fit | profile_soft_tags: weather | warmth | material | comfort</x:v>
      </x:c>
      <x:c r="F8" s="17" t="str">
        <x:f>'Intent Cards'!D8&amp;IF('Intent Cards'!F8&lt;&gt;""," | "&amp;'Intent Cards'!F8,"")</x:f>
        <x:v>polyester | Polyester,Cotton,Spandex</x:v>
      </x:c>
      <x:c r="G8" s="17" t="str">
        <x:f>'Sessions'!I8</x:f>
        <x:v>weather | warmth | material | comfort</x:v>
      </x:c>
      <x:c r="H8" s="77" t="n">
        <x:f>LEN(C8)</x:f>
        <x:v>2604</x:v>
      </x:c>
      <x:c r="I8" s="77" t="n">
        <x:f>IF(H8&gt;2400,3,IF(H8&gt;1200,2,1))</x:f>
        <x:v>3</x:v>
      </x:c>
      <x:c r="J8" s="17" t="str">
        <x:f>IF('Sessions'!B8="intent_override","Drop superseded values before query embedding",IF('Sessions'!B8="boundary","Do not invent a value for no-preference attributes","Keep profile tags soft; current message wins"))</x:f>
        <x:v>Drop superseded values before query embedding</x:v>
      </x:c>
    </x:row>
    <x:row r="9" ht="72" customHeight="1">
      <x:c r="A9" t="str">
        <x:f>'Sessions'!A9</x:f>
        <x:v>public_0005</x:v>
      </x:c>
      <x:c r="B9" t="str">
        <x:f>'Target Products'!B9</x:f>
        <x:v>B074G1JP8Z</x:v>
      </x:c>
      <x:c r="C9" s="17" t="str">
        <x:f>"title: "&amp;'Target Products'!C9&amp;" | categories: "&amp;'Target Products'!D9&amp;" | features: "&amp;'Target Products'!F9&amp;" | details: "&amp;'Target Products'!G9&amp;" | description: "&amp;'Target Products'!H9</x:f>
        <x:v>title: GLOBALWIN Women's Waterproof Winter Boots Snow Boots For Women | categories: Clothing, Shoes &amp; Jewelry | Boot Shop | Women | Outdoor &amp; Work | Snow &amp; Cold Weather | features: Rubber sole | Shaft measures approximately 8.37" from arch | Warm And Comfortable Women’s Winter Boots: These Women Winter Boots Featuring Thermolite Insulation Rated To -15F. Fully Lined With Soft Faux Fur To Keep The Feet Warm All Day Long In Winter . | Fashionable And Functional Cold Weather Winter Boots Women: Snow Boots For Women Are Perfect For Outdoor Activities In Winter. Ankle To Mid-Calf Fit. And You Will Definitely Find A Color Combination To Match Your Winter Outfits. Made Of High Quality Italian Faux Leather. We Try To Use The Best Material Meanwhile Reducing Pressure On Our Environment. | Vegan Water Resistant PU Leather Upper: Our Womens Snow Boots Featuing Waterproof Seam-Sealed Construction To Keep Out The Wet Elements So Your Feet Will Stay Warm And Dry. | Snow Boots Women With Slip Resistant Soles: Rubber Sole Provides Good Traction On Snow. | Fashionable Winter Boos For All Occasions: Wear These Cute Boots With Your Jeans To Office Or Do Winter Activities! | details: Item model number: GW-W1910 | Department: womens | Date First Available: July 31, 2017 | description: </x:v>
      </x:c>
      <x:c r="D9" s="17" t="str">
        <x:f>"title: "&amp;'Target Products'!C9&amp;" | leaf_category: "&amp;'Target Products'!E9&amp;" | store: "&amp;'Target Products'!L9&amp;" | details: "&amp;'Target Products'!G9</x:f>
        <x:v>title: GLOBALWIN Women's Waterproof Winter Boots Snow Boots For Women | leaf_category: Snow &amp; Cold Weather | store: GLOBALWIN | details: Item model number: GW-W1910 | Department: womens | Date First Available: July 31, 2017</x:v>
      </x:c>
      <x:c r="E9" s="17" t="str">
        <x:f>"scenario: "&amp;'Sessions'!B9&amp;" | current_message: "&amp;'Sessions'!M9&amp;" | profile_soft_tags: "&amp;'Sessions'!I9</x:f>
        <x:v>scenario: buying | current_message: I'm looking for Outdoor &amp; Work Snow &amp; Cold Weather. A key requirement is: leather. | profile_soft_tags: comfort | fit | style | durability</x:v>
      </x:c>
      <x:c r="F9" s="17" t="str">
        <x:f>'Intent Cards'!D9&amp;IF('Intent Cards'!F9&lt;&gt;""," | "&amp;'Intent Cards'!F9,"")</x:f>
        <x:v>leather | Rubber sole</x:v>
      </x:c>
      <x:c r="G9" s="17" t="str">
        <x:f>'Sessions'!I9</x:f>
        <x:v>comfort | fit | style | durability</x:v>
      </x:c>
      <x:c r="H9" s="77" t="n">
        <x:f>LEN(C9)</x:f>
        <x:v>1285</x:v>
      </x:c>
      <x:c r="I9" s="77" t="n">
        <x:f>IF(H9&gt;2400,3,IF(H9&gt;1200,2,1))</x:f>
        <x:v>2</x:v>
      </x:c>
      <x:c r="J9" s="17" t="str">
        <x:f>IF('Sessions'!B9="intent_override","Drop superseded values before query embedding",IF('Sessions'!B9="boundary","Do not invent a value for no-preference attributes","Keep profile tags soft; current message wins"))</x:f>
        <x:v>Keep profile tags soft; current message wins</x:v>
      </x:c>
    </x:row>
    <x:row r="10" ht="72" customHeight="1">
      <x:c r="A10" t="str">
        <x:f>'Sessions'!A10</x:f>
        <x:v>public_0006</x:v>
      </x:c>
      <x:c r="B10" t="str">
        <x:f>'Target Products'!B10</x:f>
        <x:v>B071F2Z7JG</x:v>
      </x:c>
      <x:c r="C10" s="17" t="str">
        <x:f>"title: "&amp;'Target Products'!C10&amp;" | categories: "&amp;'Target Products'!D10&amp;" | features: "&amp;'Target Products'!F10&amp;" | details: "&amp;'Target Products'!G10&amp;" | description: "&amp;'Target Products'!H10</x:f>
        <x:v>title: Pro Club Men's Heavyweight Mesh Basketball Shorts | categories: Clothing, Shoes &amp; Jewelry | Sport Specific Clothing | Basketball | Men | features: 100% Polyester | Drawstring closure | High quality mesh for maximum breathability to keep you cool | Superior comfortable with sports activity | Right rear pocket with Zipper | Elastic Waistband with drawstring | Solid stripe down each side | details: Item Weight: 10 Ounces | Item model number: 161 | Department: mens | Date First Available: March 23, 2015 | description: Pro Club Heavyweight MESH Shorts are great for playing basketball and gym workouts. Features two front pockets, double needle stitching throughout right rear pocket with zipper. | Size Chart | S (28"~30" WAIST, 12.25" Inseam) | S (28"~30" WAIST, 12.25" Inseam) | M (32"~34" WAIST, 12.50" Inseam) | M (32"~34" WAIST, 12.50" Inseam) | L (36"~38" WAIST, 12.75" Inseam) | L (36"~38" WAIST, 12.75" Inseam) | XL (40"~42" WAIST, 13" Inseam) | XL (40"~42" WAIST, 13" Inseam) | 2XL(44"~46" WAIST, 13.25" Inseam) | 2XL(44"~46" WAIST, 13.25" Inseam) | 3XL (48"~50" WAIST, 13.50" Inseam) | 3XL (48"~50" WAIST, 13.50" Inseam) | 4XL (52"~54" WAIST, 13.75" Inseam) | 4XL (52"~54" WAIST, 13.75" Inseam) | 5XL(56"~58" WAIST, 14" Inseam) | 5XL(56"~58" WAIST, 14" Inseam)</x:v>
      </x:c>
      <x:c r="D10" s="17" t="str">
        <x:f>"title: "&amp;'Target Products'!C10&amp;" | leaf_category: "&amp;'Target Products'!E10&amp;" | store: "&amp;'Target Products'!L10&amp;" | details: "&amp;'Target Products'!G10</x:f>
        <x:v>title: Pro Club Men's Heavyweight Mesh Basketball Shorts | leaf_category: Men | store: Pro Club | details: Item Weight: 10 Ounces | Item model number: 161 | Department: mens | Date First Available: March 23, 2015</x:v>
      </x:c>
      <x:c r="E10" s="17" t="str">
        <x:f>"scenario: "&amp;'Sessions'!B10&amp;" | current_message: "&amp;'Sessions'!M10&amp;" | profile_soft_tags: "&amp;'Sessions'!I10</x:f>
        <x:v>scenario: browsing | current_message: I'm looking for Basketball Men, but I'm still exploring. | profile_soft_tags: comfort | fit | durability | style</x:v>
      </x:c>
      <x:c r="F10" s="17" t="str">
        <x:f>'Intent Cards'!D10&amp;IF('Intent Cards'!F10&lt;&gt;""," | "&amp;'Intent Cards'!F10,"")</x:f>
        <x:v>polyester | 100% Polyester</x:v>
      </x:c>
      <x:c r="G10" s="17" t="str">
        <x:f>'Sessions'!I10</x:f>
        <x:v>comfort | fit | durability | style</x:v>
      </x:c>
      <x:c r="H10" s="77" t="n">
        <x:f>LEN(C10)</x:f>
        <x:v>1279</x:v>
      </x:c>
      <x:c r="I10" s="77" t="n">
        <x:f>IF(H10&gt;2400,3,IF(H10&gt;1200,2,1))</x:f>
        <x:v>2</x:v>
      </x:c>
      <x:c r="J10" s="17" t="str">
        <x:f>IF('Sessions'!B10="intent_override","Drop superseded values before query embedding",IF('Sessions'!B10="boundary","Do not invent a value for no-preference attributes","Keep profile tags soft; current message wins"))</x:f>
        <x:v>Keep profile tags soft; current message wins</x:v>
      </x:c>
    </x:row>
    <x:row r="11" ht="72" customHeight="1">
      <x:c r="A11" t="str">
        <x:f>'Sessions'!A11</x:f>
        <x:v>public_0007</x:v>
      </x:c>
      <x:c r="B11" t="str">
        <x:f>'Target Products'!B11</x:f>
        <x:v>B08PF98BV4</x:v>
      </x:c>
      <x:c r="C11" s="17" t="str">
        <x:f>"title: "&amp;'Target Products'!C11&amp;" | categories: "&amp;'Target Products'!D11&amp;" | features: "&amp;'Target Products'!F11&amp;" | details: "&amp;'Target Products'!G11&amp;" | description: "&amp;'Target Products'!H11</x:f>
        <x:v>title: RITERA Plus Size Tops for Women Off the Shoulder Cold Shoulder Tops Short Sleeve Shirts Summer Blouses Sexy Tunics Tee XL-5XL | categories: Clothing, Shoes &amp; Jewelry | Women | Clothing | Tops, Tees &amp; Blouses | Tunics | features: 75% Polyester, 20% Rayon, 5% Spandex | Imported | Pull On closure | Hand Wash&amp;Machine Wash | 【Material】Women plus size cold shoulder tops is made of Rayon Polyester Spandex, breathable, stretchy, lightweight, not see-through and comfortable to wear. Women's basic top must have in summer. | 【Feature】Plus size short sleeved shirt, sexy cold shoulder design can show your beautiful shoulders, loose fitting tunic, dressy blouse, suitable for all ages and body shapes. | 【Match】Plus size summer tops can be well matched with jeans, skirt and leggings. Perfect for daily wear, work, going out, dating, party, vacation or beach, ect. | 【US Size】Please refer to the size chart in the photos to choose women plus size blouse. You can choose a size up if you prefer looser fit. Many style print tops are available for you to choose from. | 【Tips】Hand wash&amp;machine wash recommended, do not bleach! If any concern with this womens plus size tunic you received, just contact RITERA team directly and we will be always here to assist you. | details: Department: womens | Date First Available: December 2, 2020 | description: </x:v>
      </x:c>
      <x:c r="D11" s="17" t="str">
        <x:f>"title: "&amp;'Target Products'!C11&amp;" | leaf_category: "&amp;'Target Products'!E11&amp;" | store: "&amp;'Target Products'!L11&amp;" | details: "&amp;'Target Products'!G11</x:f>
        <x:v>title: RITERA Plus Size Tops for Women Off the Shoulder Cold Shoulder Tops Short Sleeve Shirts Summer Blouses Sexy Tunics Tee XL-5XL | leaf_category: Tunics | store: RITERA | details: Department: womens | Date First Available: December 2, 2020</x:v>
      </x:c>
      <x:c r="E11" s="17" t="str">
        <x:f>"scenario: "&amp;'Sessions'!B11&amp;" | current_message: "&amp;'Sessions'!M11&amp;" | profile_soft_tags: "&amp;'Sessions'!I11</x:f>
        <x:v>scenario: browsing | current_message: I'm looking for Tees &amp; Blouses Tunics, but I'm still exploring. | profile_soft_tags: material | fit</x:v>
      </x:c>
      <x:c r="F11" s="17" t="str">
        <x:f>'Intent Cards'!D11&amp;IF('Intent Cards'!F11&lt;&gt;""," | "&amp;'Intent Cards'!F11,"")</x:f>
        <x:v>polyester | 75% Polyester, 20% Rayon, 5% Spandex</x:v>
      </x:c>
      <x:c r="G11" s="17" t="str">
        <x:f>'Sessions'!I11</x:f>
        <x:v>material | fit</x:v>
      </x:c>
      <x:c r="H11" s="77" t="n">
        <x:f>LEN(C11)</x:f>
        <x:v>1350</x:v>
      </x:c>
      <x:c r="I11" s="77" t="n">
        <x:f>IF(H11&gt;2400,3,IF(H11&gt;1200,2,1))</x:f>
        <x:v>2</x:v>
      </x:c>
      <x:c r="J11" s="17" t="str">
        <x:f>IF('Sessions'!B11="intent_override","Drop superseded values before query embedding",IF('Sessions'!B11="boundary","Do not invent a value for no-preference attributes","Keep profile tags soft; current message wins"))</x:f>
        <x:v>Keep profile tags soft; current message wins</x:v>
      </x:c>
    </x:row>
    <x:row r="12" ht="72" customHeight="1">
      <x:c r="A12" t="str">
        <x:f>'Sessions'!A12</x:f>
        <x:v>public_0008</x:v>
      </x:c>
      <x:c r="B12" t="str">
        <x:f>'Target Products'!B12</x:f>
        <x:v>B0BPCC1KBT</x:v>
      </x:c>
      <x:c r="C12" s="17" t="str">
        <x:f>"title: "&amp;'Target Products'!C12&amp;" | categories: "&amp;'Target Products'!D12&amp;" | features: "&amp;'Target Products'!F12&amp;" | details: "&amp;'Target Products'!G12&amp;" | description: "&amp;'Target Products'!H12</x:f>
        <x:v>title: Hanes Womens Wireless Bra, Full-Coverage Pullover Stretch-Knit Bra, Smoothing T-Shirt Bra | categories: Clothing, Shoes &amp; Jewelry | Women | Clothing | Lingerie, Sleep &amp; Lounge | Lingerie | Bras | Everyday Bras | features: 96% Nylon, 4% Spandex | Pull-On closure | Hand Wash Only | THE SUPPORT YOU NEED IS KNIT RIGHT IN - Strategic knit panels and a ribbed underband. | ADAPTS TO YOUR SHAPE, NOT THE OTHER WAY AROUND - ComfortFlex Fit fabric stretches effortlessly to mold to your shape. | COOL ALL DAY - Cool Comfort moisture-wicking fabric keeps you cool and dry hour after hour. | THE SMOOTHNESS YOU WANT - Seamless construction with smooth cups, a built-up back, and wide straps for the invisible look you want under clingy clothes. | NATURAL SHAPING - Unlined cups offer natural shaping and sublime comfort. | ULTRA-VERSATILE - For everyday wear, low-impact workouts, lounging, even sleeping. | NO HARDWARE, NO SEAMS, NO TAG, NO ITCH - Pullover ease designed for dreamy comfort. | QUALITY FABRIC - Hanes wireless pullover T-shirt bra is made of 68% polyester/23% nylon/9% spandex. | details: Product Dimensions: 13 x 8 x 1 inches | Item model number: G196 | Department: Womens | Date First Available: August 3, 2015 | Manufacturer: Hanes Bras | description: This wireless knit bra from Hanes® could easily become your favorite for all the ways in which it offers comfort and support. This pullover stretch bra is designed with strategic knit panels, placed to offer the support you need. The unlined cups offer natural shaping and sublime comfort, with that soft feel you love. This versatile style is made of the brand's ComfortFlex Fit® fabric with 4-way stretch that molds to your shape. Even better, this wirefree bra also features Cool Comfort® fabric that wicks away moisture to keep you cool and dry all day. Customers tell us they wear this T-shirt bra for low-impact workouts, including yoga, and that it's so comfortable they sometimes lounge and even sleep in it. With its built-up back and wide straps, this pullover bra offers smoothing all around, and is tagless for itch-free comfort.</x:v>
      </x:c>
      <x:c r="D12" s="17" t="str">
        <x:f>"title: "&amp;'Target Products'!C12&amp;" | leaf_category: "&amp;'Target Products'!E12&amp;" | store: "&amp;'Target Products'!L12&amp;" | details: "&amp;'Target Products'!G12</x:f>
        <x:v>title: Hanes Womens Wireless Bra, Full-Coverage Pullover Stretch-Knit Bra, Smoothing T-Shirt Bra | leaf_category: Everyday Bras | store: Hanes | details: Product Dimensions: 13 x 8 x 1 inches | Item model number: G196 | Department: Womens | Date First Available: August 3, 2015 | Manufacturer: Hanes Bras</x:v>
      </x:c>
      <x:c r="E12" s="17" t="str">
        <x:f>"scenario: "&amp;'Sessions'!B12&amp;" | current_message: "&amp;'Sessions'!M12&amp;" | profile_soft_tags: "&amp;'Sessions'!I12</x:f>
        <x:v>scenario: buying | current_message: I'm looking for Bras Everyday Bras. A key requirement is: nylon. | profile_soft_tags: fit | comfort | material | style</x:v>
      </x:c>
      <x:c r="F12" s="17" t="str">
        <x:f>'Intent Cards'!D12&amp;IF('Intent Cards'!F12&lt;&gt;""," | "&amp;'Intent Cards'!F12,"")</x:f>
        <x:v>nylon | 96% Nylon, 4% Spandex</x:v>
      </x:c>
      <x:c r="G12" s="17" t="str">
        <x:f>'Sessions'!I12</x:f>
        <x:v>fit | comfort | material | style</x:v>
      </x:c>
      <x:c r="H12" s="77" t="n">
        <x:f>LEN(C12)</x:f>
        <x:v>2110</x:v>
      </x:c>
      <x:c r="I12" s="77" t="n">
        <x:f>IF(H12&gt;2400,3,IF(H12&gt;1200,2,1))</x:f>
        <x:v>2</x:v>
      </x:c>
      <x:c r="J12" s="17" t="str">
        <x:f>IF('Sessions'!B12="intent_override","Drop superseded values before query embedding",IF('Sessions'!B12="boundary","Do not invent a value for no-preference attributes","Keep profile tags soft; current message wins"))</x:f>
        <x:v>Keep profile tags soft; current message wins</x:v>
      </x:c>
    </x:row>
    <x:row r="13" ht="72" customHeight="1">
      <x:c r="A13" t="str">
        <x:f>'Sessions'!A13</x:f>
        <x:v>public_0009</x:v>
      </x:c>
      <x:c r="B13" t="str">
        <x:f>'Target Products'!B13</x:f>
        <x:v>B07GXHPWTJ</x:v>
      </x:c>
      <x:c r="C13" s="17" t="str">
        <x:f>"title: "&amp;'Target Products'!C13&amp;" | categories: "&amp;'Target Products'!D13&amp;" | features: "&amp;'Target Products'!F13&amp;" | details: "&amp;'Target Products'!G13&amp;" | description: "&amp;'Target Products'!H13</x:f>
        <x:v>title: Angel Barcelo Roomy Fashion Hobo Womens Handbags Ladies Purse Satchel Shoulder Bags Tote Washed Leather Bag | categories: Clothing, Shoes &amp; Jewelry | Women | Handbags &amp; Wallets | Totes | features: Soft Washed PU Leather with Convenient side Pockets | Imported | Adjustable and Removable Shoulder Strap | Quality Material:High Quality Anti-Scratch PU Leather Hobo Tote Womens Purse Handbag.soft hand feel and durable,Front U-shaped sewing design, reinforced bottom with special hook decoration, two Side pockets make the hobo bag more unique for women daily use. | Dimension(L*W*H): Size:13.8*4.7*11.8 inches , Handle height: 11.41"/29CM(long enough to put on shoulder), good for everyday use, holds your daily essentials such as Ipad, mobile phone, cosmetics, wallet and more. | Multiple Pockets: The tote Bags multiple pockets design make it convenient to pick up stuff;Reasonable separation design of inner space is suitable for different item storage.1 main zipper compartment with 1 inner zipper pocket,1 back pocket and 2 slot pockets,keep your daily items well organized. | Ultra-lightweight and Casual Style:Weight Only 1.65pounds/0.75KG,It easily goes with any outfits, ranging from skirts to jeans. Fashion and casual, all you dream of are displayed by one single shoulder handbag. It's a must have for women in this season. | Perfect for daily use - school, party, traveling, work or shopping, etc. What’s more, the length of the shoulder strap is adjustable and removable, so it can work as a sling bag, cross body bag and a tote bag. | details: Is Discontinued By Manufacturer: No | Product Dimensions: 10 x 10 x 2 inches; 1.2 Pounds | Item model number: 0044 | Department: Womens | Date First Available: July 23, 2018 | description: </x:v>
      </x:c>
      <x:c r="D13" s="17" t="str">
        <x:f>"title: "&amp;'Target Products'!C13&amp;" | leaf_category: "&amp;'Target Products'!E13&amp;" | store: "&amp;'Target Products'!L13&amp;" | details: "&amp;'Target Products'!G13</x:f>
        <x:v>title: Angel Barcelo Roomy Fashion Hobo Womens Handbags Ladies Purse Satchel Shoulder Bags Tote Washed Leather Bag | leaf_category: Totes | store: Angel Barcelo | details: Is Discontinued By Manufacturer: No | Product Dimensions: 10 x 10 x 2 inches; 1.2 Pounds | Item model number: 0044 | Department: Womens | Date First Available: July 23, 2018</x:v>
      </x:c>
      <x:c r="E13" s="17" t="str">
        <x:f>"scenario: "&amp;'Sessions'!B13&amp;" | current_message: "&amp;'Sessions'!M13&amp;" | profile_soft_tags: "&amp;'Sessions'!I13</x:f>
        <x:v>scenario: buying | current_message: I'm looking for Handbags &amp; Wallets Totes. A key requirement is: leather. | profile_soft_tags: material | comfort | fit</x:v>
      </x:c>
      <x:c r="F13" s="17" t="str">
        <x:f>'Intent Cards'!D13&amp;IF('Intent Cards'!F13&lt;&gt;""," | "&amp;'Intent Cards'!F13,"")</x:f>
        <x:v>leather | Soft Washed PU Leather with Convenient side Pockets</x:v>
      </x:c>
      <x:c r="G13" s="17" t="str">
        <x:f>'Sessions'!I13</x:f>
        <x:v>material | comfort | fit</x:v>
      </x:c>
      <x:c r="H13" s="77" t="n">
        <x:f>LEN(C13)</x:f>
        <x:v>1753</x:v>
      </x:c>
      <x:c r="I13" s="77" t="n">
        <x:f>IF(H13&gt;2400,3,IF(H13&gt;1200,2,1))</x:f>
        <x:v>2</x:v>
      </x:c>
      <x:c r="J13" s="17" t="str">
        <x:f>IF('Sessions'!B13="intent_override","Drop superseded values before query embedding",IF('Sessions'!B13="boundary","Do not invent a value for no-preference attributes","Keep profile tags soft; current message wins"))</x:f>
        <x:v>Keep profile tags soft; current message wins</x:v>
      </x:c>
    </x:row>
    <x:row r="14" ht="72" customHeight="1">
      <x:c r="A14" t="str">
        <x:f>'Sessions'!A14</x:f>
        <x:v>public_0010</x:v>
      </x:c>
      <x:c r="B14" t="str">
        <x:f>'Target Products'!B14</x:f>
        <x:v>B0929KL5W7</x:v>
      </x:c>
      <x:c r="C14" s="17" t="str">
        <x:f>"title: "&amp;'Target Products'!C14&amp;" | categories: "&amp;'Target Products'!D14&amp;" | features: "&amp;'Target Products'!F14&amp;" | details: "&amp;'Target Products'!G14&amp;" | description: "&amp;'Target Products'!H14</x:f>
        <x:v>title: MANGOPOP Women's Mock Turtle Neck Long Sleeve Tops Bodysuit Jumpsuit | categories: Clothing, Shoes &amp; Jewelry | Women | Clothing | Bodysuits | features: Stretchy fabric: 95% modal, 5% spandex | Imported | Snap closure | Hand wash recommended (Use a laundry bag if machine wash) | Please select your size according to size chart in the last image before ordering. Take your normal size, please don't try to go up size | Bodysuits for women featuring mock turtle neck, sleeveless / long sleeve | Tanga bottom, 2 snap buttons butt closure at crotch | Package content:1* Bodysuit | details: Package Dimensions: 7.87 x 7.87 x 0.39 inches; 2.82 Ounces | Department: Womens | Date First Available: April 12, 2021 | description: </x:v>
      </x:c>
      <x:c r="D14" s="17" t="str">
        <x:f>"title: "&amp;'Target Products'!C14&amp;" | leaf_category: "&amp;'Target Products'!E14&amp;" | store: "&amp;'Target Products'!L14&amp;" | details: "&amp;'Target Products'!G14</x:f>
        <x:v>title: MANGOPOP Women's Mock Turtle Neck Long Sleeve Tops Bodysuit Jumpsuit | leaf_category: Bodysuits | store: MANGOPOP | details: Package Dimensions: 7.87 x 7.87 x 0.39 inches; 2.82 Ounces | Department: Womens | Date First Available: April 12, 2021</x:v>
      </x:c>
      <x:c r="E14" s="17" t="str">
        <x:f>"scenario: "&amp;'Sessions'!B14&amp;" | current_message: "&amp;'Sessions'!M14&amp;" | profile_soft_tags: "&amp;'Sessions'!I14</x:f>
        <x:v>scenario: buying | current_message: I'm looking for Women Bodysuits. A key requirement is: fabric. | profile_soft_tags: material | fit | performance | comfort</x:v>
      </x:c>
      <x:c r="F14" s="17" t="str">
        <x:f>'Intent Cards'!D14&amp;IF('Intent Cards'!F14&lt;&gt;""," | "&amp;'Intent Cards'!F14,"")</x:f>
        <x:v>fabric | Stretchy fabric: 95% modal, 5% spandex</x:v>
      </x:c>
      <x:c r="G14" s="17" t="str">
        <x:f>'Sessions'!I14</x:f>
        <x:v>material | fit | performance | comfort</x:v>
      </x:c>
      <x:c r="H14" s="77" t="n">
        <x:f>LEN(C14)</x:f>
        <x:v>727</x:v>
      </x:c>
      <x:c r="I14" s="77" t="n">
        <x:f>IF(H14&gt;2400,3,IF(H14&gt;1200,2,1))</x:f>
        <x:v>1</x:v>
      </x:c>
      <x:c r="J14" s="17" t="str">
        <x:f>IF('Sessions'!B14="intent_override","Drop superseded values before query embedding",IF('Sessions'!B14="boundary","Do not invent a value for no-preference attributes","Keep profile tags soft; current message wins"))</x:f>
        <x:v>Keep profile tags soft; current message wins</x:v>
      </x:c>
    </x:row>
    <x:row r="15" ht="72" customHeight="1">
      <x:c r="A15" t="str">
        <x:f>'Sessions'!A15</x:f>
        <x:v>public_0011</x:v>
      </x:c>
      <x:c r="B15" t="str">
        <x:f>'Target Products'!B15</x:f>
        <x:v>B0BXP6MG3X</x:v>
      </x:c>
      <x:c r="C15" s="17" t="str">
        <x:f>"title: "&amp;'Target Products'!C15&amp;" | categories: "&amp;'Target Products'!D15&amp;" | features: "&amp;'Target Products'!F15&amp;" | details: "&amp;'Target Products'!G15&amp;" | description: "&amp;'Target Products'!H15</x:f>
        <x:v>title: Hanes Men's Tagless Cotton V-Neck Undershirt – Multiple Packs and Colors | categories: Clothing, Shoes &amp; Jewelry | Men | Clothing | Underwear | Undershirts | features: 100% Cotton | Imported | undershirts closure | Machine Wash | THE COMFORT OF COTTON - Starts soft and gets softer with each washing. | KEEP COOL AND DRY - Cool Comfort moisture-wicking fabric for all- day comfort. | FRESH ALL DAY - FreshIQ advanced odor protection technology fights odor-causing bacteria. | THE SIZE YOU BUY IS THE SIZE IT STAYS - Preshrunk cotton holds its size and shape, wash after wash. | FREEDOM TO MOVE - Roomy armholes and a full-cut silhouette for unrestricted movement. | NO TAG, NO ITCH - No tag to bunch up or itch. | 6-PACK CONVENIENCE - One-and-done shopping for stock-up ease. | QUALITY FABRIC - Hanes soft and lightweight V-neck undershirts are made of 100% cotton. | EASY CARE - Throw in the washer, tumble dry low. | details: Department: mens | Date First Available: March 7, 2023 | Manufacturer: Hanes Men's Underwear | description: Here's a quality basic from the experts at Hanes®, the folks who know a lot about essential comfort. Whether you wear this cotton V-neck T-shirt as an undershirt or as a tee, you'll appreciate how Hanes® has taken a basic style and made it even better. These ComfortSoft® cotton tees are made with Hanes® FreshIQ™ advanced odor protection technology that fights odor-causing bacteria for all-day freshness and with Cool Comfort® cotton that wicks away moisture to keep you cool and dry. And because the cotton is preshrunk, these men's V-neck undershirts will keep their size and shape through many washings. You'll also appreciate the roomy armholes and relaxed fit for total comfort and ease of movement. Stock up on these Hanes®-best cotton V-neck tees in a convenient multi-pack and start wearing a better-than-basic undershirt.</x:v>
      </x:c>
      <x:c r="D15" s="17" t="str">
        <x:f>"title: "&amp;'Target Products'!C15&amp;" | leaf_category: "&amp;'Target Products'!E15&amp;" | store: "&amp;'Target Products'!L15&amp;" | details: "&amp;'Target Products'!G15</x:f>
        <x:v>title: Hanes Men's Tagless Cotton V-Neck Undershirt – Multiple Packs and Colors | leaf_category: Undershirts | store: Hanes | details: Department: mens | Date First Available: March 7, 2023 | Manufacturer: Hanes Men's Underwear</x:v>
      </x:c>
      <x:c r="E15" s="17" t="str">
        <x:f>"scenario: "&amp;'Sessions'!B15&amp;" | current_message: "&amp;'Sessions'!M15&amp;" | profile_soft_tags: "&amp;'Sessions'!I15</x:f>
        <x:v>scenario: browsing | current_message: I'm looking for Underwear Undershirts, but I'm still exploring. | profile_soft_tags: material | fit</x:v>
      </x:c>
      <x:c r="F15" s="17" t="str">
        <x:f>'Intent Cards'!D15&amp;IF('Intent Cards'!F15&lt;&gt;""," | "&amp;'Intent Cards'!F15,"")</x:f>
        <x:v>cotton | 100% Cotton</x:v>
      </x:c>
      <x:c r="G15" s="17" t="str">
        <x:f>'Sessions'!I15</x:f>
        <x:v>material | fit</x:v>
      </x:c>
      <x:c r="H15" s="77" t="n">
        <x:f>LEN(C15)</x:f>
        <x:v>1875</x:v>
      </x:c>
      <x:c r="I15" s="77" t="n">
        <x:f>IF(H15&gt;2400,3,IF(H15&gt;1200,2,1))</x:f>
        <x:v>2</x:v>
      </x:c>
      <x:c r="J15" s="17" t="str">
        <x:f>IF('Sessions'!B15="intent_override","Drop superseded values before query embedding",IF('Sessions'!B15="boundary","Do not invent a value for no-preference attributes","Keep profile tags soft; current message wins"))</x:f>
        <x:v>Keep profile tags soft; current message wins</x:v>
      </x:c>
    </x:row>
    <x:row r="16" ht="72" customHeight="1">
      <x:c r="A16" t="str">
        <x:f>'Sessions'!A16</x:f>
        <x:v>public_0012</x:v>
      </x:c>
      <x:c r="B16" t="str">
        <x:f>'Target Products'!B16</x:f>
        <x:v>B08FFGQF72</x:v>
      </x:c>
      <x:c r="C16" s="17" t="str">
        <x:f>"title: "&amp;'Target Products'!C16&amp;" | categories: "&amp;'Target Products'!D16&amp;" | features: "&amp;'Target Products'!F16&amp;" | details: "&amp;'Target Products'!G16&amp;" | description: "&amp;'Target Products'!H16</x:f>
        <x:v>title: GUBERRY Womens Wrap V Neck Long Sleeve Velvet Bodycon Ruched Cocktail Party Dress | categories: Clothing, Shoes &amp; Jewelry | Women | Clothing | Dresses | features: 95% Polyester, 5% Spandex | Imported | Wrap closure | Hand Wash Only | Features: wrap v neck, lightweight stretch velvet, mini knee length | Occasion: great for daily wear, formal occassion, party, club, night out, evening, wedding | Washing Tips: hand wash or gentle machine wash with cold water | Simple yet flaterring dress, styling with high heels and shiny accessories will look more great,create chic sexy elegance.Unique v-neck wrap long sleeve bodycon design with comfortable elastic velvet fabric, you can spend this autumn and winter relaxed | Detailed size info please check product description, Due to monitor settings and monitor pixel definitions, it may be a little color different | details: Department: Womens | Date First Available: August 8, 2020 | description: </x:v>
      </x:c>
      <x:c r="D16" s="17" t="str">
        <x:f>"title: "&amp;'Target Products'!C16&amp;" | leaf_category: "&amp;'Target Products'!E16&amp;" | store: "&amp;'Target Products'!L16&amp;" | details: "&amp;'Target Products'!G16</x:f>
        <x:v>title: GUBERRY Womens Wrap V Neck Long Sleeve Velvet Bodycon Ruched Cocktail Party Dress | leaf_category: Dresses | store: GUBERRY | details: Department: Womens | Date First Available: August 8, 2020</x:v>
      </x:c>
      <x:c r="E16" s="17" t="str">
        <x:f>"scenario: "&amp;'Sessions'!B16&amp;" | current_message: "&amp;'Sessions'!M16&amp;" | profile_soft_tags: "&amp;'Sessions'!I16</x:f>
        <x:v>scenario: browsing | current_message: I'm looking for Women Dresses, but I'm still exploring. | profile_soft_tags: fit | material</x:v>
      </x:c>
      <x:c r="F16" s="17" t="str">
        <x:f>'Intent Cards'!D16&amp;IF('Intent Cards'!F16&lt;&gt;""," | "&amp;'Intent Cards'!F16,"")</x:f>
        <x:v>polyester | 95% Polyester, 5% Spandex</x:v>
      </x:c>
      <x:c r="G16" s="17" t="str">
        <x:f>'Sessions'!I16</x:f>
        <x:v>fit | material</x:v>
      </x:c>
      <x:c r="H16" s="77" t="n">
        <x:f>LEN(C16)</x:f>
        <x:v>951</x:v>
      </x:c>
      <x:c r="I16" s="77" t="n">
        <x:f>IF(H16&gt;2400,3,IF(H16&gt;1200,2,1))</x:f>
        <x:v>1</x:v>
      </x:c>
      <x:c r="J16" s="17" t="str">
        <x:f>IF('Sessions'!B16="intent_override","Drop superseded values before query embedding",IF('Sessions'!B16="boundary","Do not invent a value for no-preference attributes","Keep profile tags soft; current message wins"))</x:f>
        <x:v>Keep profile tags soft; current message wins</x:v>
      </x:c>
    </x:row>
    <x:row r="17" ht="72" customHeight="1">
      <x:c r="A17" t="str">
        <x:f>'Sessions'!A17</x:f>
        <x:v>public_0013</x:v>
      </x:c>
      <x:c r="B17" t="str">
        <x:f>'Target Products'!B17</x:f>
        <x:v>B0C65TFM9F</x:v>
      </x:c>
      <x:c r="C17" s="17" t="str">
        <x:f>"title: "&amp;'Target Products'!C17&amp;" | categories: "&amp;'Target Products'!D17&amp;" | features: "&amp;'Target Products'!F17&amp;" | details: "&amp;'Target Products'!G17&amp;" | description: "&amp;'Target Products'!H17</x:f>
        <x:v>title: Vionic Women's Gemma | categories: Clothing, Shoes &amp; Jewelry | Women | Shoes | Slippers | features: Rubber sole | Textile Upper. Textile Covered EVA Footbed. Rubber Outsole. | Received APMA (American Podiatric Medical Association) Seal of Acceptance | YOUR NEW FAVORITE SLIPPERS: Slip into divine comfort with Gemma, a plush mule-style spa slipper with an adjustable hook-and-loop closure across the vamp. | VIO MOTION SUPPORT: The Most Supportive Shoes Ever. Our Vio-Motion Support includes Three-Zone Comfort with Ultimate Arch Support for a difference you can feel. | details: Package Dimensions: 11 x 5 x 4 inches; 1 Pounds | Department: Womens | Date First Available: June 1, 2013 | Manufacturer: Vionic | description: Orthaheel Womens Gemma is a comfortable orthotic mulestyled slipper. The Gemma combines the pronation control technology designed in Orthaheels sandals with a soft terry cloth spa slipper Men go up a sizesize and a half, example if you are a mens 99.5 order a size 11. Also see the Orthaheel Relax Slipper same slipper but opentoed. Note only certain colors are on sale.</x:v>
      </x:c>
      <x:c r="D17" s="17" t="str">
        <x:f>"title: "&amp;'Target Products'!C17&amp;" | leaf_category: "&amp;'Target Products'!E17&amp;" | store: "&amp;'Target Products'!L17&amp;" | details: "&amp;'Target Products'!G17</x:f>
        <x:v>title: Vionic Women's Gemma | leaf_category: Slippers | store: Vionic | details: Package Dimensions: 11 x 5 x 4 inches; 1 Pounds | Department: Womens | Date First Available: June 1, 2013 | Manufacturer: Vionic</x:v>
      </x:c>
      <x:c r="E17" s="17" t="str">
        <x:f>"scenario: "&amp;'Sessions'!B17&amp;" | current_message: "&amp;'Sessions'!M17&amp;" | profile_soft_tags: "&amp;'Sessions'!I17</x:f>
        <x:v>scenario: intent_override | current_message: I'm looking for Shoes Slippers. YOUR NEW FAVORITE SLIPPERS: Slip into divine comfort with Gemma, a plush mule-style spa slipper with an adjustable hook-and-loop closure across the vamp | profile_soft_tags: comfort | material</x:v>
      </x:c>
      <x:c r="F17" s="17" t="str">
        <x:f>'Intent Cards'!D17&amp;IF('Intent Cards'!F17&lt;&gt;""," | "&amp;'Intent Cards'!F17,"")</x:f>
        <x:v>Rubber sole | Textile Upper. Textile Covered EVA Footbed. Rubber Outsole</x:v>
      </x:c>
      <x:c r="G17" s="17" t="str">
        <x:f>'Sessions'!I17</x:f>
        <x:v>comfort | material</x:v>
      </x:c>
      <x:c r="H17" s="77" t="n">
        <x:f>LEN(C17)</x:f>
        <x:v>1101</x:v>
      </x:c>
      <x:c r="I17" s="77" t="n">
        <x:f>IF(H17&gt;2400,3,IF(H17&gt;1200,2,1))</x:f>
        <x:v>1</x:v>
      </x:c>
      <x:c r="J17" s="17" t="str">
        <x:f>IF('Sessions'!B17="intent_override","Drop superseded values before query embedding",IF('Sessions'!B17="boundary","Do not invent a value for no-preference attributes","Keep profile tags soft; current message wins"))</x:f>
        <x:v>Drop superseded values before query embedding</x:v>
      </x:c>
    </x:row>
    <x:row r="18" ht="72" customHeight="1">
      <x:c r="A18" t="str">
        <x:f>'Sessions'!A18</x:f>
        <x:v>public_0014</x:v>
      </x:c>
      <x:c r="B18" t="str">
        <x:f>'Target Products'!B18</x:f>
        <x:v>B088QF5G58</x:v>
      </x:c>
      <x:c r="C18" s="17" t="str">
        <x:f>"title: "&amp;'Target Products'!C18&amp;" | categories: "&amp;'Target Products'!D18&amp;" | features: "&amp;'Target Products'!F18&amp;" | details: "&amp;'Target Products'!G18&amp;" | description: "&amp;'Target Products'!H18</x:f>
        <x:v>title: Hanes Men's Underwear Briefs Pack, Mid-Rise, Moisture-Wicking, 6-Pack | categories: Clothing, Shoes &amp; Jewelry | Men | Clothing | Underwear | Briefs | features: Solids: 100% Cotton; heathers: 75% cotton, 25% polyester | Imported | Pull On closure | QUALITY FABRIC – Made from a soft, stretchy, preshrunk 100% cotton (heathers are a blend of 75% cotton/25% polyester) that holds its shape, wash after wash. | VALUE YOU EXPECT – Each men's underwear value pack includes 6 pairs of classic briefs. | LIGHTWEIGHT &amp; MOISTURE-WICKING – Cool Comfort technology helps wick away moisture to keep you cool and dry all day long. | COMFORT YOU DESERVE – Comfort Flex logo waistband keeps your men's briefs from pinching and binding with a convenient fully functional fly. | SIZE OPTIONS – From men's underwear sizes Small-3XL, our multiple underwear size options make shopping simple. | NO TAG, NO ITCH – Because who needs scratchy tags? | details: Product Dimensions: 13 x 8 x 1 inches | Item model number: 782CB6 | Department: Mens | Date First Available: April 16, 2019 | Manufacturer: Hanes | description: Hanes® classic men's briefs are made from high-quality stretch cotton-stretch blend that's preshrunk and moisture-wicking to help keep you cool all day. Our experts designed these mid-rise briefs with a softly covered Comfort Flex® waistband that prevents pinching and binding. A fully functional fly provides easy access for everyday convenience. More comfort comes from no-ride-up leg openings. These men's underwear sets are available in multiple size and color options so you can choose the one that works best for you, plus the convenience of a 6-pack.</x:v>
      </x:c>
      <x:c r="D18" s="17" t="str">
        <x:f>"title: "&amp;'Target Products'!C18&amp;" | leaf_category: "&amp;'Target Products'!E18&amp;" | store: "&amp;'Target Products'!L18&amp;" | details: "&amp;'Target Products'!G18</x:f>
        <x:v>title: Hanes Men's Underwear Briefs Pack, Mid-Rise, Moisture-Wicking, 6-Pack | leaf_category: Briefs | store: Hanes | details: Product Dimensions: 13 x 8 x 1 inches | Item model number: 782CB6 | Department: Mens | Date First Available: April 16, 2019 | Manufacturer: Hanes</x:v>
      </x:c>
      <x:c r="E18" s="17" t="str">
        <x:f>"scenario: "&amp;'Sessions'!B18&amp;" | current_message: "&amp;'Sessions'!M18&amp;" | profile_soft_tags: "&amp;'Sessions'!I18</x:f>
        <x:v>scenario: browsing | current_message: I'm looking for Underwear Briefs, but I'm still exploring. | profile_soft_tags: warmth | comfort | style | fit</x:v>
      </x:c>
      <x:c r="F18" s="17" t="str">
        <x:f>'Intent Cards'!D18&amp;IF('Intent Cards'!F18&lt;&gt;""," | "&amp;'Intent Cards'!F18,"")</x:f>
        <x:v>cotton | Solids: 100% Cotton; heathers: 75% cotton, 25% polyester</x:v>
      </x:c>
      <x:c r="G18" s="17" t="str">
        <x:f>'Sessions'!I18</x:f>
        <x:v>warmth | comfort | style | fit</x:v>
      </x:c>
      <x:c r="H18" s="77" t="n">
        <x:f>LEN(C18)</x:f>
        <x:v>1661</x:v>
      </x:c>
      <x:c r="I18" s="77" t="n">
        <x:f>IF(H18&gt;2400,3,IF(H18&gt;1200,2,1))</x:f>
        <x:v>2</x:v>
      </x:c>
      <x:c r="J18" s="17" t="str">
        <x:f>IF('Sessions'!B18="intent_override","Drop superseded values before query embedding",IF('Sessions'!B18="boundary","Do not invent a value for no-preference attributes","Keep profile tags soft; current message wins"))</x:f>
        <x:v>Keep profile tags soft; current message wins</x:v>
      </x:c>
    </x:row>
    <x:row r="19" ht="72" customHeight="1">
      <x:c r="A19" t="str">
        <x:f>'Sessions'!A19</x:f>
        <x:v>public_0015</x:v>
      </x:c>
      <x:c r="B19" t="str">
        <x:f>'Target Products'!B19</x:f>
        <x:v>B08513YB2T</x:v>
      </x:c>
      <x:c r="C19" s="17" t="str">
        <x:f>"title: "&amp;'Target Products'!C19&amp;" | categories: "&amp;'Target Products'!D19&amp;" | features: "&amp;'Target Products'!F19&amp;" | details: "&amp;'Target Products'!G19&amp;" | description: "&amp;'Target Products'!H19</x:f>
        <x:v>title: Crocs Unisex-Adult Classic Clog | categories: Clothing, Shoes &amp; Jewelry | Men | Shoes | Mules &amp; Clogs | features: Made in the USA or Imported | Ethylene Vinyl Acetate sole | Shaft measures approximately 8#inches from arch | Heel measures approximately 0.77" | CROCS FOR EVERYONE: With a color and style for every personality, the Classic Clogs are the Crocs women and men need to start a comfort revolution around the world | LIGHTWEIGHT AND FUN: The Crocs for men and women feature lightweight Iconic Crocs Comfort. Ventilation ports add breathability and help shed water and debris quickly | WHAT SIZE SHOULD I BUY?: These men's and women's Crocs offer a roomy fit and we recommend ordering a size down to the next largest whole size | DESIGNED TO FIT: These slip-on clogs are easy to take on and off, while being extremely durable. These Crocs even offer pivoting heel straps for a more secure fit | CROCS FOR WOMEN AND MEN: The Crocs Classic Clogs are not only the most comfortable shoes for women and men but also easy to clean just using soap and water and allowing for a quick dry | details: Is Discontinued By Manufacturer: No | Product Dimensions: 8 x 4 x 7 inches; 9.6 Ounces | Item model number: 10001 | Department: unisex-adult | Date First Available: September 20, 2007 | Manufacturer: Crocs | description: It’s the iconic clog that started a comfort revolution around the worldThe irreverent go-to comfort shoe that you're sure to fall deeper in love with day after day. Crocs Classic Clogs offer lightweight Iconic Crocs Comfort. All Crocs™ shoes are uniquely designed and manufactured using our proprietary closed-cell resin, Croslite™, a technology that gives each pair of shoes the soft, comfortable, lightweight and non-marking qualities that Crocs™ wearers know and love. Heat: do not expose your Crocs™ shoes to extreme heat or intense sunlight for an extended period of time. Due to the unique nature of the Crocs™ PCCR material, high temperatures may cause them to warp. Crocs shoes should solely be hand washed. If the model features a lining, it is recommended to put the lining in a mesh fabric or use a delicate cycle (of up to 30 °) if you machine wash. Cleaning your Crocs using the washing machine is at your own risk | Looking for the ultimate warm-weather shoe? Crocs' Classic clog has a ventilated upper and a traction outsole to make it a top wet-dry performer--perfect for the beach--but we can think of a zillion other places you'll want to wear it.</x:v>
      </x:c>
      <x:c r="D19" s="17" t="str">
        <x:f>"title: "&amp;'Target Products'!C19&amp;" | leaf_category: "&amp;'Target Products'!E19&amp;" | store: "&amp;'Target Products'!L19&amp;" | details: "&amp;'Target Products'!G19</x:f>
        <x:v>title: Crocs Unisex-Adult Classic Clog | leaf_category: Mules &amp; Clogs | store: Crocs | details: Is Discontinued By Manufacturer: No | Product Dimensions: 8 x 4 x 7 inches; 9.6 Ounces | Item model number: 10001 | Department: unisex-adult | Date First Available: September 20, 2007 | Manufacturer: Crocs</x:v>
      </x:c>
      <x:c r="E19" s="17" t="str">
        <x:f>"scenario: "&amp;'Sessions'!B19&amp;" | current_message: "&amp;'Sessions'!M19&amp;" | profile_soft_tags: "&amp;'Sessions'!I19</x:f>
        <x:v>scenario: browsing | current_message: I'm looking for Shoes Mules &amp; Clogs, but I'm still exploring. | profile_soft_tags: material</x:v>
      </x:c>
      <x:c r="F19" s="17" t="str">
        <x:f>'Intent Cards'!D19&amp;IF('Intent Cards'!F19&lt;&gt;""," | "&amp;'Intent Cards'!F19,"")</x:f>
        <x:v>fabric | Made in the USA or Imported</x:v>
      </x:c>
      <x:c r="G19" s="17" t="str">
        <x:f>'Sessions'!I19</x:f>
        <x:v>material</x:v>
      </x:c>
      <x:c r="H19" s="77" t="n">
        <x:f>LEN(C19)</x:f>
        <x:v>2492</x:v>
      </x:c>
      <x:c r="I19" s="77" t="n">
        <x:f>IF(H19&gt;2400,3,IF(H19&gt;1200,2,1))</x:f>
        <x:v>3</x:v>
      </x:c>
      <x:c r="J19" s="17" t="str">
        <x:f>IF('Sessions'!B19="intent_override","Drop superseded values before query embedding",IF('Sessions'!B19="boundary","Do not invent a value for no-preference attributes","Keep profile tags soft; current message wins"))</x:f>
        <x:v>Keep profile tags soft; current message wins</x:v>
      </x:c>
    </x:row>
    <x:row r="20" ht="72" customHeight="1">
      <x:c r="A20" t="str">
        <x:f>'Sessions'!A20</x:f>
        <x:v>public_0016</x:v>
      </x:c>
      <x:c r="B20" t="str">
        <x:f>'Target Products'!B20</x:f>
        <x:v>B07PH3X7QK</x:v>
      </x:c>
      <x:c r="C20" s="17" t="str">
        <x:f>"title: "&amp;'Target Products'!C20&amp;" | categories: "&amp;'Target Products'!D20&amp;" | features: "&amp;'Target Products'!F20&amp;" | details: "&amp;'Target Products'!G20&amp;" | description: "&amp;'Target Products'!H20</x:f>
        <x:v>title: Amazon Essentials Women's Lace-Up Combat Boot | categories: Clothing, Shoes &amp; Jewelry | Women | Shoes | Boots | Mid-Calf | features: Imported | Rubber sole | Shaft measures approximately ankle-high from arch | Get ready to conquer the world in the Amazon Essentials Women's Lace Up Combat Boot! A variety of colors to dress up or down for all occasions! Pair with jeans, leggings, dresses &amp; more for every day wear. | Modern classic combat boot with inside zipper for easy access | Matte finish faux leather upper with breathable jersey lining and waxed laces | 5mm latex and memory foam padding for superior insole comfort. | High quality TPR outsole for exceptional flexibility and traction. 1 1/8” heel height. | details: Package Dimensions: 1 x 1 x 1 inches; 8 Ounces | Item model number: Collins | Department: womens | Date First Available: October 4, 2019 | Manufacturer: Amazon Essentials | description: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x:v>
      </x:c>
      <x:c r="D20" s="17" t="str">
        <x:f>"title: "&amp;'Target Products'!C20&amp;" | leaf_category: "&amp;'Target Products'!E20&amp;" | store: "&amp;'Target Products'!L20&amp;" | details: "&amp;'Target Products'!G20</x:f>
        <x:v>title: Amazon Essentials Women's Lace-Up Combat Boot | leaf_category: Mid-Calf | store: Amazon Essentials | details: Package Dimensions: 1 x 1 x 1 inches; 8 Ounces | Item model number: Collins | Department: womens | Date First Available: October 4, 2019 | Manufacturer: Amazon Essentials</x:v>
      </x:c>
      <x:c r="E20" s="17" t="str">
        <x:f>"scenario: "&amp;'Sessions'!B20&amp;" | current_message: "&amp;'Sessions'!M20&amp;" | profile_soft_tags: "&amp;'Sessions'!I20</x:f>
        <x:v>scenario: browsing | current_message: I'm looking for Boots Mid-Calf, but I'm still exploring. | profile_soft_tags: comfort | fit | durability | style</x:v>
      </x:c>
      <x:c r="F20" s="17" t="str">
        <x:f>'Intent Cards'!D20&amp;IF('Intent Cards'!F20&lt;&gt;""," | "&amp;'Intent Cards'!F20,"")</x:f>
        <x:v>leather | Imported</x:v>
      </x:c>
      <x:c r="G20" s="17" t="str">
        <x:f>'Sessions'!I20</x:f>
        <x:v>comfort | fit | durability | style</x:v>
      </x:c>
      <x:c r="H20" s="77" t="n">
        <x:f>LEN(C20)</x:f>
        <x:v>1307</x:v>
      </x:c>
      <x:c r="I20" s="77" t="n">
        <x:f>IF(H20&gt;2400,3,IF(H20&gt;1200,2,1))</x:f>
        <x:v>2</x:v>
      </x:c>
      <x:c r="J20" s="17" t="str">
        <x:f>IF('Sessions'!B20="intent_override","Drop superseded values before query embedding",IF('Sessions'!B20="boundary","Do not invent a value for no-preference attributes","Keep profile tags soft; current message wins"))</x:f>
        <x:v>Keep profile tags soft; current message wins</x:v>
      </x:c>
    </x:row>
    <x:row r="21" ht="72" customHeight="1">
      <x:c r="A21" t="str">
        <x:f>'Sessions'!A21</x:f>
        <x:v>public_0017</x:v>
      </x:c>
      <x:c r="B21" t="str">
        <x:f>'Target Products'!B21</x:f>
        <x:v>B089RXP8K2</x:v>
      </x:c>
      <x:c r="C21" s="17" t="str">
        <x:f>"title: "&amp;'Target Products'!C21&amp;" | categories: "&amp;'Target Products'!D21&amp;" | features: "&amp;'Target Products'!F21&amp;" | details: "&amp;'Target Products'!G21&amp;" | description: "&amp;'Target Products'!H21</x:f>
        <x:v>title: Travelambo Womens Wallet RFID Blocking Bifold Multi Card Case Wallet with Zipper Pocket | categories: Clothing, Shoes &amp; Jewelry | Women | Accessories | Wallets, Card Cases &amp; Money Organizers | Wallets | features: Leather | Leather lining | Snap closure | Dry Cloth Clean | THE INEXPENSIVE WALLET: High quality genuine leather + dust-proof cover + simple polybag packing + superb craftmanship = an inexpensive and high quality womens wallet | ELEGANT DESIGN: Our checkered womens bifold wallet features 16 card slots and 2 zippered pockets for cash, coins. This functional wallet with a snap to buckle up is perfect to organizer all your personal essentials. Useful every-day carry for you to put all your cards, IDs, receipts, tickets and other small items securely | OPTIMUM SIZE: Dimensions: 7.3"L x 3.8"H x 0.75"D. Manual measurement size, there may be a slight inaccuracy | RFID BLOCKING: It keeps your identity and credit card information away from scanning and theft | HAND MADE: this wallet is hand made by a team of 15 experienced craftsmen, who do all the procedures from material cutting, part gluing, sewing and packing with hands one by one | details: Brand: Travelambo | Color: Red Wine | Material: Leather | Style: Minimalist | Pattern: Pure color | Department: Womens | Date First Available: September 5, 2019 | description: </x:v>
      </x:c>
      <x:c r="D21" s="17" t="str">
        <x:f>"title: "&amp;'Target Products'!C21&amp;" | leaf_category: "&amp;'Target Products'!E21&amp;" | store: "&amp;'Target Products'!L21&amp;" | details: "&amp;'Target Products'!G21</x:f>
        <x:v>title: Travelambo Womens Wallet RFID Blocking Bifold Multi Card Case Wallet with Zipper Pocket | leaf_category: Wallets | store: Travelambo | details: Brand: Travelambo | Color: Red Wine | Material: Leather | Style: Minimalist | Pattern: Pure color | Department: Womens | Date First Available: September 5, 2019</x:v>
      </x:c>
      <x:c r="E21" s="17" t="str">
        <x:f>"scenario: "&amp;'Sessions'!B21&amp;" | current_message: "&amp;'Sessions'!M21&amp;" | profile_soft_tags: "&amp;'Sessions'!I21</x:f>
        <x:v>scenario: buying | current_message: I'm looking for Card Cases &amp; Money Organizers Wallets. A key requirement is: leather. | profile_soft_tags: fit | comfort | material</x:v>
      </x:c>
      <x:c r="F21" s="17" t="str">
        <x:f>'Intent Cards'!D21&amp;IF('Intent Cards'!F21&lt;&gt;""," | "&amp;'Intent Cards'!F21,"")</x:f>
        <x:v>leather | color: red</x:v>
      </x:c>
      <x:c r="G21" s="17" t="str">
        <x:f>'Sessions'!I21</x:f>
        <x:v>fit | comfort | material</x:v>
      </x:c>
      <x:c r="H21" s="77" t="n">
        <x:f>LEN(C21)</x:f>
        <x:v>1347</x:v>
      </x:c>
      <x:c r="I21" s="77" t="n">
        <x:f>IF(H21&gt;2400,3,IF(H21&gt;1200,2,1))</x:f>
        <x:v>2</x:v>
      </x:c>
      <x:c r="J21" s="17" t="str">
        <x:f>IF('Sessions'!B21="intent_override","Drop superseded values before query embedding",IF('Sessions'!B21="boundary","Do not invent a value for no-preference attributes","Keep profile tags soft; current message wins"))</x:f>
        <x:v>Keep profile tags soft; current message wins</x:v>
      </x:c>
    </x:row>
    <x:row r="22" ht="72" customHeight="1">
      <x:c r="A22" t="str">
        <x:f>'Sessions'!A22</x:f>
        <x:v>public_0018</x:v>
      </x:c>
      <x:c r="B22" t="str">
        <x:f>'Target Products'!B22</x:f>
        <x:v>B07H3T5YGH</x:v>
      </x:c>
      <x:c r="C22" s="17" t="str">
        <x:f>"title: "&amp;'Target Products'!C22&amp;" | categories: "&amp;'Target Products'!D22&amp;" | features: "&amp;'Target Products'!F22&amp;" | details: "&amp;'Target Products'!G22&amp;" | description: "&amp;'Target Products'!H22</x:f>
        <x:v>title: O2TEE Men's Workout Gym Tank Tops Men - Custom Tank Top - Customized &amp; Personalized Tanktops Text | categories: Clothing, Shoes &amp; Jewelry | Novelty &amp; More | Clothing | Novelty | Men | Shirts | Tanks Tops | features: Modal,Polyester,Cotton | Pull On closure | Material: 95%Cotton &amp; 5%Polyester - Made of Superior Quality Modal Fiber, Ultra Light-Weight, Soft &amp; Smooth, Feels Really Comfortable, Which Keep You Cool &amp; Dry All Day Long. | STRINGER DESIGN &amp; DEEP CUTTING - Easily Fit for A Wide Range of Motion, Perfect for Gym, Physical Fitness, Weight-Training, Workout, Bodybuilding, Running, etc. The Deep Cutting Allows Your Arms to Move More Easily. | I-Back Design. Sometimes referred to a T-Back Y-Back or Racerback. Common style tank top for bodybuilders, gym fanatics, and men with muscular athletic physiques | Men's Bodybuilding Fitness Stringer Tank Top Sport Gym Sleeveless Vest | If You Want to Be A Little Loose, Please Choose A Size Up! You Can Check The Size Photo For A Reference. | details: Is Discontinued By Manufacturer: No | Department: Mens | Date First Available: September 5, 2018 | description: Thank you for choosing O2TEE Men's Muscle Gym Tank Tops Bodybuilding Fitness T-Shirts.  We guarantee | best quality | on our products! Best Quality | Best Quality Vinyl Printing | _ | Wash inside out in cold water, Natural-air drying | is recommended. Due to different computer monitors/calibrations, colors may vary slightly from photos Our Products Are Expected To Arrive At Your Destination Within 7-14 Days. Please Wait Patiently.</x:v>
      </x:c>
      <x:c r="D22" s="17" t="str">
        <x:f>"title: "&amp;'Target Products'!C22&amp;" | leaf_category: "&amp;'Target Products'!E22&amp;" | store: "&amp;'Target Products'!L22&amp;" | details: "&amp;'Target Products'!G22</x:f>
        <x:v>title: O2TEE Men's Workout Gym Tank Tops Men - Custom Tank Top - Customized &amp; Personalized Tanktops Text | leaf_category: Tanks Tops | store: O2TEE | details: Is Discontinued By Manufacturer: No | Department: Mens | Date First Available: September 5, 2018</x:v>
      </x:c>
      <x:c r="E22" s="17" t="str">
        <x:f>"scenario: "&amp;'Sessions'!B22&amp;" | current_message: "&amp;'Sessions'!M22&amp;" | profile_soft_tags: "&amp;'Sessions'!I22</x:f>
        <x:v>scenario: buying | current_message: I'm looking for Shirts Tanks Tops. A key requirement is: polyester. | profile_soft_tags: material | fit</x:v>
      </x:c>
      <x:c r="F22" s="17" t="str">
        <x:f>'Intent Cards'!D22&amp;IF('Intent Cards'!F22&lt;&gt;""," | "&amp;'Intent Cards'!F22,"")</x:f>
        <x:v>polyester | Modal,Polyester,Cotton</x:v>
      </x:c>
      <x:c r="G22" s="17" t="str">
        <x:f>'Sessions'!I22</x:f>
        <x:v>material | fit</x:v>
      </x:c>
      <x:c r="H22" s="77" t="n">
        <x:f>LEN(C22)</x:f>
        <x:v>1560</x:v>
      </x:c>
      <x:c r="I22" s="77" t="n">
        <x:f>IF(H22&gt;2400,3,IF(H22&gt;1200,2,1))</x:f>
        <x:v>2</x:v>
      </x:c>
      <x:c r="J22" s="17" t="str">
        <x:f>IF('Sessions'!B22="intent_override","Drop superseded values before query embedding",IF('Sessions'!B22="boundary","Do not invent a value for no-preference attributes","Keep profile tags soft; current message wins"))</x:f>
        <x:v>Keep profile tags soft; current message wins</x:v>
      </x:c>
    </x:row>
    <x:row r="23" ht="72" customHeight="1">
      <x:c r="A23" t="str">
        <x:f>'Sessions'!A23</x:f>
        <x:v>public_0019</x:v>
      </x:c>
      <x:c r="B23" t="str">
        <x:f>'Target Products'!B23</x:f>
        <x:v>B076VQQ962</x:v>
      </x:c>
      <x:c r="C23" s="17" t="str">
        <x:f>"title: "&amp;'Target Products'!C23&amp;" | categories: "&amp;'Target Products'!D23&amp;" | features: "&amp;'Target Products'!F23&amp;" | details: "&amp;'Target Products'!G23&amp;" | description: "&amp;'Target Products'!H23</x:f>
        <x:v>title: Asgard Women's Ankle Rain Boots Waterproof Chelsea Boots | categories: Clothing, Shoes &amp; Jewelry | Boot Shop | Women | Outdoor &amp; Work | Rain | features: Rubber sole | Shaft measures approximately 5.5" from arch | Platform measures approximately 0.5" | Boot opening measures approximately 6.5" around | Heel measures approximately 1", Shaft measures approximately 5.4" from arch | Classic chelsea boots, easy slip on design | Casual and lightweight, keep you trendy in rainy days | Removable insole and textile lining, make it comfortable and won't feel rubbery inside | Please note: Shoes may have a slight rubber odor. If you do mind it, please think carefully before purchase | details: Is Discontinued By Manufacturer: No | Department: womens | Date First Available: October 26, 2017 | description: </x:v>
      </x:c>
      <x:c r="D23" s="17" t="str">
        <x:f>"title: "&amp;'Target Products'!C23&amp;" | leaf_category: "&amp;'Target Products'!E23&amp;" | store: "&amp;'Target Products'!L23&amp;" | details: "&amp;'Target Products'!G23</x:f>
        <x:v>title: Asgard Women's Ankle Rain Boots Waterproof Chelsea Boots | leaf_category: Rain | store: Asgard | details: Is Discontinued By Manufacturer: No | Department: womens | Date First Available: October 26, 2017</x:v>
      </x:c>
      <x:c r="E23" s="17" t="str">
        <x:f>"scenario: "&amp;'Sessions'!B23&amp;" | current_message: "&amp;'Sessions'!M23&amp;" | profile_soft_tags: "&amp;'Sessions'!I23</x:f>
        <x:v>scenario: browsing | current_message: I'm looking for Outdoor &amp; Work Rain, but I'm still exploring. | profile_soft_tags: weather | comfort | durability | style</x:v>
      </x:c>
      <x:c r="F23" s="17" t="str">
        <x:f>'Intent Cards'!D23&amp;IF('Intent Cards'!F23&lt;&gt;""," | "&amp;'Intent Cards'!F23,"")</x:f>
        <x:v>Rubber sole | Shaft measures approximately 5.5" from arch</x:v>
      </x:c>
      <x:c r="G23" s="17" t="str">
        <x:f>'Sessions'!I23</x:f>
        <x:v>weather | comfort | durability | style</x:v>
      </x:c>
      <x:c r="H23" s="77" t="n">
        <x:f>LEN(C23)</x:f>
        <x:v>809</x:v>
      </x:c>
      <x:c r="I23" s="77" t="n">
        <x:f>IF(H23&gt;2400,3,IF(H23&gt;1200,2,1))</x:f>
        <x:v>1</x:v>
      </x:c>
      <x:c r="J23" s="17" t="str">
        <x:f>IF('Sessions'!B23="intent_override","Drop superseded values before query embedding",IF('Sessions'!B23="boundary","Do not invent a value for no-preference attributes","Keep profile tags soft; current message wins"))</x:f>
        <x:v>Keep profile tags soft; current message wins</x:v>
      </x:c>
    </x:row>
    <x:row r="24" ht="72" customHeight="1">
      <x:c r="A24" t="str">
        <x:f>'Sessions'!A24</x:f>
        <x:v>public_0020</x:v>
      </x:c>
      <x:c r="B24" t="str">
        <x:f>'Target Products'!B24</x:f>
        <x:v>B08P4SSFX4</x:v>
      </x:c>
      <x:c r="C24" s="17" t="str">
        <x:f>"title: "&amp;'Target Products'!C24&amp;" | categories: "&amp;'Target Products'!D24&amp;" | features: "&amp;'Target Products'!F24&amp;" | details: "&amp;'Target Products'!G24&amp;" | description: "&amp;'Target Products'!H24</x:f>
        <x:v>title: Funny Saying Novelty Gift ideas - My Favorite People Call Me Grandma Long Sleeve T-Shirt | categories: Clothing, Shoes &amp; Jewelry | Novelty &amp; More | Clothing | Novelty | Women | features: Solid colors: 100% Cotton; Heather Grey: 90% Cotton, 10% Polyester; All Other Heathers: 50% Cotton, 50% Polyester | Imported | Pull On closure | Machine Wash | Funny saying design idea with text, look for our brand: "nellia" to find more gifts ideas for you, your family or friends. | My Favorite People Call Me Grandma, Funny saying gifts for mom, dad, mama and grandma. Mothers day gift idea, cute design with text for wife, daughter, brother or girlfriend. | Lightweight, Classic fit, Double-needle sleeve and bottom hem | details: Package Dimensions: 10 x 10 x 2 inches; 8 Ounces | Department: unisex-adult | Date First Available: November 24, 2020 | Manufacturer: Funny Saying Novelty Gift ideas | description: Funny saying novelty lovely designs, look for our brand: "nellia" to find more gifts ideas for you, your family or friends.</x:v>
      </x:c>
      <x:c r="D24" s="17" t="str">
        <x:f>"title: "&amp;'Target Products'!C24&amp;" | leaf_category: "&amp;'Target Products'!E24&amp;" | store: "&amp;'Target Products'!L24&amp;" | details: "&amp;'Target Products'!G24</x:f>
        <x:v>title: Funny Saying Novelty Gift ideas - My Favorite People Call Me Grandma Long Sleeve T-Shirt | leaf_category: Women | store: Funny Saying Novelty Gift ideas | details: Package Dimensions: 10 x 10 x 2 inches; 8 Ounces | Department: unisex-adult | Date First Available: November 24, 2020 | Manufacturer: Funny Saying Novelty Gift ideas</x:v>
      </x:c>
      <x:c r="E24" s="17" t="str">
        <x:f>"scenario: "&amp;'Sessions'!B24&amp;" | current_message: "&amp;'Sessions'!M24&amp;" | profile_soft_tags: "&amp;'Sessions'!I24</x:f>
        <x:v>scenario: buying | current_message: I'm looking for Novelty Women. A key requirement is: cotton. | profile_soft_tags: material | fit</x:v>
      </x:c>
      <x:c r="F24" s="17" t="str">
        <x:f>'Intent Cards'!D24&amp;IF('Intent Cards'!F24&lt;&gt;""," | "&amp;'Intent Cards'!F24,"")</x:f>
        <x:v>cotton | color: grey</x:v>
      </x:c>
      <x:c r="G24" s="17" t="str">
        <x:f>'Sessions'!I24</x:f>
        <x:v>material | fit</x:v>
      </x:c>
      <x:c r="H24" s="77" t="n">
        <x:f>LEN(C24)</x:f>
        <x:v>1033</x:v>
      </x:c>
      <x:c r="I24" s="77" t="n">
        <x:f>IF(H24&gt;2400,3,IF(H24&gt;1200,2,1))</x:f>
        <x:v>1</x:v>
      </x:c>
      <x:c r="J24" s="17" t="str">
        <x:f>IF('Sessions'!B24="intent_override","Drop superseded values before query embedding",IF('Sessions'!B24="boundary","Do not invent a value for no-preference attributes","Keep profile tags soft; current message wins"))</x:f>
        <x:v>Keep profile tags soft; current message wins</x:v>
      </x:c>
    </x:row>
    <x:row r="25" ht="72" customHeight="1">
      <x:c r="A25" t="str">
        <x:f>'Sessions'!A25</x:f>
        <x:v>public_0021</x:v>
      </x:c>
      <x:c r="B25" t="str">
        <x:f>'Target Products'!B25</x:f>
        <x:v>B07K4FX4WZ</x:v>
      </x:c>
      <x:c r="C25" s="17" t="str">
        <x:f>"title: "&amp;'Target Products'!C25&amp;" | categories: "&amp;'Target Products'!D25&amp;" | features: "&amp;'Target Products'!F25&amp;" | details: "&amp;'Target Products'!G25&amp;" | description: "&amp;'Target Products'!H25</x:f>
        <x:v>title: Amazon Essentials Men's Slim-Fit Stretch Golf Pant | categories: Clothing, Shoes &amp; Jewelry | Sport Specific Clothing | Golf | Men | Pants | features: 98% Polyester, 2% Spandex | Imported | Zipper closure | Machine Wash | Fitted through hip and thigh, with tapered leg. Sits below the waist | Smooth, wrinkle-free blend with moisture wicking and a gentle stretch | Set-in pockets at rear | Sits below the waist | An Amazon brand | details: Package Dimensions: 1 x 1 x 1 inches; 8 Ounces | Item model number: MAE65007FL18 | Department: Mens | Date First Available: March 19, 2019 | Manufacturer: Amazon Essentials | description: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x:v>
      </x:c>
      <x:c r="D25" s="17" t="str">
        <x:f>"title: "&amp;'Target Products'!C25&amp;" | leaf_category: "&amp;'Target Products'!E25&amp;" | store: "&amp;'Target Products'!L25&amp;" | details: "&amp;'Target Products'!G25</x:f>
        <x:v>title: Amazon Essentials Men's Slim-Fit Stretch Golf Pant | leaf_category: Pants | store: Amazon Essentials | details: Package Dimensions: 1 x 1 x 1 inches; 8 Ounces | Item model number: MAE65007FL18 | Department: Mens | Date First Available: March 19, 2019 | Manufacturer: Amazon Essentials</x:v>
      </x:c>
      <x:c r="E25" s="17" t="str">
        <x:f>"scenario: "&amp;'Sessions'!B25&amp;" | current_message: "&amp;'Sessions'!M25&amp;" | profile_soft_tags: "&amp;'Sessions'!I25</x:f>
        <x:v>scenario: browsing | current_message: I'm looking for Men Pants, but I'm still exploring. | profile_soft_tags: material | fit</x:v>
      </x:c>
      <x:c r="F25" s="17" t="str">
        <x:f>'Intent Cards'!D25&amp;IF('Intent Cards'!F25&lt;&gt;""," | "&amp;'Intent Cards'!F25,"")</x:f>
        <x:v>polyester | 98% Polyester, 2% Spandex</x:v>
      </x:c>
      <x:c r="G25" s="17" t="str">
        <x:f>'Sessions'!I25</x:f>
        <x:v>material | fit</x:v>
      </x:c>
      <x:c r="H25" s="77" t="n">
        <x:f>LEN(C25)</x:f>
        <x:v>1028</x:v>
      </x:c>
      <x:c r="I25" s="77" t="n">
        <x:f>IF(H25&gt;2400,3,IF(H25&gt;1200,2,1))</x:f>
        <x:v>1</x:v>
      </x:c>
      <x:c r="J25" s="17" t="str">
        <x:f>IF('Sessions'!B25="intent_override","Drop superseded values before query embedding",IF('Sessions'!B25="boundary","Do not invent a value for no-preference attributes","Keep profile tags soft; current message wins"))</x:f>
        <x:v>Keep profile tags soft; current message wins</x:v>
      </x:c>
    </x:row>
    <x:row r="26" ht="72" customHeight="1">
      <x:c r="A26" t="str">
        <x:f>'Sessions'!A26</x:f>
        <x:v>public_0022</x:v>
      </x:c>
      <x:c r="B26" t="str">
        <x:f>'Target Products'!B26</x:f>
        <x:v>B08F5G843H</x:v>
      </x:c>
      <x:c r="C26" s="17" t="str">
        <x:f>"title: "&amp;'Target Products'!C26&amp;" | categories: "&amp;'Target Products'!D26&amp;" | features: "&amp;'Target Products'!F26&amp;" | details: "&amp;'Target Products'!G26&amp;" | description: "&amp;'Target Products'!H26</x:f>
        <x:v>title: YESNO Summer Dresses for Women Casual Loose Bohemian Floral Dress with Pockets Spaghetti Strap Maxi Dress E75 | categories: Clothing, Shoes &amp; Jewelry | Women | Clothing | Dresses | Casual | features: Fabric: 100% Cotton, Soft, Comfy, Breathable and keep you cool; | Imported | Pull On closure | Hand Wash Only | These Bohemian Dresses for women are made of 100% Cotton. Soft, Comfortable and Airy for Hot Summer and Humid Days; Lightweight but not See through; They are printed brightly with flowers, funny and fantastic | The Casual Loose Dresses are flattering for any figure: Casual, Sexy but Elegant. The Empire Waist design can hide your belly. The Spaghetti Straps are adjustable up or down for perfect fitting. They are long enough to touch or cover your ankles. The go-to dress for your relaxed time | The Plus Size Dresses for women range from XS to 3XL. They are tiered for large skirt (105 inches around the bottom for Large Size), long enough to touch or cover your ankle; Perfect for any season- with knit sweaters (bolero jackets, blazers) over or fitted T-shirts or tank tops underneath | Occasion: Casual, Daily Wear, Work, Party, Cocktail, Beach, Vocation; Perfect Match with: Flats or Slippers for Casual Look. High-heeled Shoes for Sexy and Elegant Feeling. Boots if the dress only touch your calf. Lace Bands around waist for Fashionable Style | Hand Wash Cold; Soft Machine Washing; Line Dry; Do not Soak; Classification of Washing; Iron at Low Temperature if Necessary | details: Is Discontinued By Manufacturer: No | Product Dimensions: 14 x 11 x 0.74 inches; 3.84 Ounces | Department: womens | Date First Available: October 13, 2016 | description: </x:v>
      </x:c>
      <x:c r="D26" s="17" t="str">
        <x:f>"title: "&amp;'Target Products'!C26&amp;" | leaf_category: "&amp;'Target Products'!E26&amp;" | store: "&amp;'Target Products'!L26&amp;" | details: "&amp;'Target Products'!G26</x:f>
        <x:v>title: YESNO Summer Dresses for Women Casual Loose Bohemian Floral Dress with Pockets Spaghetti Strap Maxi Dress E75 | leaf_category: Casual | store: YESNO | details: Is Discontinued By Manufacturer: No | Product Dimensions: 14 x 11 x 0.74 inches; 3.84 Ounces | Department: womens | Date First Available: October 13, 2016</x:v>
      </x:c>
      <x:c r="E26" s="17" t="str">
        <x:f>"scenario: "&amp;'Sessions'!B26&amp;" | current_message: "&amp;'Sessions'!M26&amp;" | profile_soft_tags: "&amp;'Sessions'!I26</x:f>
        <x:v>scenario: buying | current_message: I'm looking for Dresses Casual. A key requirement is: fabric. | profile_soft_tags: comfort | fit | style | material</x:v>
      </x:c>
      <x:c r="F26" s="17" t="str">
        <x:f>'Intent Cards'!D26&amp;IF('Intent Cards'!F26&lt;&gt;""," | "&amp;'Intent Cards'!F26,"")</x:f>
        <x:v>fabric | Fabric: 100% Cotton, Soft, Comfy, Breathable and keep you cool</x:v>
      </x:c>
      <x:c r="G26" s="17" t="str">
        <x:f>'Sessions'!I26</x:f>
        <x:v>comfort | fit | style | material</x:v>
      </x:c>
      <x:c r="H26" s="77" t="n">
        <x:f>LEN(C26)</x:f>
        <x:v>1679</x:v>
      </x:c>
      <x:c r="I26" s="77" t="n">
        <x:f>IF(H26&gt;2400,3,IF(H26&gt;1200,2,1))</x:f>
        <x:v>2</x:v>
      </x:c>
      <x:c r="J26" s="17" t="str">
        <x:f>IF('Sessions'!B26="intent_override","Drop superseded values before query embedding",IF('Sessions'!B26="boundary","Do not invent a value for no-preference attributes","Keep profile tags soft; current message wins"))</x:f>
        <x:v>Keep profile tags soft; current message wins</x:v>
      </x:c>
    </x:row>
    <x:row r="27" ht="72" customHeight="1">
      <x:c r="A27" t="str">
        <x:f>'Sessions'!A27</x:f>
        <x:v>public_0023</x:v>
      </x:c>
      <x:c r="B27" t="str">
        <x:f>'Target Products'!B27</x:f>
        <x:v>B08ZKFD4GM</x:v>
      </x:c>
      <x:c r="C27" s="17" t="str">
        <x:f>"title: "&amp;'Target Products'!C27&amp;" | categories: "&amp;'Target Products'!D27&amp;" | features: "&amp;'Target Products'!F27&amp;" | details: "&amp;'Target Products'!G27&amp;" | description: "&amp;'Target Products'!H27</x:f>
        <x:v>title: Hanes Women's Wireless Bra with Cooling, Seamless Smooth Comfort Wirefree T-Shirt Bra | categories: Clothing, Shoes &amp; Jewelry | Women | Clothing | Lingerie, Sleep &amp; Lounge | Lingerie | Bras | Everyday Bras | features: Hand Wash Only | details: Item model number: G796 | Department: Womens | Date First Available: March 19, 2021 | Manufacturer: Hanes | description: Women's comfort evolution bra女款舒適進化胸罩女式舒适进化文胸여성용 컴포트 에볼루션 브라. Women's comfort evolution bra.</x:v>
      </x:c>
      <x:c r="D27" s="17" t="str">
        <x:f>"title: "&amp;'Target Products'!C27&amp;" | leaf_category: "&amp;'Target Products'!E27&amp;" | store: "&amp;'Target Products'!L27&amp;" | details: "&amp;'Target Products'!G27</x:f>
        <x:v>title: Hanes Women's Wireless Bra with Cooling, Seamless Smooth Comfort Wirefree T-Shirt Bra | leaf_category: Everyday Bras | store: Hanes | details: Item model number: G796 | Department: Womens | Date First Available: March 19, 2021 | Manufacturer: Hanes</x:v>
      </x:c>
      <x:c r="E27" s="17" t="str">
        <x:f>"scenario: "&amp;'Sessions'!B27&amp;" | current_message: "&amp;'Sessions'!M27&amp;" | profile_soft_tags: "&amp;'Sessions'!I27</x:f>
        <x:v>scenario: intent_override | current_message: I'm looking for Bras Everyday Bras. Date First Available: March 19, 2021 | profile_soft_tags: comfort | material | fit | style</x:v>
      </x:c>
      <x:c r="F27" s="17" t="str">
        <x:f>'Intent Cards'!D27&amp;IF('Intent Cards'!F27&lt;&gt;""," | "&amp;'Intent Cards'!F27,"")</x:f>
        <x:v>Hand Wash Only | Item model number: G796</x:v>
      </x:c>
      <x:c r="G27" s="17" t="str">
        <x:f>'Sessions'!I27</x:f>
        <x:v>comfort | material | fit | style</x:v>
      </x:c>
      <x:c r="H27" s="77" t="n">
        <x:f>LEN(C27)</x:f>
        <x:v>464</x:v>
      </x:c>
      <x:c r="I27" s="77" t="n">
        <x:f>IF(H27&gt;2400,3,IF(H27&gt;1200,2,1))</x:f>
        <x:v>1</x:v>
      </x:c>
      <x:c r="J27" s="17" t="str">
        <x:f>IF('Sessions'!B27="intent_override","Drop superseded values before query embedding",IF('Sessions'!B27="boundary","Do not invent a value for no-preference attributes","Keep profile tags soft; current message wins"))</x:f>
        <x:v>Drop superseded values before query embedding</x:v>
      </x:c>
    </x:row>
    <x:row r="28" ht="72" customHeight="1">
      <x:c r="A28" t="str">
        <x:f>'Sessions'!A28</x:f>
        <x:v>public_0024</x:v>
      </x:c>
      <x:c r="B28" t="str">
        <x:f>'Target Products'!B28</x:f>
        <x:v>B076X3JXMW</x:v>
      </x:c>
      <x:c r="C28" s="17" t="str">
        <x:f>"title: "&amp;'Target Products'!C28&amp;" | categories: "&amp;'Target Products'!D28&amp;" | features: "&amp;'Target Products'!F28&amp;" | details: "&amp;'Target Products'!G28&amp;" | description: "&amp;'Target Products'!H28</x:f>
        <x:v>title: Riviera Sun Womens Off Shoulder Embroidered Jumpsuit Romper | categories: Clothing, Shoes &amp; Jewelry | Women | Clothing | Jumpsuits, Rompers &amp; Overalls | Jumpsuits | features: 100 rayon | Machine Wash | BOHOSTYLE: Your womens off shoulder jumpsuit has an exaggerated loose fit with beautiful embroidery. It is perfect if you want to keep up with the latest trends without sacrificing comfort. | STAYING COOL: The 100% rayon fabric let body heat escape from the dressy jumpsuits for women, so even when the sun is beating down hard they'll never make you feel the slightest bit uncomfortable. | SOOTHING FABRIC: They're the rompers women will love to wear during summer because of their comforting effect on your skin, but the 100% rayon fabric is also designed for keeping you cool in hot weather. | DAY OR NIGHT: These are definitely jumpsuits for women enough to be worn all throughout summer, whether you're stepping out for lunch during the day or dining in a fancy restaurant at night. | STUNNING DESIGNS: The jumpsuits women will adore due to their different complex patterns, plus they are available in various colors and come in sizes ranging from S-3x. They even have two pockets for your stuff. Click 'Add to Cart' now! | details: Department: Womens | Date First Available: October 27, 2017 | description: IT'S NICE TO FEEL FREE ON THOSE HOT SUMMER DAYS | You'll find nothing more relaxing to wear! | You want to feel sexy when it's warm outside, but we all know what happens when you wear dresses that cling to your skin. The exact opposite is true when you slip into these cold shoulder jumpsuits, and you'll automatically feel a breath fresh air in more ways than one. The exaggerated loose fit will give your body the freedom in craves, while keeping you nice and dry at the same time. If you're free-spirited and adventurous it's the perfect dress for you. | Casual and classy all at the same time! | You'll think nothing of slipping into your jumpsuit when you climb out of the pool and want to walk around the shops. At the same time, it's dressy enough to wear when you want to go out for a drink or bite to eat at night. You won't find a lot of gorgeous clothing that affords you such freedom. You'll also have multiple colors to choose from, so you're guaranteed to find one you'll want in your wardrobe. | Are you in need of an embroidered jumpsuit that: | - Offers you the chance to express yourself with a boho vibe. | - Can be worn no matter what you might be doing at any time of the day. | - Will keep you cool while leaving everything to the imagination. | - Sends you into a lovely state of relaxation when you slip it on. | - Comes in beautiful colors and sizes to please everyone. | There are lots of ways you can feel free during summer, but this romper is a great place to start. Click 'Add to Cart' now!</x:v>
      </x:c>
      <x:c r="D28" s="17" t="str">
        <x:f>"title: "&amp;'Target Products'!C28&amp;" | leaf_category: "&amp;'Target Products'!E28&amp;" | store: "&amp;'Target Products'!L28&amp;" | details: "&amp;'Target Products'!G28</x:f>
        <x:v>title: Riviera Sun Womens Off Shoulder Embroidered Jumpsuit Romper | leaf_category: Jumpsuits | store: Riviera Sun | details: Department: Womens | Date First Available: October 27, 2017</x:v>
      </x:c>
      <x:c r="E28" s="17" t="str">
        <x:f>"scenario: "&amp;'Sessions'!B28&amp;" | current_message: "&amp;'Sessions'!M28&amp;" | profile_soft_tags: "&amp;'Sessions'!I28</x:f>
        <x:v>scenario: buying | current_message: I'm looking for Rompers &amp; Overalls Jumpsuits. A key requirement is: rayon. | profile_soft_tags: material | comfort | performance | style</x:v>
      </x:c>
      <x:c r="F28" s="17" t="str">
        <x:f>'Intent Cards'!D28&amp;IF('Intent Cards'!F28&lt;&gt;""," | "&amp;'Intent Cards'!F28,"")</x:f>
        <x:v>rayon | 100 rayon</x:v>
      </x:c>
      <x:c r="G28" s="17" t="str">
        <x:f>'Sessions'!I28</x:f>
        <x:v>material | comfort | performance | style</x:v>
      </x:c>
      <x:c r="H28" s="77" t="n">
        <x:f>LEN(C28)</x:f>
        <x:v>2842</x:v>
      </x:c>
      <x:c r="I28" s="77" t="n">
        <x:f>IF(H28&gt;2400,3,IF(H28&gt;1200,2,1))</x:f>
        <x:v>3</x:v>
      </x:c>
      <x:c r="J28" s="17" t="str">
        <x:f>IF('Sessions'!B28="intent_override","Drop superseded values before query embedding",IF('Sessions'!B28="boundary","Do not invent a value for no-preference attributes","Keep profile tags soft; current message wins"))</x:f>
        <x:v>Keep profile tags soft; current message wins</x:v>
      </x:c>
    </x:row>
    <x:row r="29" ht="72" customHeight="1">
      <x:c r="A29" t="str">
        <x:f>'Sessions'!A29</x:f>
        <x:v>public_0025</x:v>
      </x:c>
      <x:c r="B29" t="str">
        <x:f>'Target Products'!B29</x:f>
        <x:v>B0BRS1DHVQ</x:v>
      </x:c>
      <x:c r="C29" s="17" t="str">
        <x:f>"title: "&amp;'Target Products'!C29&amp;" | categories: "&amp;'Target Products'!D29&amp;" | features: "&amp;'Target Products'!F29&amp;" | details: "&amp;'Target Products'!G29&amp;" | description: "&amp;'Target Products'!H29</x:f>
        <x:v>title: PRETTYGARDEN Women's Loose Solid Off Shoulder Elastic Waist Stretchy Long Romper Jumpsuit | categories: Clothing, Shoes &amp; Jewelry | Women | Clothing | Jumpsuits, Rompers &amp; Overalls | Rompers | features: 65%Polyester30%Viscose5%Spandex | Imported | Hook and Eye closure | Machine Wash | Size Guide: S=US 4-6, M=US 8-10，L=US 12-14，XL=US 16-18 High Quality Stretchy And Soft Fabric Made The Dressy Jumpsuit Works With Most Body Types, And Provides You The Ultimate Comfy Wearing Experience. | HIGHLIGHT : Summer Jumpsuits For Women Casual Has A Elegant Off Shoulder Design Which Can Perfectly Modify The Neck Curve. Classic Beam Foot Style Never Go Out Of Trendy And Keep You Cozy. The Loose Jumpsuit Have Solid Color, Stripe Pattern, Leopard Print, And Tie Dye, A Variety Of Choices, There Is Always One Is Your Favorite. | FEATURES: Elastic Waist, Beam Foot, Round Neck, Off the Shoulder, Short Sleeve, Solid color, Elastic Waist, Keyhole Back, Long Pants Jumpsuit, Casual Style, Lightweight and Breathable | FASHION JUMPSUITS FOR WOMEN: Great With Jacket, Sneakers, Sandals, Heels And Hat For Stylish Looks. A Perfect Jumpsuit For Beach, Party, Vacation, Office, Street Wear, Cocktail, Daily Life And Other Occasions In Summer. | CASUAL PANTS ROMPER: Women Off Shoulder Jumpsuit Can Be Worn Both At Home And Outdoor Thanks To The Long Pants Romper Comes Comfy And Style Together. Ladies One Piece Outfits Is The Must Have Item In Women’s Wardrobes To Meet You Daily Needs. | details: Package Dimensions: 8 x 5 x 2 inches; 4.8 Ounces | Item model number: PR60089 | Department: Womens | Date First Available: November 17, 2020 | Manufacturer: PRETTYGARDEN | description: </x:v>
      </x:c>
      <x:c r="D29" s="17" t="str">
        <x:f>"title: "&amp;'Target Products'!C29&amp;" | leaf_category: "&amp;'Target Products'!E29&amp;" | store: "&amp;'Target Products'!L29&amp;" | details: "&amp;'Target Products'!G29</x:f>
        <x:v>title: PRETTYGARDEN Women's Loose Solid Off Shoulder Elastic Waist Stretchy Long Romper Jumpsuit | leaf_category: Rompers | store: PRETTYGARDEN | details: Package Dimensions: 8 x 5 x 2 inches; 4.8 Ounces | Item model number: PR60089 | Department: Womens | Date First Available: November 17, 2020 | Manufacturer: PRETTYGARDEN</x:v>
      </x:c>
      <x:c r="E29" s="17" t="str">
        <x:f>"scenario: "&amp;'Sessions'!B29&amp;" | current_message: "&amp;'Sessions'!M29&amp;" | profile_soft_tags: "&amp;'Sessions'!I29</x:f>
        <x:v>scenario: browsing | current_message: I'm looking for Rompers &amp; Overalls Rompers, but I'm still exploring. | profile_soft_tags: material | fit | comfort | style</x:v>
      </x:c>
      <x:c r="F29" s="17" t="str">
        <x:f>'Intent Cards'!D29&amp;IF('Intent Cards'!F29&lt;&gt;""," | "&amp;'Intent Cards'!F29,"")</x:f>
        <x:v>spandex | 65%Polyester30%Viscose5%Spandex</x:v>
      </x:c>
      <x:c r="G29" s="17" t="str">
        <x:f>'Sessions'!I29</x:f>
        <x:v>material | fit | comfort | style</x:v>
      </x:c>
      <x:c r="H29" s="77" t="n">
        <x:f>LEN(C29)</x:f>
        <x:v>1676</x:v>
      </x:c>
      <x:c r="I29" s="77" t="n">
        <x:f>IF(H29&gt;2400,3,IF(H29&gt;1200,2,1))</x:f>
        <x:v>2</x:v>
      </x:c>
      <x:c r="J29" s="17" t="str">
        <x:f>IF('Sessions'!B29="intent_override","Drop superseded values before query embedding",IF('Sessions'!B29="boundary","Do not invent a value for no-preference attributes","Keep profile tags soft; current message wins"))</x:f>
        <x:v>Keep profile tags soft; current message wins</x:v>
      </x:c>
    </x:row>
    <x:row r="30" ht="72" customHeight="1">
      <x:c r="A30" t="str">
        <x:f>'Sessions'!A30</x:f>
        <x:v>public_0026</x:v>
      </x:c>
      <x:c r="B30" t="str">
        <x:f>'Target Products'!B30</x:f>
        <x:v>B093R14VP1</x:v>
      </x:c>
      <x:c r="C30" s="17" t="str">
        <x:f>"title: "&amp;'Target Products'!C30&amp;" | categories: "&amp;'Target Products'!D30&amp;" | features: "&amp;'Target Products'!F30&amp;" | details: "&amp;'Target Products'!G30&amp;" | description: "&amp;'Target Products'!H30</x:f>
        <x:v>title: ASICS Men's Gel-Venture 6 MX Running Shoes | categories: Clothing, Shoes &amp; Jewelry | Men | Shoes | Athletic | Running | Trail Running | features: 100% Synthetic | Imported | Rubber sole | Shaft measures approximately low-top from arch | Rearfoot GEL Cushioning System: Attenuates shock during impact phase and allows for a smooth transition to midstance. | Removable Sockliner: A sockliner which can be removed to accommodate a medical orthotic. | Removable Sockliner: A sockliner which can be removed to accommodate a medical orthotic. | Trail Specific Outsole: Reversed lugs provide uphill and downhill traction on all types of terrain. | AHAR Outsole: Acronym for ASICS High Abrasion Rubber. Placed in critical areas of the outsole for exceptional durability. | details: Package Dimensions: 12.44 x 6.3 x 4.75 inches; 1.44 Pounds | Item model number: 1011A591 | Department: mens | Date First Available: November 17, 2009 | Manufacturer: ASICS | description: With a redesigned midsole and upper, our new GEL-Venture® 6 delivers excellent shock absorbing comfort, so you can take on the trail. Your tread will benefit from the rugged, one-piece outsole, featuring multi-directional lugs for confidence-inspiring traction. From above, durable synthetic material and a stitched-down toe bumper ensure great fit, protection and comfort.</x:v>
      </x:c>
      <x:c r="D30" s="17" t="str">
        <x:f>"title: "&amp;'Target Products'!C30&amp;" | leaf_category: "&amp;'Target Products'!E30&amp;" | store: "&amp;'Target Products'!L30&amp;" | details: "&amp;'Target Products'!G30</x:f>
        <x:v>title: ASICS Men's Gel-Venture 6 MX Running Shoes | leaf_category: Trail Running | store: ASICS | details: Package Dimensions: 12.44 x 6.3 x 4.75 inches; 1.44 Pounds | Item model number: 1011A591 | Department: mens | Date First Available: November 17, 2009 | Manufacturer: ASICS</x:v>
      </x:c>
      <x:c r="E30" s="17" t="str">
        <x:f>"scenario: "&amp;'Sessions'!B30&amp;" | current_message: "&amp;'Sessions'!M30&amp;" | profile_soft_tags: "&amp;'Sessions'!I30</x:f>
        <x:v>scenario: buying | current_message: I'm looking for Running Trail Running. A key requirement is: 100% Synthetic. | profile_soft_tags: material | fit</x:v>
      </x:c>
      <x:c r="F30" s="17" t="str">
        <x:f>'Intent Cards'!D30&amp;IF('Intent Cards'!F30&lt;&gt;""," | "&amp;'Intent Cards'!F30,"")</x:f>
        <x:v>100% Synthetic | Imported</x:v>
      </x:c>
      <x:c r="G30" s="17" t="str">
        <x:f>'Sessions'!I30</x:f>
        <x:v>material | fit</x:v>
      </x:c>
      <x:c r="H30" s="77" t="n">
        <x:f>LEN(C30)</x:f>
        <x:v>1341</x:v>
      </x:c>
      <x:c r="I30" s="77" t="n">
        <x:f>IF(H30&gt;2400,3,IF(H30&gt;1200,2,1))</x:f>
        <x:v>2</x:v>
      </x:c>
      <x:c r="J30" s="17" t="str">
        <x:f>IF('Sessions'!B30="intent_override","Drop superseded values before query embedding",IF('Sessions'!B30="boundary","Do not invent a value for no-preference attributes","Keep profile tags soft; current message wins"))</x:f>
        <x:v>Keep profile tags soft; current message wins</x:v>
      </x:c>
    </x:row>
    <x:row r="31" ht="72" customHeight="1">
      <x:c r="A31" t="str">
        <x:f>'Sessions'!A31</x:f>
        <x:v>public_0027</x:v>
      </x:c>
      <x:c r="B31" t="str">
        <x:f>'Target Products'!B31</x:f>
        <x:v>B0858VDFDW</x:v>
      </x:c>
      <x:c r="C31" s="17" t="str">
        <x:f>"title: "&amp;'Target Products'!C31&amp;" | categories: "&amp;'Target Products'!D31&amp;" | features: "&amp;'Target Products'!F31&amp;" | details: "&amp;'Target Products'!G31&amp;" | description: "&amp;'Target Products'!H31</x:f>
        <x:v>title: Riders by Lee Indigo Women's Ultra Soft Denim Capri | categories: Clothing, Shoes &amp; Jewelry | Women | Clothing | Jeans | features: 73% Cotton, 25% Polyester, 2% Spandex | Imported | Zipper fly with button closure | Machine Wash | Regular Fit with a Midrise | Cropped capri silhouette | Featuring Super Soft Stretch Denim | Five Pocket Styling; Back pockets feature embroidery | details: Department: womens | Date First Available: February 28, 2020 | Manufacturer: Riders by Lee Indigo Womens Sportswear | description: This Riders by Lee Indigo ultra soft denim capri will quickly become your go to casual bottom. Made from premium super soft denim, this capri sits just above your natural waist and has a traditional rise. The 19 inch inseam hits mid calf on most. Why sacrifice comfort for style when you can have them both</x:v>
      </x:c>
      <x:c r="D31" s="17" t="str">
        <x:f>"title: "&amp;'Target Products'!C31&amp;" | leaf_category: "&amp;'Target Products'!E31&amp;" | store: "&amp;'Target Products'!L31&amp;" | details: "&amp;'Target Products'!G31</x:f>
        <x:v>title: Riders by Lee Indigo Women's Ultra Soft Denim Capri | leaf_category: Jeans | store: Riders by Lee Indigo | details: Department: womens | Date First Available: February 28, 2020 | Manufacturer: Riders by Lee Indigo Womens Sportswear</x:v>
      </x:c>
      <x:c r="E31" s="17" t="str">
        <x:f>"scenario: "&amp;'Sessions'!B31&amp;" | current_message: "&amp;'Sessions'!M31&amp;" | profile_soft_tags: "&amp;'Sessions'!I31</x:f>
        <x:v>scenario: buying | current_message: I'm looking for Women Jeans. A key requirement is: cotton. | profile_soft_tags: style | comfort | fit | material</x:v>
      </x:c>
      <x:c r="F31" s="17" t="str">
        <x:f>'Intent Cards'!D31&amp;IF('Intent Cards'!F31&lt;&gt;""," | "&amp;'Intent Cards'!F31,"")</x:f>
        <x:v>cotton | 73% Cotton, 25% Polyester, 2% Spandex</x:v>
      </x:c>
      <x:c r="G31" s="17" t="str">
        <x:f>'Sessions'!I31</x:f>
        <x:v>style | comfort | fit | material</x:v>
      </x:c>
      <x:c r="H31" s="77" t="n">
        <x:f>LEN(C31)</x:f>
        <x:v>831</x:v>
      </x:c>
      <x:c r="I31" s="77" t="n">
        <x:f>IF(H31&gt;2400,3,IF(H31&gt;1200,2,1))</x:f>
        <x:v>1</x:v>
      </x:c>
      <x:c r="J31" s="17" t="str">
        <x:f>IF('Sessions'!B31="intent_override","Drop superseded values before query embedding",IF('Sessions'!B31="boundary","Do not invent a value for no-preference attributes","Keep profile tags soft; current message wins"))</x:f>
        <x:v>Keep profile tags soft; current message wins</x:v>
      </x:c>
    </x:row>
    <x:row r="32" ht="72" customHeight="1">
      <x:c r="A32" t="str">
        <x:f>'Sessions'!A32</x:f>
        <x:v>public_0028</x:v>
      </x:c>
      <x:c r="B32" t="str">
        <x:f>'Target Products'!B32</x:f>
        <x:v>B0B9ZYDDZ1</x:v>
      </x:c>
      <x:c r="C32" s="17" t="str">
        <x:f>"title: "&amp;'Target Products'!C32&amp;" | categories: "&amp;'Target Products'!D32&amp;" | features: "&amp;'Target Products'!F32&amp;" | details: "&amp;'Target Products'!G32&amp;" | description: "&amp;'Target Products'!H32</x:f>
        <x:v>title: Buffway Slim Minimalist Front Pocket RFID Blocking Leather Wallets for Men Women | categories: Clothing, Shoes &amp; Jewelry | Men | Accessories | Wallets, Card Cases &amp; Money Organizers | Wallets | features: Leather | Polyester lining | Magnetic closure | Dry Cloth Clean | STYLISHLY SMALL, SLIM and DISCREET: Measuring just 3 1/8" x 4 7/16" x 1/9", our RFID front pocket slim wallet is super thin and modernly slim. It's the minimalist wallet that fits perfectly in your pocket, purse or travel pack. | PLENTY OF ROOM: 8 slots easily load your driver's license,credit cards,debit cards and membership cards, making your work and travel more convenient. | EFFECTIVELY BLOCKS RFID SIGNALS: Outfitted with advanced RDIF blocking technology, these slim wallets for men and women block electronic signals to keep your identity protected while you travel, shop or explore. | MADE FROM LEATHER: Crafted out of leather, our minimalist wallet sleeve combines luxurious style and the trends of today with functionality and durability you can depend on when traveling, shopping, etc. | UNISEX; FAVORED BY MEN and WOMEN: Given their sleek design and smooth leather construction, these RFID sleeves are popular slim wallets for women and men. They make great gift ideas for the travelers in your life! | details: Brand: Buffway | Color: Lichee Black | Material: Leather | Style: Minimalist | Pattern: Solid | Department: Mens | Date First Available: August 31, 2020 | Manufacturer: Buffway | description: </x:v>
      </x:c>
      <x:c r="D32" s="17" t="str">
        <x:f>"title: "&amp;'Target Products'!C32&amp;" | leaf_category: "&amp;'Target Products'!E32&amp;" | store: "&amp;'Target Products'!L32&amp;" | details: "&amp;'Target Products'!G32</x:f>
        <x:v>title: Buffway Slim Minimalist Front Pocket RFID Blocking Leather Wallets for Men Women | leaf_category: Wallets | store: Buffway | details: Brand: Buffway | Color: Lichee Black | Material: Leather | Style: Minimalist | Pattern: Solid | Department: Mens | Date First Available: August 31, 2020 | Manufacturer: Buffway</x:v>
      </x:c>
      <x:c r="E32" s="17" t="str">
        <x:f>"scenario: "&amp;'Sessions'!B32&amp;" | current_message: "&amp;'Sessions'!M32&amp;" | profile_soft_tags: "&amp;'Sessions'!I32</x:f>
        <x:v>scenario: buying | current_message: I'm looking for Card Cases &amp; Money Organizers Wallets. A key requirement is: leather. | profile_soft_tags: material | fit</x:v>
      </x:c>
      <x:c r="F32" s="17" t="str">
        <x:f>'Intent Cards'!D32&amp;IF('Intent Cards'!F32&lt;&gt;""," | "&amp;'Intent Cards'!F32,"")</x:f>
        <x:v>leather | color: black</x:v>
      </x:c>
      <x:c r="G32" s="17" t="str">
        <x:f>'Sessions'!I32</x:f>
        <x:v>material | fit</x:v>
      </x:c>
      <x:c r="H32" s="77" t="n">
        <x:f>LEN(C32)</x:f>
        <x:v>1496</x:v>
      </x:c>
      <x:c r="I32" s="77" t="n">
        <x:f>IF(H32&gt;2400,3,IF(H32&gt;1200,2,1))</x:f>
        <x:v>2</x:v>
      </x:c>
      <x:c r="J32" s="17" t="str">
        <x:f>IF('Sessions'!B32="intent_override","Drop superseded values before query embedding",IF('Sessions'!B32="boundary","Do not invent a value for no-preference attributes","Keep profile tags soft; current message wins"))</x:f>
        <x:v>Keep profile tags soft; current message wins</x:v>
      </x:c>
    </x:row>
    <x:row r="33" ht="72" customHeight="1">
      <x:c r="A33" t="str">
        <x:f>'Sessions'!A33</x:f>
        <x:v>public_0029</x:v>
      </x:c>
      <x:c r="B33" t="str">
        <x:f>'Target Products'!B33</x:f>
        <x:v>B01IAKCZEK</x:v>
      </x:c>
      <x:c r="C33" s="17" t="str">
        <x:f>"title: "&amp;'Target Products'!C33&amp;" | categories: "&amp;'Target Products'!D33&amp;" | features: "&amp;'Target Products'!F33&amp;" | details: "&amp;'Target Products'!G33&amp;" | description: "&amp;'Target Products'!H33</x:f>
        <x:v>title: Sanuk Yoga Sling 2 Light Natural 5 B (M) | categories: Clothing, Shoes &amp; Jewelry | Women | Shoes | Sandals | Flats | features: Back for a second time, it's the ever comfy, ever stylish Yoga Sling 2 sandal from Sanuk®. A sandal that's a flexible as you—win! | New lightweight, two-way stretch knit upper with sling comfort construction. | Sealed edge footbed made from real yoga mats. | Happy U rubber sponge outsole. | Vegan and vegetarian. Imported. Measurements: Weight: 6 oz Product measurements were taken using size 9, width B - Medium. Please note that measurements may vary by size. Weight of footwear is based on a single item, not a pair. | details: Brand: Sanuk | Series: Yoga Sling 2 | Item model number: 1106893 | Item Weight: 5.4 ounces | Product Dimensions: 5 x 5 x 0.7 inches | Item Dimensions  LxWxH: 5 x 5 x 0.7 inches | Color: Light Natural | Department: womens | Manufacturer: Sanuk | Country of Origin: Vietnam | Is Discontinued By Manufacturer: No | Date First Available: February 6, 2017 | Best Sellers Rank: [object Object] | description: For effortless, feminine style and plenty of cushiony comfort, slip on a pair of Sanuk Women’s Yoga Sling 2 sandals. These casual, sling sandals have soft, stretchy, fabric straps to ensure a secure fit and stretch with movement. To put on, gently pull the heel strap away from your toes as you slide your foot onto the footbed like a flip flop. The strap fits comfortably between your toes and around your heel. Made from real yoga mat material, the squishy, soft footbeds provide cushioning and comfort for your feet. Durable, flexible outsoles made of partially recycled EVA and straw are one of Sanuk’s sustainability initiates of using recycled materials in their footwear. Because they are flexible, lightweight, and stylishly versatile, Yoga Sling 2 sandals are easily packable and a great choice for taking along on vacation. These Sanuk sandals are machine washable, but do not put them in dryer or expose them to prolonged periods in direct sunlight. A little air drying after getting washed or wet is all the Yoga Sling 2 needs to look their best.</x:v>
      </x:c>
      <x:c r="D33" s="17" t="str">
        <x:f>"title: "&amp;'Target Products'!C33&amp;" | leaf_category: "&amp;'Target Products'!E33&amp;" | store: "&amp;'Target Products'!L33&amp;" | details: "&amp;'Target Products'!G33</x:f>
        <x:v>title: Sanuk Yoga Sling 2 Light Natural 5 B (M) | leaf_category: Flats | store: Sanuk | details: Brand: Sanuk | Series: Yoga Sling 2 | Item model number: 1106893 | Item Weight: 5.4 ounces | Product Dimensions: 5 x 5 x 0.7 inches | Item Dimensions  LxWxH: 5 x 5 x 0.7 inches | Color: Light Natural | Department: womens | Manufacturer: Sanuk | Country of Origin: Vietnam | Is Discontinued By Manufacturer: No | Date First Available: February 6, 2017 | Best Sellers Rank: [object Object]</x:v>
      </x:c>
      <x:c r="E33" s="17" t="str">
        <x:f>"scenario: "&amp;'Sessions'!B33&amp;" | current_message: "&amp;'Sessions'!M33&amp;" | profile_soft_tags: "&amp;'Sessions'!I33</x:f>
        <x:v>scenario: buying | current_message: I'm looking for Sandals Flats. A key requirement is: fabric. | profile_soft_tags: comfort | material | style | fit</x:v>
      </x:c>
      <x:c r="F33" s="17" t="str">
        <x:f>'Intent Cards'!D33&amp;IF('Intent Cards'!F33&lt;&gt;""," | "&amp;'Intent Cards'!F33,"")</x:f>
        <x:v>fabric | Back for a second time, it's the ever comfy, ever stylish Yoga Sling 2 sandal from Sanuk®. A sandal that's a flexible as you—win!</x:v>
      </x:c>
      <x:c r="G33" s="17" t="str">
        <x:f>'Sessions'!I33</x:f>
        <x:v>comfort | material | style | fit</x:v>
      </x:c>
      <x:c r="H33" s="77" t="n">
        <x:f>LEN(C33)</x:f>
        <x:v>2127</x:v>
      </x:c>
      <x:c r="I33" s="77" t="n">
        <x:f>IF(H33&gt;2400,3,IF(H33&gt;1200,2,1))</x:f>
        <x:v>2</x:v>
      </x:c>
      <x:c r="J33" s="17" t="str">
        <x:f>IF('Sessions'!B33="intent_override","Drop superseded values before query embedding",IF('Sessions'!B33="boundary","Do not invent a value for no-preference attributes","Keep profile tags soft; current message wins"))</x:f>
        <x:v>Keep profile tags soft; current message wins</x:v>
      </x:c>
    </x:row>
    <x:row r="34" ht="72" customHeight="1">
      <x:c r="A34" t="str">
        <x:f>'Sessions'!A34</x:f>
        <x:v>public_0030</x:v>
      </x:c>
      <x:c r="B34" t="str">
        <x:f>'Target Products'!B34</x:f>
        <x:v>B09V5RTXG9</x:v>
      </x:c>
      <x:c r="C34" s="17" t="str">
        <x:f>"title: "&amp;'Target Products'!C34&amp;" | categories: "&amp;'Target Products'!D34&amp;" | features: "&amp;'Target Products'!F34&amp;" | details: "&amp;'Target Products'!G34&amp;" | description: "&amp;'Target Products'!H34</x:f>
        <x:v>title: '#followme Microfleece Men’s Buffalo Plaid Pajama Pants with Pockets | categories: Clothing, Shoes &amp; Jewelry | Men | Clothing | Sleep &amp; Lounge | Sleep Bottoms | features: Polyester,Polar Fleece | Button closure | Hand Wash Only | DESIGNED FOR COMFORT: These comfy pajama pants are perfect for hitting the sheets or kicking back at home on a lazy weekend. Made from ultra-soft 100% polyester micro fleece, the pajama bottoms feel great against the skin and keep you nice &amp; warm on those chilly nights. | LOUNGE IN STYLE: Treat your downtime to a classic look with these plaid pajama pants for men. We’ve coupled the timeless pattern with a choice of eye-catching color to complement any taste. The plaid sleep pants also come with two pockets and a button fly for a touch of functionality. | GREAT FIT: Our plaid lounge pants come in S-XXXL to fit most sizes and are fitted with a twill drawstring to give you a custom fit. The loose-fitting design of these warm sleeping pants for men makes for unrestricted movement all night or day. | HIGH-QUALITY DESIGN: These pajamas for men are carefully made to ensure maximum durability. Everything from the stitching to the hem lining is masterfully done, and the PJ pants handle well in the wash without losing shape. | UNMATCHED VALUE FOR MONEY: #followme prides itself on giving you the latest styling at the best value around. You’ll love the great attention to detail that has gone into making the men’s plaid pajama pants, and all at a price that can’t be beaten. | details: Department: Mens | Date First Available: March 9, 2022 | description: THE PAIR OF PLAID PJ PANTS YOU’VE ALWAYS WANTED | Take it Easy | You've been working so hard, and now you deserve a break from it all! Slip into these cozy PJ pants made from micro fleece fabric that will keep you warm during those cold nights. You will love how soft these pants are, which combines with the loose-fitting design to create the most comfortable pajama pants around. Whether you’re snoozing away, watching the game, getting chores done around the house, or a cracking open a cold one with the boys out in the yard, these PJ bottoms treat you to a taste of unmatched comfort. | Kick Back in Plaid | Comfort is not just everything. We all know that looks matters, too, and these pants should be right up your alley. Featuring multiple colors with plaid design, you can be sure that these PJ pants fare well in the aesthetics department. And we’ve designed the pajama bottoms with 2 deep pockets and a button fly to add some functionality to the mix. Put aside those old sweats and slip into lounging pants you won’t want to take off! | Here’s why you’ll love these PJ pants: | - Warm and comfortable pants for lounging or bedtime. | - Made from microfleece fabric that's cozy and soft. | - Available in varied sizes from small to triple XL. | - Plaid design and multiple colors with a masculine appeal. | - Twill drawstring allows you to achieve a snug and secure fit. | Whether you’re catching some Z’s or lounging away, count on #followme plaid PJ pants for a great blend | of comfort and style. Click 'Add to Cart' now!</x:v>
      </x:c>
      <x:c r="D34" s="17" t="str">
        <x:f>"title: "&amp;'Target Products'!C34&amp;" | leaf_category: "&amp;'Target Products'!E34&amp;" | store: "&amp;'Target Products'!L34&amp;" | details: "&amp;'Target Products'!G34</x:f>
        <x:v>title: '#followme Microfleece Men’s Buffalo Plaid Pajama Pants with Pockets | leaf_category: Sleep Bottoms | store: '#followme | details: Department: Mens | Date First Available: March 9, 2022</x:v>
      </x:c>
      <x:c r="E34" s="17" t="str">
        <x:f>"scenario: "&amp;'Sessions'!B34&amp;" | current_message: "&amp;'Sessions'!M34&amp;" | profile_soft_tags: "&amp;'Sessions'!I34</x:f>
        <x:v>scenario: buying | current_message: I'm looking for Sleep &amp; Lounge Sleep Bottoms. A key requirement is: polyester. | profile_soft_tags: material | comfort | fit | style</x:v>
      </x:c>
      <x:c r="F34" s="17" t="str">
        <x:f>'Intent Cards'!D34&amp;IF('Intent Cards'!F34&lt;&gt;""," | "&amp;'Intent Cards'!F34,"")</x:f>
        <x:v>polyester | Polyester,Polar Fleece</x:v>
      </x:c>
      <x:c r="G34" s="17" t="str">
        <x:f>'Sessions'!I34</x:f>
        <x:v>material | comfort | fit | style</x:v>
      </x:c>
      <x:c r="H34" s="77" t="n">
        <x:f>LEN(C34)</x:f>
        <x:v>3135</x:v>
      </x:c>
      <x:c r="I34" s="77" t="n">
        <x:f>IF(H34&gt;2400,3,IF(H34&gt;1200,2,1))</x:f>
        <x:v>3</x:v>
      </x:c>
      <x:c r="J34" s="17" t="str">
        <x:f>IF('Sessions'!B34="intent_override","Drop superseded values before query embedding",IF('Sessions'!B34="boundary","Do not invent a value for no-preference attributes","Keep profile tags soft; current message wins"))</x:f>
        <x:v>Keep profile tags soft; current message wins</x:v>
      </x:c>
    </x:row>
    <x:row r="35" ht="72" customHeight="1">
      <x:c r="A35" t="str">
        <x:f>'Sessions'!A35</x:f>
        <x:v>public_0031</x:v>
      </x:c>
      <x:c r="B35" t="str">
        <x:f>'Target Products'!B35</x:f>
        <x:v>B0BQDTGHMZ</x:v>
      </x:c>
      <x:c r="C35" s="17" t="str">
        <x:f>"title: "&amp;'Target Products'!C35&amp;" | categories: "&amp;'Target Products'!D35&amp;" | features: "&amp;'Target Products'!F35&amp;" | details: "&amp;'Target Products'!G35&amp;" | description: "&amp;'Target Products'!H35</x:f>
        <x:v>title: Signature by Levi Strauss &amp; Co. Gold Label Women's Modern Skinny Jeans (Standard and Plus) | categories: Clothing, Shoes &amp; Jewelry | Women | Clothing | Jeans | features: 78% Cotton, 20% Polyester, 2% Elastane | Imported | Zipper closure | Machine Wash | Super stretch lasts from day to night; Snug fit doesn't lose shape | Vintage, worn-in look | Mid-rise comfort waistband | Skinny through hip and thig; Skinny leg opening | details: Department: Womens | Date First Available: May 28, 2021 | Manufacturer: Signature by Levi Strauss &amp; Co. Women's Apparel | description: Signature by Levi's strauss and co. Gold label modern skinny women's jeans offer quality craftsmanship and authentic style backed by over 160 years of denim heritage and expertise. Crafted from premium, super stretchy simply stretch denim that won't bag out and keeps its shape all day, our modern skinny jeans hug your curves for a perfect fit and are cut slim through the leg with a skinny leg opening for a long, lean look. Look and feel simply amazing in stylish and versatile simply stretch modern skinny jeans. Quality you trust from Levi's strauss and co., established 1853.</x:v>
      </x:c>
      <x:c r="D35" s="17" t="str">
        <x:f>"title: "&amp;'Target Products'!C35&amp;" | leaf_category: "&amp;'Target Products'!E35&amp;" | store: "&amp;'Target Products'!L35&amp;" | details: "&amp;'Target Products'!G35</x:f>
        <x:v>title: Signature by Levi Strauss &amp; Co. Gold Label Women's Modern Skinny Jeans (Standard and Plus) | leaf_category: Jeans | store: Signature by Levi Strauss &amp; Co. Gold Label | details: Department: Womens | Date First Available: May 28, 2021 | Manufacturer: Signature by Levi Strauss &amp; Co. Women's Apparel</x:v>
      </x:c>
      <x:c r="E35" s="17" t="str">
        <x:f>"scenario: "&amp;'Sessions'!B35&amp;" | current_message: "&amp;'Sessions'!M35&amp;" | profile_soft_tags: "&amp;'Sessions'!I35</x:f>
        <x:v>scenario: buying | current_message: I'm looking for Women Jeans. A key requirement is: cotton. | profile_soft_tags: material | comfort | fit | style</x:v>
      </x:c>
      <x:c r="F35" s="17" t="str">
        <x:f>'Intent Cards'!D35&amp;IF('Intent Cards'!F35&lt;&gt;""," | "&amp;'Intent Cards'!F35,"")</x:f>
        <x:v>cotton | 78% Cotton, 20% Polyester, 2% Elastane</x:v>
      </x:c>
      <x:c r="G35" s="17" t="str">
        <x:f>'Sessions'!I35</x:f>
        <x:v>material | comfort | fit | style</x:v>
      </x:c>
      <x:c r="H35" s="77" t="n">
        <x:f>LEN(C35)</x:f>
        <x:v>1158</x:v>
      </x:c>
      <x:c r="I35" s="77" t="n">
        <x:f>IF(H35&gt;2400,3,IF(H35&gt;1200,2,1))</x:f>
        <x:v>1</x:v>
      </x:c>
      <x:c r="J35" s="17" t="str">
        <x:f>IF('Sessions'!B35="intent_override","Drop superseded values before query embedding",IF('Sessions'!B35="boundary","Do not invent a value for no-preference attributes","Keep profile tags soft; current message wins"))</x:f>
        <x:v>Keep profile tags soft; current message wins</x:v>
      </x:c>
    </x:row>
    <x:row r="36" ht="72" customHeight="1">
      <x:c r="A36" t="str">
        <x:f>'Sessions'!A36</x:f>
        <x:v>public_0032</x:v>
      </x:c>
      <x:c r="B36" t="str">
        <x:f>'Target Products'!B36</x:f>
        <x:v>B0834HZQZF</x:v>
      </x:c>
      <x:c r="C36" s="17" t="str">
        <x:f>"title: "&amp;'Target Products'!C36&amp;" | categories: "&amp;'Target Products'!D36&amp;" | features: "&amp;'Target Products'!F36&amp;" | details: "&amp;'Target Products'!G36&amp;" | description: "&amp;'Target Products'!H36</x:f>
        <x:v>title: IZZY + TOBY 100% Cotton Nightgowns for Women Soft Ladies Gowns Sleepwear Long Sleeveless Nightgown | categories: Clothing, Shoes &amp; Jewelry | Women | Clothing | Lingerie, Sleep &amp; Lounge | Sleep &amp; Lounge | Nightgowns &amp; Sleepshirts | features: 100% Cotton | Pull On closure | Hand Wash Only | ✔Women 100% Cotton Nightgowns: Womens Cotton nightgowns are made of 100% premium cotton, super soft, comfortable and breathable. Long cotton nightgown feels great on skin, providing you with amazing comfort, the softest nightgowns that you ever have. | ✔Details: Cotton nightgowns for women feature scoop neck with tiny lace trim, luxury shinning shell buttons, mid-calf length, bright color (or cute printing) and fashionable ruffle hem. Loose fit and sleeveless design with enough room under arm, easy on and off. A necessary cotton nightgown on your wardrobe. | ✔Ideal Gift: Ladies cotton gowns sleepwear are great choice as presents for your wife, mom, daughter or friends at birthday, Mother's Day, Valentine's Day and Christmas. Super soft to wear as loungewear and sleepwear. | ✔Size &amp; Care Tips: Long nightgowns are true to size, choosing your normal nighties size. S = US Size 2-4, M = US Size 6-8, L = US Size 10-12, XL = US Size 14-16, XXL = US Size 18. Machine wash with cold water, tumble dry(low), no faded, no shrink or pill, keep soft after washing. | ✔Satisfied Customer Serviced - Feel free to contact us for any question about cotton night gown, return or refund is available, and we will try our best to meet your demand. Thank you for shopping on our store, have a nice day. | details: Department: Womens | Date First Available: December 26, 2019 | description: </x:v>
      </x:c>
      <x:c r="D36" s="17" t="str">
        <x:f>"title: "&amp;'Target Products'!C36&amp;" | leaf_category: "&amp;'Target Products'!E36&amp;" | store: "&amp;'Target Products'!L36&amp;" | details: "&amp;'Target Products'!G36</x:f>
        <x:v>title: IZZY + TOBY 100% Cotton Nightgowns for Women Soft Ladies Gowns Sleepwear Long Sleeveless Nightgown | leaf_category: Nightgowns &amp; Sleepshirts | store: IZZY + TOBY | details: Department: Womens | Date First Available: December 26, 2019</x:v>
      </x:c>
      <x:c r="E36" s="17" t="str">
        <x:f>"scenario: "&amp;'Sessions'!B36&amp;" | current_message: "&amp;'Sessions'!M36&amp;" | profile_soft_tags: "&amp;'Sessions'!I36</x:f>
        <x:v>scenario: buying | current_message: I'm looking for Sleep &amp; Lounge Nightgowns &amp; Sleepshirts. A key requirement is: cotton. | profile_soft_tags: material | performance | style | warmth</x:v>
      </x:c>
      <x:c r="F36" s="17" t="str">
        <x:f>'Intent Cards'!D36&amp;IF('Intent Cards'!F36&lt;&gt;""," | "&amp;'Intent Cards'!F36,"")</x:f>
        <x:v>cotton | 100% Cotton</x:v>
      </x:c>
      <x:c r="G36" s="17" t="str">
        <x:f>'Sessions'!I36</x:f>
        <x:v>material | performance | style | warmth</x:v>
      </x:c>
      <x:c r="H36" s="77" t="n">
        <x:f>LEN(C36)</x:f>
        <x:v>1680</x:v>
      </x:c>
      <x:c r="I36" s="77" t="n">
        <x:f>IF(H36&gt;2400,3,IF(H36&gt;1200,2,1))</x:f>
        <x:v>2</x:v>
      </x:c>
      <x:c r="J36" s="17" t="str">
        <x:f>IF('Sessions'!B36="intent_override","Drop superseded values before query embedding",IF('Sessions'!B36="boundary","Do not invent a value for no-preference attributes","Keep profile tags soft; current message wins"))</x:f>
        <x:v>Keep profile tags soft; current message wins</x:v>
      </x:c>
    </x:row>
    <x:row r="37" ht="72" customHeight="1">
      <x:c r="A37" t="str">
        <x:f>'Sessions'!A37</x:f>
        <x:v>public_0033</x:v>
      </x:c>
      <x:c r="B37" t="str">
        <x:f>'Target Products'!B37</x:f>
        <x:v>B08134XNNB</x:v>
      </x:c>
      <x:c r="C37" s="17" t="str">
        <x:f>"title: "&amp;'Target Products'!C37&amp;" | categories: "&amp;'Target Products'!D37&amp;" | features: "&amp;'Target Products'!F37&amp;" | details: "&amp;'Target Products'!G37&amp;" | description: "&amp;'Target Products'!H37</x:f>
        <x:v>title: Women's Walking Shoes Sock Sneakers - Mesh Slip On Air Cushion Lady Girls Modern Jazz Dance Easy Shoes Platform Loafers | categories: Clothing, Shoes &amp; Jewelry | Women | Shoes | Athletic | Walking | features: Mesh Fabric | Imported | MD + Air Cushion sole | This shoe's sizing is equivalent to street shoe size.Please choose a larger size than usual for easy-lace style and winter style. | Boxed toe for toe stands,super lightweight and flexible just like socks,breathable and smooth fabric provide great freedom and comfortable feeling. Let you enjoy your travel on holidays. | MD out-sole with air cushion.High-quality rubber materail is non-slip and wear-resistant.Platform measures approximately 1.96'' | Perforated arch for ventilation and breathability.Classic air cushion design makes these shoes are perfect work shoes for those who needs to stand or walk for long time. | These shoes are suitable for any daily used,such as:long time standing work,walking,casual,floor shoes,plantar fasciitis,nursing,fishing,gardening,dress,shopping,travel,driving,jazz,tap dance,street jazz,ballet,folk dance,zumba,athletic,workout. | details: Package Dimensions: 13.35 x 8.98 x 5.12 inches; 14.11 Ounces | Department: Womens | Date First Available: December 17, 2018 | Manufacturer: RAY | description: </x:v>
      </x:c>
      <x:c r="D37" s="17" t="str">
        <x:f>"title: "&amp;'Target Products'!C37&amp;" | leaf_category: "&amp;'Target Products'!E37&amp;" | store: "&amp;'Target Products'!L37&amp;" | details: "&amp;'Target Products'!G37</x:f>
        <x:v>title: Women's Walking Shoes Sock Sneakers - Mesh Slip On Air Cushion Lady Girls Modern Jazz Dance Easy Shoes Platform Loafers | leaf_category: Walking | store: Slow Man | details: Package Dimensions: 13.35 x 8.98 x 5.12 inches; 14.11 Ounces | Department: Womens | Date First Available: December 17, 2018 | Manufacturer: RAY</x:v>
      </x:c>
      <x:c r="E37" s="17" t="str">
        <x:f>"scenario: "&amp;'Sessions'!B37&amp;" | current_message: "&amp;'Sessions'!M37&amp;" | profile_soft_tags: "&amp;'Sessions'!I37</x:f>
        <x:v>scenario: browsing | current_message: I'm looking for Athletic Walking, but I'm still exploring. | profile_soft_tags: material | comfort | style | durability</x:v>
      </x:c>
      <x:c r="F37" s="17" t="str">
        <x:f>'Intent Cards'!D37&amp;IF('Intent Cards'!F37&lt;&gt;""," | "&amp;'Intent Cards'!F37,"")</x:f>
        <x:v>fabric | Mesh Fabric</x:v>
      </x:c>
      <x:c r="G37" s="17" t="str">
        <x:f>'Sessions'!I37</x:f>
        <x:v>material | comfort | style | durability</x:v>
      </x:c>
      <x:c r="H37" s="77" t="n">
        <x:f>LEN(C37)</x:f>
        <x:v>1304</x:v>
      </x:c>
      <x:c r="I37" s="77" t="n">
        <x:f>IF(H37&gt;2400,3,IF(H37&gt;1200,2,1))</x:f>
        <x:v>2</x:v>
      </x:c>
      <x:c r="J37" s="17" t="str">
        <x:f>IF('Sessions'!B37="intent_override","Drop superseded values before query embedding",IF('Sessions'!B37="boundary","Do not invent a value for no-preference attributes","Keep profile tags soft; current message wins"))</x:f>
        <x:v>Keep profile tags soft; current message wins</x:v>
      </x:c>
    </x:row>
    <x:row r="38" ht="72" customHeight="1">
      <x:c r="A38" t="str">
        <x:f>'Sessions'!A38</x:f>
        <x:v>public_0034</x:v>
      </x:c>
      <x:c r="B38" t="str">
        <x:f>'Target Products'!B38</x:f>
        <x:v>B07Q9PNNB5</x:v>
      </x:c>
      <x:c r="C38" s="17" t="str">
        <x:f>"title: "&amp;'Target Products'!C38&amp;" | categories: "&amp;'Target Products'!D38&amp;" | features: "&amp;'Target Products'!F38&amp;" | details: "&amp;'Target Products'!G38&amp;" | description: "&amp;'Target Products'!H38</x:f>
        <x:v>title: DUOYANGJIASHA Loafers for Women Casual Slip on Dress Loafers Womens Comfortable Leather Driving Shoes Outdoor Walking Flats Shoes | categories: Clothing, Shoes &amp; Jewelry | Women | Shoes | Loafers &amp; Slip-Ons | features: Rubber sole | Cowhide Leather,Rubber Sole,Hand-Sewn Loafers for Women | Leather Loafers Women:can be bend and curled in 360°,soft and comfortable | Women Flat Shoes can be worn in Two kinds,Using as Loafer or Slipper,easily put on or off | Wear-resisting rubber sole with function of skid resistance,soft and comfortable,making you lighter when walking | Suitable for occasion:Slip on shoes,dress shoes,party,going out,indoor,office,shopping,standing,walking shoes,working,etc . | details: Department: womens | Date First Available: April 2, 2019 | description: </x:v>
      </x:c>
      <x:c r="D38" s="17" t="str">
        <x:f>"title: "&amp;'Target Products'!C38&amp;" | leaf_category: "&amp;'Target Products'!E38&amp;" | store: "&amp;'Target Products'!L38&amp;" | details: "&amp;'Target Products'!G38</x:f>
        <x:v>title: DUOYANGJIASHA Loafers for Women Casual Slip on Dress Loafers Womens Comfortable Leather Driving Shoes Outdoor Walking Flats Shoes | leaf_category: Loafers &amp; Slip-Ons | store: DUOYANGJIASHA | details: Department: womens | Date First Available: April 2, 2019</x:v>
      </x:c>
      <x:c r="E38" s="17" t="str">
        <x:f>"scenario: "&amp;'Sessions'!B38&amp;" | current_message: "&amp;'Sessions'!M38&amp;" | profile_soft_tags: "&amp;'Sessions'!I38</x:f>
        <x:v>scenario: intent_override | current_message: I'm looking for Shoes Loafers &amp; Slip-Ons. Leather Loafers Women:can be bend and curled in 360°,soft and comfortable | profile_soft_tags: style | material | fit | comfort</x:v>
      </x:c>
      <x:c r="F38" s="17" t="str">
        <x:f>'Intent Cards'!D38&amp;IF('Intent Cards'!F38&lt;&gt;""," | "&amp;'Intent Cards'!F38,"")</x:f>
        <x:v>leather | Rubber sole</x:v>
      </x:c>
      <x:c r="G38" s="17" t="str">
        <x:f>'Sessions'!I38</x:f>
        <x:v>style | material | fit | comfort</x:v>
      </x:c>
      <x:c r="H38" s="77" t="n">
        <x:f>LEN(C38)</x:f>
        <x:v>788</x:v>
      </x:c>
      <x:c r="I38" s="77" t="n">
        <x:f>IF(H38&gt;2400,3,IF(H38&gt;1200,2,1))</x:f>
        <x:v>1</x:v>
      </x:c>
      <x:c r="J38" s="17" t="str">
        <x:f>IF('Sessions'!B38="intent_override","Drop superseded values before query embedding",IF('Sessions'!B38="boundary","Do not invent a value for no-preference attributes","Keep profile tags soft; current message wins"))</x:f>
        <x:v>Drop superseded values before query embedding</x:v>
      </x:c>
    </x:row>
    <x:row r="39" ht="72" customHeight="1">
      <x:c r="A39" t="str">
        <x:f>'Sessions'!A39</x:f>
        <x:v>public_0035</x:v>
      </x:c>
      <x:c r="B39" t="str">
        <x:f>'Target Products'!B39</x:f>
        <x:v>B0BN6CCHB7</x:v>
      </x:c>
      <x:c r="C39" s="17" t="str">
        <x:f>"title: "&amp;'Target Products'!C39&amp;" | categories: "&amp;'Target Products'!D39&amp;" | features: "&amp;'Target Products'!F39&amp;" | details: "&amp;'Target Products'!G39&amp;" | description: "&amp;'Target Products'!H39</x:f>
        <x:v>title: Skechers Men's Go Max-Athletic Air Mesh Slip on Walking Shoe Sneaker | categories: Clothing, Shoes &amp; Jewelry | Men | Shoes | Athletic | Walking | features: 100% Textile | Imported | Rubber sole | Shaft measures approximately low-top from arch | Get the maximum comfort and cushioning for athletic walking with the Skechers GOwalk Max. STRETCH FIT fabric upper with cushioned, supportive sole design. Designed with Skechers Performance technology and materials specifically for athletic walking. Air Cooled Goga Mat insole for shock absorption and support. | UPPER: Super lightweight STRETCH FIT fabric upper for ideal fit. Slip on design with heel pull on loop. Extra padded heel for walking comfort. Nearly one piece breathable mesh upper. | MIDSOLE/CUSHION: 5GEN sole - proprietary lightweight injection-molded compound with memory retention helps absorb impact. OUTSOLE: Flexible rubber sole provides durability and stability | INSOLE: Air Cooled Goga Mat insole provides shock absorption and support. | MACHINE WASHABLE shoe design - wash on gentle cycle cold, hang to air dry. | details: Product Dimensions: 10.9 x 7.4 x 4.2 inches; 1.4 Pounds | Department: mens | Date First Available: September 1, 2019 | Manufacturer: Skechers | description: Get the maximum comfort and cushioning for athletic walking with the Skechers go walk max. Mesh fabric upper with cushioned, supportive sole design. Designed with Skechers performance technology and materials specifically for athletic walking. Goga max technology insole with high-rebound cushioning.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 Skechers is an award-winning global leader in lifestyle footwear offering shoes that appeal to trend-savvy men, women and kids everywhere. The brand's styles include the latest innovative athletic, casual and fashion sneakers as well as sandals and boots—with many collections featuring Skechers air-cooled memory foam insoles for added comfort. Plus, Skechers offers a range of slip-resistant work FOOTWEAR for men and women, as well as cool, fun, playful and lighted styles that boys and girls love. Always ahead of the fashion curve, Skechers has made its sport, casual and dress casual shoes essential to every closet.Consigue la máxima comodidad y amortiguación para caminar atlético con el Skechers GO WALK Max. Parte superior de tela de malla con diseño de suela acolchada. Diseñado con tecnología de rendimiento Skechers y materiales específicamente para caminar atlético. Plantilla de tecnología Goga Max con amortiguación de alto rebote. El éxito de la compañía se deriva de su línea de productos de alta calidad, diversificada y asequible que satisface las diversas necesidades de estilo de vida de los consumidores. Desde su creación en 1992, la oferta diversa de productos Skechers ha crecido desde botas de estilo utilitario para incluir siete marcas Skechers y cinco líneas de moda de marca única para hombres y mujeres. Skechers es un líder mundial galardonado en calzado de estilo</x:v>
      </x:c>
      <x:c r="D39" s="17" t="str">
        <x:f>"title: "&amp;'Target Products'!C39&amp;" | leaf_category: "&amp;'Target Products'!E39&amp;" | store: "&amp;'Target Products'!L39&amp;" | details: "&amp;'Target Products'!G39</x:f>
        <x:v>title: Skechers Men's Go Max-Athletic Air Mesh Slip on Walking Shoe Sneaker | leaf_category: Walking | store: Skechers | details: Product Dimensions: 10.9 x 7.4 x 4.2 inches; 1.4 Pounds | Department: mens | Date First Available: September 1, 2019 | Manufacturer: Skechers</x:v>
      </x:c>
      <x:c r="E39" s="17" t="str">
        <x:f>"scenario: "&amp;'Sessions'!B39&amp;" | current_message: "&amp;'Sessions'!M39&amp;" | profile_soft_tags: "&amp;'Sessions'!I39</x:f>
        <x:v>scenario: boundary | current_message: I'm looking for Athletic Walking, but I'm still exploring. | profile_soft_tags: material | performance | durability</x:v>
      </x:c>
      <x:c r="F39" s="17" t="str">
        <x:f>'Intent Cards'!D39&amp;IF('Intent Cards'!F39&lt;&gt;""," | "&amp;'Intent Cards'!F39,"")</x:f>
        <x:v>fabric | 100% Textile</x:v>
      </x:c>
      <x:c r="G39" s="17" t="str">
        <x:f>'Sessions'!I39</x:f>
        <x:v>material | performance | durability</x:v>
      </x:c>
      <x:c r="H39" s="77" t="n">
        <x:f>LEN(C39)</x:f>
        <x:v>3290</x:v>
      </x:c>
      <x:c r="I39" s="77" t="n">
        <x:f>IF(H39&gt;2400,3,IF(H39&gt;1200,2,1))</x:f>
        <x:v>3</x:v>
      </x:c>
      <x:c r="J39" s="17" t="str">
        <x:f>IF('Sessions'!B39="intent_override","Drop superseded values before query embedding",IF('Sessions'!B39="boundary","Do not invent a value for no-preference attributes","Keep profile tags soft; current message wins"))</x:f>
        <x:v>Do not invent a value for no-preference attributes</x:v>
      </x:c>
    </x:row>
    <x:row r="40" ht="72" customHeight="1">
      <x:c r="A40" t="str">
        <x:f>'Sessions'!A40</x:f>
        <x:v>public_0036</x:v>
      </x:c>
      <x:c r="B40" t="str">
        <x:f>'Target Products'!B40</x:f>
        <x:v>B08BWR1T58</x:v>
      </x:c>
      <x:c r="C40" s="17" t="str">
        <x:f>"title: "&amp;'Target Products'!C40&amp;" | categories: "&amp;'Target Products'!D40&amp;" | features: "&amp;'Target Products'!F40&amp;" | details: "&amp;'Target Products'!G40&amp;" | description: "&amp;'Target Products'!H40</x:f>
        <x:v>title: 47 Pairs Fashion Earrings for Women Girls, Boho Statement Tassel Rattan Leather Earrings Butterfly Acrylic Hoop Stud Drop Dangle Earrings Set, Hypoallergenic for Sensitive Ears | categories: Clothing, Shoes &amp; Jewelry | Women | Jewelry | Earrings | Drop &amp; Dangle | features: DAILY JEWELRY SET: 47 Pairs earrings in 1 collection Box, Various trendy styles, hoop earrings, drop earrings, dangle earrings,stud earrings, offer you many options to wear, Chic design bring you different visual experience, make you look more charming and elegant in the crowds. | FASHIONABLE EARRINGS BULK: Each pair of the earrings is carefully selected from the most popular earrings favored by customers.These fashion dangle earring set including butterfly,bear,boba milk tea pink,toilet paper,chic twist shape,3-Layer thread tassel dangles, pin chunky circle hoop and leaf earrings. You will always find a perfect pair for whether normal, casual, or daily occasions. | HYPOALLERGENIC and LIGHTWEIGHT: Surgical steel earrings needle ear studs,lead-free and Nickle-free, safe for your sensitive skin, stud earrings made of quality alloy or cubic zirconia, durable and lightweight,good workmanship ensures a smooth surface and good sheen, can serve for long time use. | What You Get: 3 pairs of tassel earrings, 5 pairs of Sliver boho hoop earrings, 5 pairs of Gold chunky earrings, 7 pairs of Funny earrings, 27 pairs of stud earrings, 1 Jewelry collection box for gifting. Best gifts for yourself, friends and your lover. As costume accessroy,these earrings bulk are enough stylish and cool, rich and colorful design make them easy to match with most party costumes and help you to easily create a unique and cute Elegant look! | 270-DAY WARRANTY: We provide the Bohemian women earrings set with 270-Day money back or exchange guarantee. If you do not satisfied with our product or simply just don't like it, please contact us, we will give you a replacement or full refund. | details: Package Dimensions: 5.5 x 4 x 1.79 inches | Department: womens | Date First Available: July 10, 2020 | Manufacturer: FIFATA | description: </x:v>
      </x:c>
      <x:c r="D40" s="17" t="str">
        <x:f>"title: "&amp;'Target Products'!C40&amp;" | leaf_category: "&amp;'Target Products'!E40&amp;" | store: "&amp;'Target Products'!L40&amp;" | details: "&amp;'Target Products'!G40</x:f>
        <x:v>title: 47 Pairs Fashion Earrings for Women Girls, Boho Statement Tassel Rattan Leather Earrings Butterfly Acrylic Hoop Stud Drop Dangle Earrings Set, Hypoallergenic for Sensitive Ears | leaf_category: Drop &amp; Dangle | store: FIFATA | details: Package Dimensions: 5.5 x 4 x 1.79 inches | Department: womens | Date First Available: July 10, 2020 | Manufacturer: FIFATA</x:v>
      </x:c>
      <x:c r="E40" s="17" t="str">
        <x:f>"scenario: "&amp;'Sessions'!B40&amp;" | current_message: "&amp;'Sessions'!M40&amp;" | profile_soft_tags: "&amp;'Sessions'!I40</x:f>
        <x:v>scenario: browsing | current_message: I'm looking for Earrings Drop &amp; Dangle, but I'm still exploring. | profile_soft_tags: material | fit</x:v>
      </x:c>
      <x:c r="F40" s="17" t="str">
        <x:f>'Intent Cards'!D40&amp;IF('Intent Cards'!F40&lt;&gt;""," | "&amp;'Intent Cards'!F40,"")</x:f>
        <x:v>leather | color: pink</x:v>
      </x:c>
      <x:c r="G40" s="17" t="str">
        <x:f>'Sessions'!I40</x:f>
        <x:v>material | fit</x:v>
      </x:c>
      <x:c r="H40" s="77" t="n">
        <x:f>LEN(C40)</x:f>
        <x:v>2111</x:v>
      </x:c>
      <x:c r="I40" s="77" t="n">
        <x:f>IF(H40&gt;2400,3,IF(H40&gt;1200,2,1))</x:f>
        <x:v>2</x:v>
      </x:c>
      <x:c r="J40" s="17" t="str">
        <x:f>IF('Sessions'!B40="intent_override","Drop superseded values before query embedding",IF('Sessions'!B40="boundary","Do not invent a value for no-preference attributes","Keep profile tags soft; current message wins"))</x:f>
        <x:v>Keep profile tags soft; current message wins</x:v>
      </x:c>
    </x:row>
    <x:row r="41" ht="72" customHeight="1">
      <x:c r="A41" t="str">
        <x:f>'Sessions'!A41</x:f>
        <x:v>public_0037</x:v>
      </x:c>
      <x:c r="B41" t="str">
        <x:f>'Target Products'!B41</x:f>
        <x:v>B08KKBBMMD</x:v>
      </x:c>
      <x:c r="C41" s="17" t="str">
        <x:f>"title: "&amp;'Target Products'!C41&amp;" | categories: "&amp;'Target Products'!D41&amp;" | features: "&amp;'Target Products'!F41&amp;" | details: "&amp;'Target Products'!G41&amp;" | description: "&amp;'Target Products'!H41</x:f>
        <x:v>title: The Children's Place Boys' Pull on Cargo Pants | categories: Clothing, Shoes &amp; Jewelry | Boys | Clothing | Pants | features: Imported | Pull On closure | Machine Wash | Made of 100% Cotton | This closet essential comes in specially treated cotton for a soft feel that's stonewashed for an abraded look | Styled with an elastic pull-on waist and inner adjustable waist tabs; plus side slant, cargo flap and back welt pockets | A great pick for everyday wear, these chinos can pair with polos and graphic tees alike | The Children's Place offers value-priced clothes and apparel that are fun and easy to put together | They'll love this style…you'll love this place | details: Department: Boys | Date First Available: May 10, 2023 | Manufacturer: The Children's Place Children's Apparel | description: We've updated this classic style with a skinnier fit he'll love.</x:v>
      </x:c>
      <x:c r="D41" s="17" t="str">
        <x:f>"title: "&amp;'Target Products'!C41&amp;" | leaf_category: "&amp;'Target Products'!E41&amp;" | store: "&amp;'Target Products'!L41&amp;" | details: "&amp;'Target Products'!G41</x:f>
        <x:v>title: The Children's Place Boys' Pull on Cargo Pants | leaf_category: Pants | store: The Children's Place | details: Department: Boys | Date First Available: May 10, 2023 | Manufacturer: The Children's Place Children's Apparel</x:v>
      </x:c>
      <x:c r="E41" s="17" t="str">
        <x:f>"scenario: "&amp;'Sessions'!B41&amp;" | current_message: "&amp;'Sessions'!M41&amp;" | profile_soft_tags: "&amp;'Sessions'!I41</x:f>
        <x:v>scenario: browsing | current_message: I'm looking for Boys Pants, but I'm still exploring. | profile_soft_tags: material | fit</x:v>
      </x:c>
      <x:c r="F41" s="17" t="str">
        <x:f>'Intent Cards'!D41&amp;IF('Intent Cards'!F41&lt;&gt;""," | "&amp;'Intent Cards'!F41,"")</x:f>
        <x:v>cotton | Imported</x:v>
      </x:c>
      <x:c r="G41" s="17" t="str">
        <x:f>'Sessions'!I41</x:f>
        <x:v>material | fit</x:v>
      </x:c>
      <x:c r="H41" s="77" t="n">
        <x:f>LEN(C41)</x:f>
        <x:v>871</x:v>
      </x:c>
      <x:c r="I41" s="77" t="n">
        <x:f>IF(H41&gt;2400,3,IF(H41&gt;1200,2,1))</x:f>
        <x:v>1</x:v>
      </x:c>
      <x:c r="J41" s="17" t="str">
        <x:f>IF('Sessions'!B41="intent_override","Drop superseded values before query embedding",IF('Sessions'!B41="boundary","Do not invent a value for no-preference attributes","Keep profile tags soft; current message wins"))</x:f>
        <x:v>Keep profile tags soft; current message wins</x:v>
      </x:c>
    </x:row>
    <x:row r="42" ht="72" customHeight="1">
      <x:c r="A42" t="str">
        <x:f>'Sessions'!A42</x:f>
        <x:v>public_0038</x:v>
      </x:c>
      <x:c r="B42" t="str">
        <x:f>'Target Products'!B42</x:f>
        <x:v>B07B5RGY2N</x:v>
      </x:c>
      <x:c r="C42" s="17" t="str">
        <x:f>"title: "&amp;'Target Products'!C42&amp;" | categories: "&amp;'Target Products'!D42&amp;" | features: "&amp;'Target Products'!F42&amp;" | details: "&amp;'Target Products'!G42&amp;" | description: "&amp;'Target Products'!H42</x:f>
        <x:v>title: Blowfish Malibu Women's Fruit Sneaker | categories: Clothing, Shoes &amp; Jewelry | Women | Shoes | Fashion Sneakers | features: Textile | Made in the USA or Imported | Synthetic sole | Lace Slip On Sneaker | Blanket Stich on back heel | details: Is Discontinued By Manufacturer: No | Product Dimensions: 10 x 15 x 6 inches; 2 Pounds | Item model number: ZS-0269 | Department: Womens | Date First Available: April 26, 2018 | Manufacturer: Blowfish Malibu | description: Blowfish Malibu Women's Fruit Sneaker is a Lace Slip on sneaker with multiple colors available</x:v>
      </x:c>
      <x:c r="D42" s="17" t="str">
        <x:f>"title: "&amp;'Target Products'!C42&amp;" | leaf_category: "&amp;'Target Products'!E42&amp;" | store: "&amp;'Target Products'!L42&amp;" | details: "&amp;'Target Products'!G42</x:f>
        <x:v>title: Blowfish Malibu Women's Fruit Sneaker | leaf_category: Fashion Sneakers | store: Blowfish Malibu | details: Is Discontinued By Manufacturer: No | Product Dimensions: 10 x 15 x 6 inches; 2 Pounds | Item model number: ZS-0269 | Department: Womens | Date First Available: April 26, 2018 | Manufacturer: Blowfish Malibu</x:v>
      </x:c>
      <x:c r="E42" s="17" t="str">
        <x:f>"scenario: "&amp;'Sessions'!B42&amp;" | current_message: "&amp;'Sessions'!M42&amp;" | profile_soft_tags: "&amp;'Sessions'!I42</x:f>
        <x:v>scenario: intent_override | current_message: I'm looking for Shoes Fashion Sneakers. Lace Slip On Sneaker | profile_soft_tags: style | fit | material | comfort</x:v>
      </x:c>
      <x:c r="F42" s="17" t="str">
        <x:f>'Intent Cards'!D42&amp;IF('Intent Cards'!F42&lt;&gt;""," | "&amp;'Intent Cards'!F42,"")</x:f>
        <x:v>Textile | Made in the USA or Imported</x:v>
      </x:c>
      <x:c r="G42" s="17" t="str">
        <x:f>'Sessions'!I42</x:f>
        <x:v>style | fit | material | comfort</x:v>
      </x:c>
      <x:c r="H42" s="77" t="n">
        <x:f>LEN(C42)</x:f>
        <x:v>567</x:v>
      </x:c>
      <x:c r="I42" s="77" t="n">
        <x:f>IF(H42&gt;2400,3,IF(H42&gt;1200,2,1))</x:f>
        <x:v>1</x:v>
      </x:c>
      <x:c r="J42" s="17" t="str">
        <x:f>IF('Sessions'!B42="intent_override","Drop superseded values before query embedding",IF('Sessions'!B42="boundary","Do not invent a value for no-preference attributes","Keep profile tags soft; current message wins"))</x:f>
        <x:v>Drop superseded values before query embedding</x:v>
      </x:c>
    </x:row>
    <x:row r="43" ht="72" customHeight="1">
      <x:c r="A43" t="str">
        <x:f>'Sessions'!A43</x:f>
        <x:v>public_0039</x:v>
      </x:c>
      <x:c r="B43" t="str">
        <x:f>'Target Products'!B43</x:f>
        <x:v>B07TZCJW9X</x:v>
      </x:c>
      <x:c r="C43" s="17" t="str">
        <x:f>"title: "&amp;'Target Products'!C43&amp;" | categories: "&amp;'Target Products'!D43&amp;" | features: "&amp;'Target Products'!F43&amp;" | details: "&amp;'Target Products'!G43&amp;" | description: "&amp;'Target Products'!H43</x:f>
        <x:v>title: Women's Pro Series Cycling Short Sleeve Jersey, Cargo Bib Shorts, or Kit Bundle | categories: Clothing, Shoes &amp; Jewelry | Sport Specific Clothing | Cycling | Women | Jerseys | features: 80% Polyester, 20% Spandex | Zipper closure | Hand Wash Only | WOMEN PRO SERIES, LIMITED EDITION - Sublimated graphics from top to bottom for one-piece look and design. | ITALIAN FABRIC, HAND CRAFTED - Breathable fabric wicks quickly away moisture and keep you dry and Italian 3D Gel padding provides great comfort for longer rides. | Thigh and back reflectors made from high visibility taping have been added for dusk and night riding. | Urban printed elasticated grippers to stop top both jersey and shorts from riding up | Full length zip, three back pockets for storing small items, plus THIGH cargo / phone pockets on bib shorts. | details: Department: womens | Date First Available: July 7, 2019 | description: </x:v>
      </x:c>
      <x:c r="D43" s="17" t="str">
        <x:f>"title: "&amp;'Target Products'!C43&amp;" | leaf_category: "&amp;'Target Products'!E43&amp;" | store: "&amp;'Target Products'!L43&amp;" | details: "&amp;'Target Products'!G43</x:f>
        <x:v>title: Women's Pro Series Cycling Short Sleeve Jersey, Cargo Bib Shorts, or Kit Bundle | leaf_category: Jerseys | store: Urban Cycling Apparel | details: Department: womens | Date First Available: July 7, 2019</x:v>
      </x:c>
      <x:c r="E43" s="17" t="str">
        <x:f>"scenario: "&amp;'Sessions'!B43&amp;" | current_message: "&amp;'Sessions'!M43&amp;" | profile_soft_tags: "&amp;'Sessions'!I43</x:f>
        <x:v>scenario: browsing | current_message: I'm looking for Women Jerseys, but I'm still exploring. | profile_soft_tags: comfort | performance | durability | style</x:v>
      </x:c>
      <x:c r="F43" s="17" t="str">
        <x:f>'Intent Cards'!D43&amp;IF('Intent Cards'!F43&lt;&gt;""," | "&amp;'Intent Cards'!F43,"")</x:f>
        <x:v>polyester | 80% Polyester, 20% Spandex</x:v>
      </x:c>
      <x:c r="G43" s="17" t="str">
        <x:f>'Sessions'!I43</x:f>
        <x:v>comfort | performance | durability | style</x:v>
      </x:c>
      <x:c r="H43" s="77" t="n">
        <x:f>LEN(C43)</x:f>
        <x:v>910</x:v>
      </x:c>
      <x:c r="I43" s="77" t="n">
        <x:f>IF(H43&gt;2400,3,IF(H43&gt;1200,2,1))</x:f>
        <x:v>1</x:v>
      </x:c>
      <x:c r="J43" s="17" t="str">
        <x:f>IF('Sessions'!B43="intent_override","Drop superseded values before query embedding",IF('Sessions'!B43="boundary","Do not invent a value for no-preference attributes","Keep profile tags soft; current message wins"))</x:f>
        <x:v>Keep profile tags soft; current message wins</x:v>
      </x:c>
    </x:row>
    <x:row r="44" ht="72" customHeight="1">
      <x:c r="A44" t="str">
        <x:f>'Sessions'!A44</x:f>
        <x:v>public_0040</x:v>
      </x:c>
      <x:c r="B44" t="str">
        <x:f>'Target Products'!B44</x:f>
        <x:v>B08ZJWTCDR</x:v>
      </x:c>
      <x:c r="C44" s="17" t="str">
        <x:f>"title: "&amp;'Target Products'!C44&amp;" | categories: "&amp;'Target Products'!D44&amp;" | features: "&amp;'Target Products'!F44&amp;" | details: "&amp;'Target Products'!G44&amp;" | description: "&amp;'Target Products'!H44</x:f>
        <x:v>title: Champion Men's Joggers, Everyday Joggers, Lightweight, Comfortable Joggers for Men, 31" | categories: Clothing, Shoes &amp; Jewelry | Men | Clothing | Active | Active Pants | Sweatpants | features: 100% Cotton | Imported | Drawstring closure | THE FIT - Standard-fit men's joggers with a 31" inseam. | THE FEEL - Soft, 6.1 oz. cotton blend feels great on the skin. | ADDED COMFORT - Elastic waistband and internal drawcord provide a custom fit. | POCKETS - Two side pockets store the essentials. | YOU'VE GOT OPTIONS - From basic colors to black joggers for men. | SPOT THE C - Iconic C logo hits at the hip of these men's joggers. | EASY CARE - Machine wash these joggers for men with cold water and like colors for easy care that reduces energy use. | details: Product Dimensions: 8.2 x 12.2 x 1.2 inches; 6.1 Ounces | Item model number: P7308 | Department: Mens | Date First Available: April 11, 2018 | Manufacturer: Champion | description: THE CLASSIC SPORT LOOK YOU LOVE. Are you looking for a comfortable pair of men’s joggers that will work with your routine and schedule? The Everyday Cotton Joggers for men offer classic, lightweight style, are made for round wear, and are a must-have addition to your closet. These comfortable men’s joggers feature a classic tapered leg with ribbed cuffs, adjustable elastic waistband, and side pockets for all your essentials. Our feel-good, wear-anytime joggers are perfect for matching with your favorite tee or jacket for a casual, easy-going look. The iconic C logo patch hits at the hit and reps your true brand pride.</x:v>
      </x:c>
      <x:c r="D44" s="17" t="str">
        <x:f>"title: "&amp;'Target Products'!C44&amp;" | leaf_category: "&amp;'Target Products'!E44&amp;" | store: "&amp;'Target Products'!L44&amp;" | details: "&amp;'Target Products'!G44</x:f>
        <x:v>title: Champion Men's Joggers, Everyday Joggers, Lightweight, Comfortable Joggers for Men, 31" | leaf_category: Sweatpants | store: Champion | details: Product Dimensions: 8.2 x 12.2 x 1.2 inches; 6.1 Ounces | Item model number: P7308 | Department: Mens | Date First Available: April 11, 2018 | Manufacturer: Champion</x:v>
      </x:c>
      <x:c r="E44" s="17" t="str">
        <x:f>"scenario: "&amp;'Sessions'!B44&amp;" | current_message: "&amp;'Sessions'!M44&amp;" | profile_soft_tags: "&amp;'Sessions'!I44</x:f>
        <x:v>scenario: browsing | current_message: I'm looking for Active Pants Sweatpants, but I'm still exploring. | profile_soft_tags: material | comfort | fit | style</x:v>
      </x:c>
      <x:c r="F44" s="17" t="str">
        <x:f>'Intent Cards'!D44&amp;IF('Intent Cards'!F44&lt;&gt;""," | "&amp;'Intent Cards'!F44,"")</x:f>
        <x:v>cotton | color: black</x:v>
      </x:c>
      <x:c r="G44" s="17" t="str">
        <x:f>'Sessions'!I44</x:f>
        <x:v>material | comfort | fit | style</x:v>
      </x:c>
      <x:c r="H44" s="77" t="n">
        <x:f>LEN(C44)</x:f>
        <x:v>1572</x:v>
      </x:c>
      <x:c r="I44" s="77" t="n">
        <x:f>IF(H44&gt;2400,3,IF(H44&gt;1200,2,1))</x:f>
        <x:v>2</x:v>
      </x:c>
      <x:c r="J44" s="17" t="str">
        <x:f>IF('Sessions'!B44="intent_override","Drop superseded values before query embedding",IF('Sessions'!B44="boundary","Do not invent a value for no-preference attributes","Keep profile tags soft; current message wins"))</x:f>
        <x:v>Keep profile tags soft; current message wins</x:v>
      </x:c>
    </x:row>
    <x:row r="45" ht="72" customHeight="1">
      <x:c r="A45" t="str">
        <x:f>'Sessions'!A45</x:f>
        <x:v>public_0041</x:v>
      </x:c>
      <x:c r="B45" t="str">
        <x:f>'Target Products'!B45</x:f>
        <x:v>B09MSY8926</x:v>
      </x:c>
      <x:c r="C45" s="17" t="str">
        <x:f>"title: "&amp;'Target Products'!C45&amp;" | categories: "&amp;'Target Products'!D45&amp;" | features: "&amp;'Target Products'!F45&amp;" | details: "&amp;'Target Products'!G45&amp;" | description: "&amp;'Target Products'!H45</x:f>
        <x:v>title: LETDIOSTO Women's Plus Size Tops Casual Blouse Short Sleeve Lace Tunic Tops Fit Flare, M-4XL | categories: Clothing, Shoes &amp; Jewelry | Women | Clothing | Tops, Tees &amp; Blouses | Tunics | features: 3X women tops care: Hand wash or machine wash in gentle; Hang to dry; No ironing; No shrinkage; | 进口 | Pull On closure | Hand Wash Only | 3X women tops care: Hand wash or machine wash in gentle; Hang to dry; No ironing; No shrinkage; | Women summer tops: 3XL plus size tunics has enough length with pleats to hide the belly perfectly; | Material: This basic plus tunics top is made of 95% polyester, 5% spandex, soft, comfortable, stretchy, light-weight; | With its pleats and flowy design, this plus size shirts for women shows you in better shape; | Casual loose fit 3XL tunics comes with various colors in plain and floral printed for your choices; | details: Department: Womens | Date First Available: June 1, 2021 | description: </x:v>
      </x:c>
      <x:c r="D45" s="17" t="str">
        <x:f>"title: "&amp;'Target Products'!C45&amp;" | leaf_category: "&amp;'Target Products'!E45&amp;" | store: "&amp;'Target Products'!L45&amp;" | details: "&amp;'Target Products'!G45</x:f>
        <x:v>title: LETDIOSTO Women's Plus Size Tops Casual Blouse Short Sleeve Lace Tunic Tops Fit Flare, M-4XL | leaf_category: Tunics | store: LETDIOSTO | details: Department: Womens | Date First Available: June 1, 2021</x:v>
      </x:c>
      <x:c r="E45" s="17" t="str">
        <x:f>"scenario: "&amp;'Sessions'!B45&amp;" | current_message: "&amp;'Sessions'!M45&amp;" | profile_soft_tags: "&amp;'Sessions'!I45</x:f>
        <x:v>scenario: boundary | current_message: I'm looking for Tees &amp; Blouses Tunics, but I'm still exploring. | profile_soft_tags: fit | material | comfort | style</x:v>
      </x:c>
      <x:c r="F45" s="17" t="str">
        <x:f>'Intent Cards'!D45&amp;IF('Intent Cards'!F45&lt;&gt;""," | "&amp;'Intent Cards'!F45,"")</x:f>
        <x:v>polyester | 3X women tops care: Hand wash or machine wash in gentle; Hang to dry; No ironing; No shrinkage</x:v>
      </x:c>
      <x:c r="G45" s="17" t="str">
        <x:f>'Sessions'!I45</x:f>
        <x:v>fit | material | comfort | style</x:v>
      </x:c>
      <x:c r="H45" s="77" t="n">
        <x:f>LEN(C45)</x:f>
        <x:v>937</x:v>
      </x:c>
      <x:c r="I45" s="77" t="n">
        <x:f>IF(H45&gt;2400,3,IF(H45&gt;1200,2,1))</x:f>
        <x:v>1</x:v>
      </x:c>
      <x:c r="J45" s="17" t="str">
        <x:f>IF('Sessions'!B45="intent_override","Drop superseded values before query embedding",IF('Sessions'!B45="boundary","Do not invent a value for no-preference attributes","Keep profile tags soft; current message wins"))</x:f>
        <x:v>Do not invent a value for no-preference attributes</x:v>
      </x:c>
    </x:row>
    <x:row r="46" ht="72" customHeight="1">
      <x:c r="A46" t="str">
        <x:f>'Sessions'!A46</x:f>
        <x:v>public_0042</x:v>
      </x:c>
      <x:c r="B46" t="str">
        <x:f>'Target Products'!B46</x:f>
        <x:v>B01LWOGORL</x:v>
      </x:c>
      <x:c r="C46" s="17" t="str">
        <x:f>"title: "&amp;'Target Products'!C46&amp;" | categories: "&amp;'Target Products'!D46&amp;" | features: "&amp;'Target Products'!F46&amp;" | details: "&amp;'Target Products'!G46&amp;" | description: "&amp;'Target Products'!H46</x:f>
        <x:v>title: Timex Men's Classic Digital Watch | categories: Clothing, Shoes &amp; Jewelry | Men | Watches | Wrist Watches | features: Imported | Gold-tone 18mm stainless steel expansion band fits up to 8-inch wrist circumference | 100-hour chronograph with lap &amp; split times; month, day &amp; date calendar | Alarm; 24-hour military time mode; 2 time zones | Gold-tone 34mm resin case with acrylic lens; green digital display; Indiglo light-up watch dial | Water resistant to 30m (100ft): in general, withstands splashes or brief immersion in water, but not suitable for swimming or bathing | details: Is Discontinued By Manufacturer: No | Product Dimensions: 8 x 1.34 x 0.39 inches; 1.6 Ounces | Item model number: T78677 | Department: Men | Batteries: 1 Lithium Metal batteries required. (included) | Date First Available: November 12, 2003 | Manufacturer: Timex | Country of Origin: Philippines | description: The refined 80s retro style of the Classic Digital Dress Stainless Steel Expansion Band Watch gives your wardrobe a refreshingly sophisticated twist.</x:v>
      </x:c>
      <x:c r="D46" s="17" t="str">
        <x:f>"title: "&amp;'Target Products'!C46&amp;" | leaf_category: "&amp;'Target Products'!E46&amp;" | store: "&amp;'Target Products'!L46&amp;" | details: "&amp;'Target Products'!G46</x:f>
        <x:v>title: Timex Men's Classic Digital Watch | leaf_category: Wrist Watches | store: Timex | details: Is Discontinued By Manufacturer: No | Product Dimensions: 8 x 1.34 x 0.39 inches; 1.6 Ounces | Item model number: T78677 | Department: Men | Batteries: 1 Lithium Metal batteries required. (included) | Date First Available: November 12, 2003 | Manufacturer: Timex | Country of Origin: Philippines</x:v>
      </x:c>
      <x:c r="E46" s="17" t="str">
        <x:f>"scenario: "&amp;'Sessions'!B46&amp;" | current_message: "&amp;'Sessions'!M46&amp;" | profile_soft_tags: "&amp;'Sessions'!I46</x:f>
        <x:v>scenario: buying | current_message: I'm looking for Watches Wrist Watches. A key requirement is: Imported. | profile_soft_tags: fit | material | performance | style</x:v>
      </x:c>
      <x:c r="F46" s="17" t="str">
        <x:f>'Intent Cards'!D46&amp;IF('Intent Cards'!F46&lt;&gt;""," | "&amp;'Intent Cards'!F46,"")</x:f>
        <x:v>Imported | color: green</x:v>
      </x:c>
      <x:c r="G46" s="17" t="str">
        <x:f>'Sessions'!I46</x:f>
        <x:v>fit | material | performance | style</x:v>
      </x:c>
      <x:c r="H46" s="77" t="n">
        <x:f>LEN(C46)</x:f>
        <x:v>1049</x:v>
      </x:c>
      <x:c r="I46" s="77" t="n">
        <x:f>IF(H46&gt;2400,3,IF(H46&gt;1200,2,1))</x:f>
        <x:v>1</x:v>
      </x:c>
      <x:c r="J46" s="17" t="str">
        <x:f>IF('Sessions'!B46="intent_override","Drop superseded values before query embedding",IF('Sessions'!B46="boundary","Do not invent a value for no-preference attributes","Keep profile tags soft; current message wins"))</x:f>
        <x:v>Keep profile tags soft; current message wins</x:v>
      </x:c>
    </x:row>
    <x:row r="47" ht="72" customHeight="1">
      <x:c r="A47" t="str">
        <x:f>'Sessions'!A47</x:f>
        <x:v>public_0043</x:v>
      </x:c>
      <x:c r="B47" t="str">
        <x:f>'Target Products'!B47</x:f>
        <x:v>B0C1KNGLPX</x:v>
      </x:c>
      <x:c r="C47" s="17" t="str">
        <x:f>"title: "&amp;'Target Products'!C47&amp;" | categories: "&amp;'Target Products'!D47&amp;" | features: "&amp;'Target Products'!F47&amp;" | details: "&amp;'Target Products'!G47&amp;" | description: "&amp;'Target Products'!H47</x:f>
        <x:v>title: Levi's Women's Classic Bootcut Jeans | categories: Clothing, Shoes &amp; Jewelry | Women | Clothing | Jeans | features: 60% Cotton, 23% Viscose, 16% Polyester, 1% Elastane | Imported | Zipper closure | Machine Wash | Mid Rise Women's Boot cut Jeans: Sits at Waist | Easy through hip and thigh | Women's Stretch Boot cut Pants Sizing, Inseam: 30"" (Short); 32"" (Medium); 34"" (Long) | Front Rise: 9 1/2"; Back Rise: 15 7/8"; Leg Opening: 18" | The model in the image is 5' 8" and is wearing 27 x M=32. | details: Item model number: 23649-0029 | Department: womens | Date First Available: June 19, 2019 | Manufacturer: Levi's | description: Levi's® Women's Size Guide Slip into style that takes you back, the Levi's® Womens Classic Bootcut jeans. Made with Water&lt;Less® technology. Leather brand patch at the back waist. Woven flag patch set at the back right pocket. Mid-rise, mid stretch denim. Five-pocket design. Belt-loop waistband. Zip fly and button closure. 79% cotton, 19% polyester, 2% elastane. Machine wash cold inside out and tumble dry. Imported. Measurements: Waist Measurement: 28 in Outseam: 40 in Inseam: 31 in Front Rise: 9 in Back Rise: 12 in Leg Opening: 18 in Product measurements were taken using size 2 (26), inseam M. Please note that measurements may vary by size.</x:v>
      </x:c>
      <x:c r="D47" s="17" t="str">
        <x:f>"title: "&amp;'Target Products'!C47&amp;" | leaf_category: "&amp;'Target Products'!E47&amp;" | store: "&amp;'Target Products'!L47&amp;" | details: "&amp;'Target Products'!G47</x:f>
        <x:v>title: Levi's Women's Classic Bootcut Jeans | leaf_category: Jeans | store: Levi's | details: Item model number: 23649-0029 | Department: womens | Date First Available: June 19, 2019 | Manufacturer: Levi's</x:v>
      </x:c>
      <x:c r="E47" s="17" t="str">
        <x:f>"scenario: "&amp;'Sessions'!B47&amp;" | current_message: "&amp;'Sessions'!M47&amp;" | profile_soft_tags: "&amp;'Sessions'!I47</x:f>
        <x:v>scenario: browsing | current_message: I'm looking for Women Jeans, but I'm still exploring. | profile_soft_tags: style | fit | material | comfort</x:v>
      </x:c>
      <x:c r="F47" s="17" t="str">
        <x:f>'Intent Cards'!D47&amp;IF('Intent Cards'!F47&lt;&gt;""," | "&amp;'Intent Cards'!F47,"")</x:f>
        <x:v>cotton | 60% Cotton, 23% Viscose, 16% Polyester, 1% Elastane</x:v>
      </x:c>
      <x:c r="G47" s="17" t="str">
        <x:f>'Sessions'!I47</x:f>
        <x:v>style | fit | material | comfort</x:v>
      </x:c>
      <x:c r="H47" s="77" t="n">
        <x:f>LEN(C47)</x:f>
        <x:v>1291</x:v>
      </x:c>
      <x:c r="I47" s="77" t="n">
        <x:f>IF(H47&gt;2400,3,IF(H47&gt;1200,2,1))</x:f>
        <x:v>2</x:v>
      </x:c>
      <x:c r="J47" s="17" t="str">
        <x:f>IF('Sessions'!B47="intent_override","Drop superseded values before query embedding",IF('Sessions'!B47="boundary","Do not invent a value for no-preference attributes","Keep profile tags soft; current message wins"))</x:f>
        <x:v>Keep profile tags soft; current message wins</x:v>
      </x:c>
    </x:row>
    <x:row r="48" ht="72" customHeight="1">
      <x:c r="A48" t="str">
        <x:f>'Sessions'!A48</x:f>
        <x:v>public_0044</x:v>
      </x:c>
      <x:c r="B48" t="str">
        <x:f>'Target Products'!B48</x:f>
        <x:v>B09BQ4G5BD</x:v>
      </x:c>
      <x:c r="C48" s="17" t="str">
        <x:f>"title: "&amp;'Target Products'!C48&amp;" | categories: "&amp;'Target Products'!D48&amp;" | features: "&amp;'Target Products'!F48&amp;" | details: "&amp;'Target Products'!G48&amp;" | description: "&amp;'Target Products'!H48</x:f>
        <x:v>title: K898 Men's Square Leg Swimming Jammer Shorts UPF50+,Men Swimsuit Swim Jammers Fabric Shape Retention | categories: Clothing, Shoes &amp; Jewelry | Sport Specific Clothing | Competitive Swimwear | Men | Jammers | features: Polyester,Spandex | Rope closure | 【100% chlorine-resistant durable】KGKE mens swimming jammer swimsuit have 4-Level chlorine resistant fabric,worth to prevent chaffing and fadding.FBT fabrics keep shape retention after many times wearing | 【UV Sun Protection】Square leg short-swims with UPF50+ materials protect skin from the sun's damaging rays | 【Quick-dry Soft Lightweight】 82% Polyester 18% Spandex swimming square jammers made it quick dry, soft. 4-way stretch square-leg design with flat seams for more comfortable | 【Occasions for Swim Shorts】Perfect for swimming team train,pool swim race,sea water playing,summer men swim wear.Go and Enjoy Summer Swim Water | 【Waist Rope to Fit】Waist rope for adjusting your best fit,swim materials for compression swimming demands | details: Department: mens | Date First Available: August 3, 2021 | description: </x:v>
      </x:c>
      <x:c r="D48" s="17" t="str">
        <x:f>"title: "&amp;'Target Products'!C48&amp;" | leaf_category: "&amp;'Target Products'!E48&amp;" | store: "&amp;'Target Products'!L48&amp;" | details: "&amp;'Target Products'!G48</x:f>
        <x:v>title: K898 Men's Square Leg Swimming Jammer Shorts UPF50+,Men Swimsuit Swim Jammers Fabric Shape Retention | leaf_category: Jammers | store: K898 | details: Department: mens | Date First Available: August 3, 2021</x:v>
      </x:c>
      <x:c r="E48" s="17" t="str">
        <x:f>"scenario: "&amp;'Sessions'!B48&amp;" | current_message: "&amp;'Sessions'!M48&amp;" | profile_soft_tags: "&amp;'Sessions'!I48</x:f>
        <x:v>scenario: buying | current_message: I'm looking for Men Jammers. A key requirement is: fabric. | profile_soft_tags: style | comfort | fit</x:v>
      </x:c>
      <x:c r="F48" s="17" t="str">
        <x:f>'Intent Cards'!D48&amp;IF('Intent Cards'!F48&lt;&gt;""," | "&amp;'Intent Cards'!F48,"")</x:f>
        <x:v>fabric | Polyester,Spandex</x:v>
      </x:c>
      <x:c r="G48" s="17" t="str">
        <x:f>'Sessions'!I48</x:f>
        <x:v>style | comfort | fit</x:v>
      </x:c>
      <x:c r="H48" s="77" t="n">
        <x:f>LEN(C48)</x:f>
        <x:v>1082</x:v>
      </x:c>
      <x:c r="I48" s="77" t="n">
        <x:f>IF(H48&gt;2400,3,IF(H48&gt;1200,2,1))</x:f>
        <x:v>1</x:v>
      </x:c>
      <x:c r="J48" s="17" t="str">
        <x:f>IF('Sessions'!B48="intent_override","Drop superseded values before query embedding",IF('Sessions'!B48="boundary","Do not invent a value for no-preference attributes","Keep profile tags soft; current message wins"))</x:f>
        <x:v>Keep profile tags soft; current message wins</x:v>
      </x:c>
    </x:row>
    <x:row r="49" ht="72" customHeight="1">
      <x:c r="A49" t="str">
        <x:f>'Sessions'!A49</x:f>
        <x:v>public_0045</x:v>
      </x:c>
      <x:c r="B49" t="str">
        <x:f>'Target Products'!B49</x:f>
        <x:v>B07Z8NTWVV</x:v>
      </x:c>
      <x:c r="C49" s="17" t="str">
        <x:f>"title: "&amp;'Target Products'!C49&amp;" | categories: "&amp;'Target Products'!D49&amp;" | features: "&amp;'Target Products'!F49&amp;" | details: "&amp;'Target Products'!G49&amp;" | description: "&amp;'Target Products'!H49</x:f>
        <x:v>title: HOCOSIT Women's Floral Print Short Ruffle Sleeve Pleated Front V Neck Button Tunic Tops | categories: Clothing, Shoes &amp; Jewelry | Women | Clothing | Tops, Tees &amp; Blouses | Tunics | features: 95% Polyester, 5% Spandex | Imported | Button closure | Hand Wash Only | Features:Elegant ruffle sleeve, V-neck design, Popular floarl print, Short sleeve, Cute pleated front, Decorative buttons. | Material:95%Polyester,5%Spandex | Applicable occasions: high-quality fabrics, soft and comfortable when worn, the stylish appearance will give you a lot of appreciation. It is a must-have for pants, life, work, school, and party. | Size selection: Please select the size chart in the picture provided by HOCOSIT. Please do not follow the US standard size chart. | Precautions:HAND WASH IN COLD WATER / DO NOT BLEACH / LAY FLAT TO DRY / DRY CLEAN IF NEEDED | details: Product Dimensions: 3.94 x 3.15 x 0.35 inches | Department: Womens | Date First Available: October 17, 2019 | description: </x:v>
      </x:c>
      <x:c r="D49" s="17" t="str">
        <x:f>"title: "&amp;'Target Products'!C49&amp;" | leaf_category: "&amp;'Target Products'!E49&amp;" | store: "&amp;'Target Products'!L49&amp;" | details: "&amp;'Target Products'!G49</x:f>
        <x:v>title: HOCOSIT Women's Floral Print Short Ruffle Sleeve Pleated Front V Neck Button Tunic Tops | leaf_category: Tunics | store: HOCOSIT | details: Product Dimensions: 3.94 x 3.15 x 0.35 inches | Department: Womens | Date First Available: October 17, 2019</x:v>
      </x:c>
      <x:c r="E49" s="17" t="str">
        <x:f>"scenario: "&amp;'Sessions'!B49&amp;" | current_message: "&amp;'Sessions'!M49&amp;" | profile_soft_tags: "&amp;'Sessions'!I49</x:f>
        <x:v>scenario: buying | current_message: I'm looking for Tees &amp; Blouses Tunics. A key requirement is: polyester. | profile_soft_tags: material | fit</x:v>
      </x:c>
      <x:c r="F49" s="17" t="str">
        <x:f>'Intent Cards'!D49&amp;IF('Intent Cards'!F49&lt;&gt;""," | "&amp;'Intent Cards'!F49,"")</x:f>
        <x:v>polyester | 95% Polyester, 5% Spandex</x:v>
      </x:c>
      <x:c r="G49" s="17" t="str">
        <x:f>'Sessions'!I49</x:f>
        <x:v>material | fit</x:v>
      </x:c>
      <x:c r="H49" s="77" t="n">
        <x:f>LEN(C49)</x:f>
        <x:v>986</x:v>
      </x:c>
      <x:c r="I49" s="77" t="n">
        <x:f>IF(H49&gt;2400,3,IF(H49&gt;1200,2,1))</x:f>
        <x:v>1</x:v>
      </x:c>
      <x:c r="J49" s="17" t="str">
        <x:f>IF('Sessions'!B49="intent_override","Drop superseded values before query embedding",IF('Sessions'!B49="boundary","Do not invent a value for no-preference attributes","Keep profile tags soft; current message wins"))</x:f>
        <x:v>Keep profile tags soft; current message wins</x:v>
      </x:c>
    </x:row>
    <x:row r="50" ht="72" customHeight="1">
      <x:c r="A50" t="str">
        <x:f>'Sessions'!A50</x:f>
        <x:v>public_0046</x:v>
      </x:c>
      <x:c r="B50" t="str">
        <x:f>'Target Products'!B50</x:f>
        <x:v>B0B42PVX1F</x:v>
      </x:c>
      <x:c r="C50" s="17" t="str">
        <x:f>"title: "&amp;'Target Products'!C50&amp;" | categories: "&amp;'Target Products'!D50&amp;" | features: "&amp;'Target Products'!F50&amp;" | details: "&amp;'Target Products'!G50&amp;" | description: "&amp;'Target Products'!H50</x:f>
        <x:v>title: Wool Plus Size Thigh High Socks For Thick Thighs- Extra Long Womens Warm Cable Knit Over Knee Stockings Leg Warmers | categories: Clothing, Shoes &amp; Jewelry | Women | Clothing | Socks &amp; Hosiery | Leg Warmers | features: 44% Acrylic, 28% Cotton, 20% Merino Wool, 8% Polyester | Imported | No Closure closure | Hand Wash Only | 44% Acrylic, 28% Cotton, 20% Merino Wool, 8% Polyester. Premium Merino Wool and High-Quality Cotton for all-day warmth and comfort. Please contact us if Any Defective or Missing Garters. | 🐏Real European Plus Size for Thick Thigh🌸 Toe to Top Length: 31 inches/79cm. The stretch width at the top of the sock reaches 42 inches. Recommended: For upper thighs that measure 27 inches or larger. | 🐏Premium Wool, Soft &amp; Comfortable🌸 We use up to 20% Merino Wool and the Plus Size Over Knee Socks woven with high-quality materials. Just wearing these Long Socks during early spring, autumn, winter and you will feel incredibly soft and cozy. | 🐏Free Non-Slip Thigh Garter Belt🌸 Say goodbye to roll down and embarrassment! The thigh garter belts will ensure that the thigh high socks are fixed in correct position you want. Made of Elastic, 1" inch wide, adjusts up to 45 inches around. So it can be used perfectly with plus size goddess. | 🐏Combine Fashion &amp; Warmth🌸 These Merino Wool Thigh Highs is a classic style that you can rock winter, spring or fall. They can flawlessly complete your uniforms, shorts, miniskirts and match them with flat or heeled ankle boots for a versatile outfit or knee high boots. You must need these stylish thigh highs in your closet. | 🐏Best Gift &amp; Choice for Big Girls🌸 Our Thigh Socks are everything you and your beautiful legs need! They are essential socks in daily life, also are excellent present for your love, girlfriend, little one, best friend on Birthday, Valentine's Day, Halloween, Christmas, Mother's Day, Thanksgiving and Any Anniversary. | details: Department: womens | Date First Available: June 14, 2022 | description: </x:v>
      </x:c>
      <x:c r="D50" s="17" t="str">
        <x:f>"title: "&amp;'Target Products'!C50&amp;" | leaf_category: "&amp;'Target Products'!E50&amp;" | store: "&amp;'Target Products'!L50&amp;" | details: "&amp;'Target Products'!G50</x:f>
        <x:v>title: Wool Plus Size Thigh High Socks For Thick Thighs- Extra Long Womens Warm Cable Knit Over Knee Stockings Leg Warmers | leaf_category: Leg Warmers | store: Moon Wood | details: Department: womens | Date First Available: June 14, 2022</x:v>
      </x:c>
      <x:c r="E50" s="17" t="str">
        <x:f>"scenario: "&amp;'Sessions'!B50&amp;" | current_message: "&amp;'Sessions'!M50&amp;" | profile_soft_tags: "&amp;'Sessions'!I50</x:f>
        <x:v>scenario: intent_override | current_message: I'm looking for Socks &amp; Hosiery Leg Warmers. No Closure closure | profile_soft_tags: fit | comfort | material | warmth</x:v>
      </x:c>
      <x:c r="F50" s="17" t="str">
        <x:f>'Intent Cards'!D50&amp;IF('Intent Cards'!F50&lt;&gt;""," | "&amp;'Intent Cards'!F50,"")</x:f>
        <x:v>wool | 44% Acrylic, 28% Cotton, 20% Merino Wool, 8% Polyester</x:v>
      </x:c>
      <x:c r="G50" s="17" t="str">
        <x:f>'Sessions'!I50</x:f>
        <x:v>fit | comfort | material | warmth</x:v>
      </x:c>
      <x:c r="H50" s="77" t="n">
        <x:f>LEN(C50)</x:f>
        <x:v>2005</x:v>
      </x:c>
      <x:c r="I50" s="77" t="n">
        <x:f>IF(H50&gt;2400,3,IF(H50&gt;1200,2,1))</x:f>
        <x:v>2</x:v>
      </x:c>
      <x:c r="J50" s="17" t="str">
        <x:f>IF('Sessions'!B50="intent_override","Drop superseded values before query embedding",IF('Sessions'!B50="boundary","Do not invent a value for no-preference attributes","Keep profile tags soft; current message wins"))</x:f>
        <x:v>Drop superseded values before query embedding</x:v>
      </x:c>
    </x:row>
    <x:row r="51" ht="72" customHeight="1">
      <x:c r="A51" t="str">
        <x:f>'Sessions'!A51</x:f>
        <x:v>public_0047</x:v>
      </x:c>
      <x:c r="B51" t="str">
        <x:f>'Target Products'!B51</x:f>
        <x:v>B0BYZX7B1L</x:v>
      </x:c>
      <x:c r="C51" s="17" t="str">
        <x:f>"title: "&amp;'Target Products'!C51&amp;" | categories: "&amp;'Target Products'!D51&amp;" | features: "&amp;'Target Products'!F51&amp;" | details: "&amp;'Target Products'!G51&amp;" | description: "&amp;'Target Products'!H51</x:f>
        <x:v>title: Lunarable Multicolor Unisex Bandana | categories: Clothing, Shoes &amp; Jewelry | Novelty &amp; More | Clothing | Novelty | Men | Accessories | Bandanas | features: 100% Polyester | Adjustable closure | 22 x 22 INCHES - Fits Most People. Soft &amp; Comfortable. Color: Pale Pink Ruby Coral MADE IN USA. | MADE FROM - 100% High-quality premium polyester fabric. Very durable. Highly unique. Versatile. FUN. | FEATURES - Vivid colors &amp; Clear image. SEWN ON ALL 4 SIDES. Breathable. For hot &amp; cold weather. | MACHINE WASHABLE - Delicate cycle. NO FADING and dries FAST. No dyes harming health of your family. | MODERN PRINTS - Printed with state of the art digital printing technology. PRINTED ON ONE SIDE ONLY. | details: Item model number: ban_parent_newlist_amb_2 | Department: Mens | Date First Available: March 20, 2023 | description: </x:v>
      </x:c>
      <x:c r="D51" s="17" t="str">
        <x:f>"title: "&amp;'Target Products'!C51&amp;" | leaf_category: "&amp;'Target Products'!E51&amp;" | store: "&amp;'Target Products'!L51&amp;" | details: "&amp;'Target Products'!G51</x:f>
        <x:v>title: Lunarable Multicolor Unisex Bandana | leaf_category: Bandanas | store: Lunarable | details: Item model number: ban_parent_newlist_amb_2 | Department: Mens | Date First Available: March 20, 2023</x:v>
      </x:c>
      <x:c r="E51" s="17" t="str">
        <x:f>"scenario: "&amp;'Sessions'!B51&amp;" | current_message: "&amp;'Sessions'!M51&amp;" | profile_soft_tags: "&amp;'Sessions'!I51</x:f>
        <x:v>scenario: browsing | current_message: I'm looking for Accessories Bandanas, but I'm still exploring. | profile_soft_tags: fit | comfort | material | performance</x:v>
      </x:c>
      <x:c r="F51" s="17" t="str">
        <x:f>'Intent Cards'!D51&amp;IF('Intent Cards'!F51&lt;&gt;""," | "&amp;'Intent Cards'!F51,"")</x:f>
        <x:v>polyester | color: pink</x:v>
      </x:c>
      <x:c r="G51" s="17" t="str">
        <x:f>'Sessions'!I51</x:f>
        <x:v>fit | comfort | material | performance</x:v>
      </x:c>
      <x:c r="H51" s="77" t="n">
        <x:f>LEN(C51)</x:f>
        <x:v>832</x:v>
      </x:c>
      <x:c r="I51" s="77" t="n">
        <x:f>IF(H51&gt;2400,3,IF(H51&gt;1200,2,1))</x:f>
        <x:v>1</x:v>
      </x:c>
      <x:c r="J51" s="17" t="str">
        <x:f>IF('Sessions'!B51="intent_override","Drop superseded values before query embedding",IF('Sessions'!B51="boundary","Do not invent a value for no-preference attributes","Keep profile tags soft; current message wins"))</x:f>
        <x:v>Keep profile tags soft; current message wins</x:v>
      </x:c>
    </x:row>
    <x:row r="52" ht="72" customHeight="1">
      <x:c r="A52" t="str">
        <x:f>'Sessions'!A52</x:f>
        <x:v>public_0048</x:v>
      </x:c>
      <x:c r="B52" t="str">
        <x:f>'Target Products'!B52</x:f>
        <x:v>B00VQBMJUQ</x:v>
      </x:c>
      <x:c r="C52" s="17" t="str">
        <x:f>"title: "&amp;'Target Products'!C52&amp;" | categories: "&amp;'Target Products'!D52&amp;" | features: "&amp;'Target Products'!F52&amp;" | details: "&amp;'Target Products'!G52&amp;" | description: "&amp;'Target Products'!H52</x:f>
        <x:v>title: Vizari Infinity FG Soccer Cleat (Toddler/Little Kid/Big Kid) | categories: Clothing, Shoes &amp; Jewelry | Boys | Shoes | Athletic | Soccer | features: 100% Synthetic | Rubber sole | FEATURES: Infinity style cleats are constructed from durable synthetic materials that are water resistant. Easily adjustable laces allow these shoes to easily form to your foot. | RUGGED OUTSOLE: Our flexible rubber outsoles have a two tone design and feature rugged studs to aid with traction on turf and outdoor fields. | COMFORT: A well-padded collar and footbed make these shoes extremely comfortable. Wear them during long games and practices without discomfort. | BALL CONTROL: The synthetic uppers of our shoes have a slightly textured surface that helps you control the ball more easily. | FUN STYLE: Our Infinity cleats come in fun two-tone color combinations that will add a splash of color to your uniform. | details: Is Discontinued By Manufacturer: No | Package Dimensions: 1 x 1 x 1 inches; 4 Ounces | Item model number: Infinity FG | Department: Unisex-child | Date First Available: December 23, 2014 | Manufacturer: Vizari | description: </x:v>
      </x:c>
      <x:c r="D52" s="17" t="str">
        <x:f>"title: "&amp;'Target Products'!C52&amp;" | leaf_category: "&amp;'Target Products'!E52&amp;" | store: "&amp;'Target Products'!L52&amp;" | details: "&amp;'Target Products'!G52</x:f>
        <x:v>title: Vizari Infinity FG Soccer Cleat (Toddler/Little Kid/Big Kid) | leaf_category: Soccer | store: Vizari | details: Is Discontinued By Manufacturer: No | Package Dimensions: 1 x 1 x 1 inches; 4 Ounces | Item model number: Infinity FG | Department: Unisex-child | Date First Available: December 23, 2014 | Manufacturer: Vizari</x:v>
      </x:c>
      <x:c r="E52" s="17" t="str">
        <x:f>"scenario: "&amp;'Sessions'!B52&amp;" | current_message: "&amp;'Sessions'!M52&amp;" | profile_soft_tags: "&amp;'Sessions'!I52</x:f>
        <x:v>scenario: browsing | current_message: I'm looking for Athletic Soccer, but I'm still exploring. | profile_soft_tags: fit | comfort | durability | style</x:v>
      </x:c>
      <x:c r="F52" s="17" t="str">
        <x:f>'Intent Cards'!D52&amp;IF('Intent Cards'!F52&lt;&gt;""," | "&amp;'Intent Cards'!F52,"")</x:f>
        <x:v>100% Synthetic | Rubber sole</x:v>
      </x:c>
      <x:c r="G52" s="17" t="str">
        <x:f>'Sessions'!I52</x:f>
        <x:v>fit | comfort | durability | style</x:v>
      </x:c>
      <x:c r="H52" s="77" t="n">
        <x:f>LEN(C52)</x:f>
        <x:v>1140</x:v>
      </x:c>
      <x:c r="I52" s="77" t="n">
        <x:f>IF(H52&gt;2400,3,IF(H52&gt;1200,2,1))</x:f>
        <x:v>1</x:v>
      </x:c>
      <x:c r="J52" s="17" t="str">
        <x:f>IF('Sessions'!B52="intent_override","Drop superseded values before query embedding",IF('Sessions'!B52="boundary","Do not invent a value for no-preference attributes","Keep profile tags soft; current message wins"))</x:f>
        <x:v>Keep profile tags soft; current message wins</x:v>
      </x:c>
    </x:row>
    <x:row r="53" ht="72" customHeight="1">
      <x:c r="A53" t="str">
        <x:f>'Sessions'!A53</x:f>
        <x:v>public_0049</x:v>
      </x:c>
      <x:c r="B53" t="str">
        <x:f>'Target Products'!B53</x:f>
        <x:v>B08G4WVYLJ</x:v>
      </x:c>
      <x:c r="C53" s="17" t="str">
        <x:f>"title: "&amp;'Target Products'!C53&amp;" | categories: "&amp;'Target Products'!D53&amp;" | features: "&amp;'Target Products'!F53&amp;" | details: "&amp;'Target Products'!G53&amp;" | description: "&amp;'Target Products'!H53</x:f>
        <x:v>title: Dacomfy Mens Slip On Shoes, Men's Loafers &amp; Slip-ons Leather Walking Shoes for Men, Hand Stitching Comfortable Breathable Brown Black Khaki | categories: Clothing, Shoes &amp; Jewelry | Men | Shoes | Loafers &amp; Slip-Ons | features: Rubber sole | 👟BEST MATERIAL.These mens shoes casual slip on has premium microfiber leather upper,soft rubber sole.It's a good choice for outdoor all season. | 👟COMFORTABLE AND BREATHABLE.These lightweight hiking casual shoes for men provides all-day comfy.The breathe lining with a comfortable insole.Having a flexible sole. | 👟EXQUISITE HAND STITCHING.The slip on shoes for men casual are hand stitching work.They are stylish,working driving and walking provides stability,the stitches are firm and not easy to break. | 👟EASY SLIP-ON.Widened toe for more space, and men shoes casual slip on shoes design for easy on/off, super convenience to wear in outdoor and looks simple elegant and stylish. | 👟VERSATILE.We can worn these men slip on shoes with jeans and a T-shirt.Also can worn them with a button-up and blazer.Taking party,working,walking and driving is suitable. | details: Department: Mens | Date First Available: August 18, 2020 | description: </x:v>
      </x:c>
      <x:c r="D53" s="17" t="str">
        <x:f>"title: "&amp;'Target Products'!C53&amp;" | leaf_category: "&amp;'Target Products'!E53&amp;" | store: "&amp;'Target Products'!L53&amp;" | details: "&amp;'Target Products'!G53</x:f>
        <x:v>title: Dacomfy Mens Slip On Shoes, Men's Loafers &amp; Slip-ons Leather Walking Shoes for Men, Hand Stitching Comfortable Breathable Brown Black Khaki | leaf_category: Loafers &amp; Slip-Ons | store: Dacomfy | details: Department: Mens | Date First Available: August 18, 2020</x:v>
      </x:c>
      <x:c r="E53" s="17" t="str">
        <x:f>"scenario: "&amp;'Sessions'!B53&amp;" | current_message: "&amp;'Sessions'!M53&amp;" | profile_soft_tags: "&amp;'Sessions'!I53</x:f>
        <x:v>scenario: browsing | current_message: I'm looking for Shoes Loafers &amp; Slip-Ons, but I'm still exploring. | profile_soft_tags: fit | material | style | comfort</x:v>
      </x:c>
      <x:c r="F53" s="17" t="str">
        <x:f>'Intent Cards'!D53&amp;IF('Intent Cards'!F53&lt;&gt;""," | "&amp;'Intent Cards'!F53,"")</x:f>
        <x:v>leather | color: brown</x:v>
      </x:c>
      <x:c r="G53" s="17" t="str">
        <x:f>'Sessions'!I53</x:f>
        <x:v>fit | material | style | comfort</x:v>
      </x:c>
      <x:c r="H53" s="77" t="n">
        <x:f>LEN(C53)</x:f>
        <x:v>1195</x:v>
      </x:c>
      <x:c r="I53" s="77" t="n">
        <x:f>IF(H53&gt;2400,3,IF(H53&gt;1200,2,1))</x:f>
        <x:v>1</x:v>
      </x:c>
      <x:c r="J53" s="17" t="str">
        <x:f>IF('Sessions'!B53="intent_override","Drop superseded values before query embedding",IF('Sessions'!B53="boundary","Do not invent a value for no-preference attributes","Keep profile tags soft; current message wins"))</x:f>
        <x:v>Keep profile tags soft; current message wins</x:v>
      </x:c>
    </x:row>
    <x:row r="54" ht="72" customHeight="1">
      <x:c r="A54" t="str">
        <x:f>'Sessions'!A54</x:f>
        <x:v>public_0050</x:v>
      </x:c>
      <x:c r="B54" t="str">
        <x:f>'Target Products'!B54</x:f>
        <x:v>B07BYR6T7W</x:v>
      </x:c>
      <x:c r="C54" s="17" t="str">
        <x:f>"title: "&amp;'Target Products'!C54&amp;" | categories: "&amp;'Target Products'!D54&amp;" | features: "&amp;'Target Products'!F54&amp;" | details: "&amp;'Target Products'!G54&amp;" | description: "&amp;'Target Products'!H54</x:f>
        <x:v>title: EverBoots Mens Work Boots for Men, Leather EverFit Lightweight Comfort Boot, Anti Slip &amp; Shock Absorption, Soft Oil Grain, Goodyear Welt, Industrial Construction, Roofing, Electrician Moc Toe Wedge | categories: Clothing, Shoes &amp; Jewelry | Men | Uniforms, Work &amp; Safety | Shoes | Work &amp; Utility | Industrial &amp; Construction Boots | features: 100% Leather | EVA/Rubber sole | Shaft measures approximately 6inch from arch | Boot opening measures approximately 14 around | Anti-Fatigue All Day Comfort - Perfect for anyone standing or working long hours. Easily remove the insoles to find your right fit. Crafted with steel shank to reduce and alleviate pressure on your foot when in use. Suitable for stairs or ladders. | Stylish &amp; Durable - 2mm thick premium comfortable and water-resistant leather that lessens superficial tears and damage. Built for work but perfect for any occasion as these can be dressed up or dress down. Fit for garage working or contractors. | Ultimate Safety Support - Our thick outsole is designed to prevent sharp objects from piercing your body while providing stable movement on uneven surfaces. Great for recreational outdoor hiking and composite indoor projects in warehouse and factory. | Easy to Wear - EverBoots men's shoes are designed for immediate pain-free comfort and can be worn straight out of the box, with no need to break them in. Features a backloop for easy on and off without having to bend down or fuss with zippers. | Tough As Ever 90 Day Guarantee - Trust in the reliability of EverBoots. You can count on the premium quality service and durability of our footwear. If you have any daily performance concerns within the first 90 days of use, we are here to help. | details: Package Dimensions: 14.33 x 11.61 x 5.31 inches; 3.62 Pounds | Department: mens | Date First Available: April 5, 2018 | description: </x:v>
      </x:c>
      <x:c r="D54" s="17" t="str">
        <x:f>"title: "&amp;'Target Products'!C54&amp;" | leaf_category: "&amp;'Target Products'!E54&amp;" | store: "&amp;'Target Products'!L54&amp;" | details: "&amp;'Target Products'!G54</x:f>
        <x:v>title: EverBoots Mens Work Boots for Men, Leather EverFit Lightweight Comfort Boot, Anti Slip &amp; Shock Absorption, Soft Oil Grain, Goodyear Welt, Industrial Construction, Roofing, Electrician Moc Toe Wedge | leaf_category: Industrial &amp; Construction Boots | store: EVER BOOTS | details: Package Dimensions: 14.33 x 11.61 x 5.31 inches; 3.62 Pounds | Department: mens | Date First Available: April 5, 2018</x:v>
      </x:c>
      <x:c r="E54" s="17" t="str">
        <x:f>"scenario: "&amp;'Sessions'!B54&amp;" | current_message: "&amp;'Sessions'!M54&amp;" | profile_soft_tags: "&amp;'Sessions'!I54</x:f>
        <x:v>scenario: boundary | current_message: I'm looking for Work &amp; Utility Industrial &amp; Construction Boots, but I'm still exploring. | profile_soft_tags: comfort | fit | durability | style</x:v>
      </x:c>
      <x:c r="F54" s="17" t="str">
        <x:f>'Intent Cards'!D54&amp;IF('Intent Cards'!F54&lt;&gt;""," | "&amp;'Intent Cards'!F54,"")</x:f>
        <x:v>leather | 100% Leather</x:v>
      </x:c>
      <x:c r="G54" s="17" t="str">
        <x:f>'Sessions'!I54</x:f>
        <x:v>comfort | fit | durability | style</x:v>
      </x:c>
      <x:c r="H54" s="77" t="n">
        <x:f>LEN(C54)</x:f>
        <x:v>1863</x:v>
      </x:c>
      <x:c r="I54" s="77" t="n">
        <x:f>IF(H54&gt;2400,3,IF(H54&gt;1200,2,1))</x:f>
        <x:v>2</x:v>
      </x:c>
      <x:c r="J54" s="17" t="str">
        <x:f>IF('Sessions'!B54="intent_override","Drop superseded values before query embedding",IF('Sessions'!B54="boundary","Do not invent a value for no-preference attributes","Keep profile tags soft; current message wins"))</x:f>
        <x:v>Do not invent a value for no-preference attributes</x:v>
      </x:c>
    </x:row>
    <x:row r="55" ht="72" customHeight="1">
      <x:c r="A55" t="str">
        <x:f>'Sessions'!A55</x:f>
        <x:v>public_0051</x:v>
      </x:c>
      <x:c r="B55" t="str">
        <x:f>'Target Products'!B55</x:f>
        <x:v>B07N1624C5</x:v>
      </x:c>
      <x:c r="C55" s="17" t="str">
        <x:f>"title: "&amp;'Target Products'!C55&amp;" | categories: "&amp;'Target Products'!D55&amp;" | features: "&amp;'Target Products'!F55&amp;" | details: "&amp;'Target Products'!G55&amp;" | description: "&amp;'Target Products'!H55</x:f>
        <x:v>title: Skechers Women's Go Walk 5-True Sneaker | categories: Clothing, Shoes &amp; Jewelry | Women | Shoes | Athletic | Walking | features: Rubber sole | Skechers Go Walk 5-True shoe is designed with high-rebound comfort pillar technology underfoot that reacts to your every step for the ultimate comfort | Our Go Walk 5-True shoe is made with Skechers Air Cooled Goga Mat a breathable insole that provides high-rebound cushioning | Our Skechers shoe provides a dual density outsole for added stability and support | This shoe is a quick-fit portal on heel for easy access | Our Skechers shoe provides extra cushioned comfort heel and collar panels | details: Product Dimensions: 10 x 15 x 6 inches; 7 Ounces | Item model number: 15905 | Department: womens | Date First Available: February 18, 2019 | Manufacturer: Skechers | description: Heathered Mesh Lace Up</x:v>
      </x:c>
      <x:c r="D55" s="17" t="str">
        <x:f>"title: "&amp;'Target Products'!C55&amp;" | leaf_category: "&amp;'Target Products'!E55&amp;" | store: "&amp;'Target Products'!L55&amp;" | details: "&amp;'Target Products'!G55</x:f>
        <x:v>title: Skechers Women's Go Walk 5-True Sneaker | leaf_category: Walking | store: Skechers | details: Product Dimensions: 10 x 15 x 6 inches; 7 Ounces | Item model number: 15905 | Department: womens | Date First Available: February 18, 2019 | Manufacturer: Skechers</x:v>
      </x:c>
      <x:c r="E55" s="17" t="str">
        <x:f>"scenario: "&amp;'Sessions'!B55&amp;" | current_message: "&amp;'Sessions'!M55&amp;" | profile_soft_tags: "&amp;'Sessions'!I55</x:f>
        <x:v>scenario: browsing | current_message: I'm looking for Athletic Walking, but I'm still exploring. | profile_soft_tags: fit | comfort | material | durability</x:v>
      </x:c>
      <x:c r="F55" s="17" t="str">
        <x:f>'Intent Cards'!D55&amp;IF('Intent Cards'!F55&lt;&gt;""," | "&amp;'Intent Cards'!F55,"")</x:f>
        <x:v>Rubber sole | Skechers Go Walk 5-True shoe is designed with high-rebound comfort pillar technology underfoot that reacts to your every step for the ultimate comfort</x:v>
      </x:c>
      <x:c r="G55" s="17" t="str">
        <x:f>'Sessions'!I55</x:f>
        <x:v>fit | comfort | material | durability</x:v>
      </x:c>
      <x:c r="H55" s="77" t="n">
        <x:f>LEN(C55)</x:f>
        <x:v>857</x:v>
      </x:c>
      <x:c r="I55" s="77" t="n">
        <x:f>IF(H55&gt;2400,3,IF(H55&gt;1200,2,1))</x:f>
        <x:v>1</x:v>
      </x:c>
      <x:c r="J55" s="17" t="str">
        <x:f>IF('Sessions'!B55="intent_override","Drop superseded values before query embedding",IF('Sessions'!B55="boundary","Do not invent a value for no-preference attributes","Keep profile tags soft; current message wins"))</x:f>
        <x:v>Keep profile tags soft; current message wins</x:v>
      </x:c>
    </x:row>
    <x:row r="56" ht="72" customHeight="1">
      <x:c r="A56" t="str">
        <x:f>'Sessions'!A56</x:f>
        <x:v>public_0052</x:v>
      </x:c>
      <x:c r="B56" t="str">
        <x:f>'Target Products'!B56</x:f>
        <x:v>B09G2ZNZY4</x:v>
      </x:c>
      <x:c r="C56" s="17" t="str">
        <x:f>"title: "&amp;'Target Products'!C56&amp;" | categories: "&amp;'Target Products'!D56&amp;" | features: "&amp;'Target Products'!F56&amp;" | details: "&amp;'Target Products'!G56&amp;" | description: "&amp;'Target Products'!H56</x:f>
        <x:v>title: Grlasen Women's Zipper Summer Pleated Button Short Sleeve T-Shirt Summer V-Neck Solid Color Casual top | categories: Clothing, Shoes &amp; Jewelry | Women | Clothing | Tops, Tees &amp; Blouses | Tunics | features: 60% polyester | Button closure | Hand Wash Only | Material: 60% Polyester, 35% Rayon, 5% Spandex. It's very soft and breathable. It's perfect for everyday wear | Features:Pleated T-shirts , solid short sleeves, button design, V-neck, very slim version makes you look very slim, better outlines your perfect waistline | Occasion: any occasion, daily, travel, party, work, street, etc. can be worn in spring, summer, autumn and winter | Matching: this simple top can be matched with skinny jeans, skirt, tights, jeans shorts, casual pants, slacks, sandals, high heels, boots and necklaces to create a proper look! | Washing Tip: Hand wash or gentle machine wash in cold water/Hang or line dry/ Do not bleach | details: Package Dimensions: 11.42 x 8.66 x 0.7 inches; 5.28 Ounces | Department: Womens | Date First Available: September 13, 2021 | description: </x:v>
      </x:c>
      <x:c r="D56" s="17" t="str">
        <x:f>"title: "&amp;'Target Products'!C56&amp;" | leaf_category: "&amp;'Target Products'!E56&amp;" | store: "&amp;'Target Products'!L56&amp;" | details: "&amp;'Target Products'!G56</x:f>
        <x:v>title: Grlasen Women's Zipper Summer Pleated Button Short Sleeve T-Shirt Summer V-Neck Solid Color Casual top | leaf_category: Tunics | store: Grlasen | details: Package Dimensions: 11.42 x 8.66 x 0.7 inches; 5.28 Ounces | Department: Womens | Date First Available: September 13, 2021</x:v>
      </x:c>
      <x:c r="E56" s="17" t="str">
        <x:f>"scenario: "&amp;'Sessions'!B56&amp;" | current_message: "&amp;'Sessions'!M56&amp;" | profile_soft_tags: "&amp;'Sessions'!I56</x:f>
        <x:v>scenario: intent_override | current_message: I'm looking for Tees &amp; Blouses Tunics. Hand Wash Only | profile_soft_tags: comfort | style | material</x:v>
      </x:c>
      <x:c r="F56" s="17" t="str">
        <x:f>'Intent Cards'!D56&amp;IF('Intent Cards'!F56&lt;&gt;""," | "&amp;'Intent Cards'!F56,"")</x:f>
        <x:v>polyester | 60% polyester</x:v>
      </x:c>
      <x:c r="G56" s="17" t="str">
        <x:f>'Sessions'!I56</x:f>
        <x:v>comfort | style | material</x:v>
      </x:c>
      <x:c r="H56" s="77" t="n">
        <x:f>LEN(C56)</x:f>
        <x:v>1068</x:v>
      </x:c>
      <x:c r="I56" s="77" t="n">
        <x:f>IF(H56&gt;2400,3,IF(H56&gt;1200,2,1))</x:f>
        <x:v>1</x:v>
      </x:c>
      <x:c r="J56" s="17" t="str">
        <x:f>IF('Sessions'!B56="intent_override","Drop superseded values before query embedding",IF('Sessions'!B56="boundary","Do not invent a value for no-preference attributes","Keep profile tags soft; current message wins"))</x:f>
        <x:v>Drop superseded values before query embedding</x:v>
      </x:c>
    </x:row>
    <x:row r="57" ht="72" customHeight="1">
      <x:c r="A57" t="str">
        <x:f>'Sessions'!A57</x:f>
        <x:v>public_0053</x:v>
      </x:c>
      <x:c r="B57" t="str">
        <x:f>'Target Products'!B57</x:f>
        <x:v>B07TZK3GZK</x:v>
      </x:c>
      <x:c r="C57" s="17" t="str">
        <x:f>"title: "&amp;'Target Products'!C57&amp;" | categories: "&amp;'Target Products'!D57&amp;" | features: "&amp;'Target Products'!F57&amp;" | details: "&amp;'Target Products'!G57&amp;" | description: "&amp;'Target Products'!H57</x:f>
        <x:v>title: Passport Holder Cover Travel RFID Blocking Passport Cover Rose Gold Cute Flowers Passport Wallet with Elastic Band for Women | categories: Clothing, Shoes &amp; Jewelry | Luggage &amp; Travel Gear | Travel Accessories | Passport Covers | features: Leather lining | Dry Cloth Clean | ★【Multifunction Passport Cover】:Coco Rossi Multifunction Passport holder cover for women,features 1 passport holder,4 card slots,1 cash holder (also checkbook holder ) and 1 boarding pass holder.ideal gift choice, luxury style with contrast color matching design; Smooth and durable touch, provides you an amazing touch feeling. | ★【Original Unique Passport Holder】: This passport holder was designed by Coco Rossi,Original pattern is match your clothes and bags,fashion stylish style,This passport holder cover with high quality metal accessories，specially designed for women | ★【Safe and Protected Passport Holder】:This travel passport holder with RFID blocking.Block RFID readers from scanning your cards information. Perfectly protect your credit cards,passport,id cards.It is easy and convienient to take it everywhere, travel,casual,outing,weekend hiking,shopping,daily use etc. | ★【High Quality Material】:Our passport holder cover is designed with premium and high-quality PU Leather.Perfect gift for women, lady, girls or anyone who loves it; Suitable for Valentine's day, birthday, Mother's day, Christmas and other holiday gifts. | ★【Service for Passport Wallet】: We are committed to creating exquisite services, any questions, please contact our customer service, we will solve the problem for you in 24 hours.If your card holder don’t perform to your satisfaction, return it to us within 30 DAYS with proof of purchase for a hassle-free refund, exchange, or replacement. | details: Brand: Coco Rossi | Color: Black | Material: Faux Leather | Style: Casual | Special Feature: Rfid Blocking,Slim | Department: Womens | Date First Available: July 8, 2019 | description: Product Information | 1. Product Name: Passport Holder Cover / Credit Card Holder / Travel Wallet  2. Product Color: As the Picture Shown  3. Subject Targets: Women &amp; Girls &amp; Ladies  4. Product Material: Made of premium synthetic leather  5. Applicable Occasion: Party,Dating,Travel,Casual,shopping,Daily Use etc. | ▸Why You Will Choose the slim Passport Wallet?◂ | 1. [Cute Flowers and glitter Design] : Solid color with rose flowers pattern,makes you look fashionable and attractive.  2. [Passport Case Design] : features 4 card slots, 1 cash holder (also checkbook holder ) and 1 boarding pass holder.This cute passport cover with Elastic Band; 3. [Good Touch Feel] : Coated protective oil makes surface glossy, super good touch feel. Scratch-resistant and anti-fingerprint.  4. [Multi Card Design] : Your cards/cash/passport/can be well organized in this powerful passport case! Completely meet your holiday and traveling demands. ;  5. [Humanized Design] : Easy to take card out, compatible best gift for friends,diversified choices by advanced materials,Ideal gift choice, luxury style with contrast color matching design; | ▸Package Includes◂ | 1. 1x Passport holder cover Only  2. Please Note: Accessories ONLY, Card not included</x:v>
      </x:c>
      <x:c r="D57" s="17" t="str">
        <x:f>"title: "&amp;'Target Products'!C57&amp;" | leaf_category: "&amp;'Target Products'!E57&amp;" | store: "&amp;'Target Products'!L57&amp;" | details: "&amp;'Target Products'!G57</x:f>
        <x:v>title: Passport Holder Cover Travel RFID Blocking Passport Cover Rose Gold Cute Flowers Passport Wallet with Elastic Band for Women | leaf_category: Passport Covers | store: Coco Rossi | details: Brand: Coco Rossi | Color: Black | Material: Faux Leather | Style: Casual | Special Feature: Rfid Blocking,Slim | Department: Womens | Date First Available: July 8, 2019</x:v>
      </x:c>
      <x:c r="E57" s="17" t="str">
        <x:f>"scenario: "&amp;'Sessions'!B57&amp;" | current_message: "&amp;'Sessions'!M57&amp;" | profile_soft_tags: "&amp;'Sessions'!I57</x:f>
        <x:v>scenario: buying | current_message: I'm looking for Travel Accessories Passport Covers. A key requirement is: leather. | profile_soft_tags: material | fit</x:v>
      </x:c>
      <x:c r="F57" s="17" t="str">
        <x:f>'Intent Cards'!D57&amp;IF('Intent Cards'!F57&lt;&gt;""," | "&amp;'Intent Cards'!F57,"")</x:f>
        <x:v>leather | color: black</x:v>
      </x:c>
      <x:c r="G57" s="17" t="str">
        <x:f>'Sessions'!I57</x:f>
        <x:v>material | fit</x:v>
      </x:c>
      <x:c r="H57" s="77" t="n">
        <x:f>LEN(C57)</x:f>
        <x:v>3198</x:v>
      </x:c>
      <x:c r="I57" s="77" t="n">
        <x:f>IF(H57&gt;2400,3,IF(H57&gt;1200,2,1))</x:f>
        <x:v>3</x:v>
      </x:c>
      <x:c r="J57" s="17" t="str">
        <x:f>IF('Sessions'!B57="intent_override","Drop superseded values before query embedding",IF('Sessions'!B57="boundary","Do not invent a value for no-preference attributes","Keep profile tags soft; current message wins"))</x:f>
        <x:v>Keep profile tags soft; current message wins</x:v>
      </x:c>
    </x:row>
    <x:row r="58" ht="72" customHeight="1">
      <x:c r="A58" t="str">
        <x:f>'Sessions'!A58</x:f>
        <x:v>public_0054</x:v>
      </x:c>
      <x:c r="B58" t="str">
        <x:f>'Target Products'!B58</x:f>
        <x:v>B08PP1ZJQ5</x:v>
      </x:c>
      <x:c r="C58" s="17" t="str">
        <x:f>"title: "&amp;'Target Products'!C58&amp;" | categories: "&amp;'Target Products'!D58&amp;" | features: "&amp;'Target Products'!F58&amp;" | details: "&amp;'Target Products'!G58&amp;" | description: "&amp;'Target Products'!H58</x:f>
        <x:v>title: Verdusa Women's Basic Casual Long Sleeve Round Neck Crop Top Pullover Sweatshirt | categories: Clothing, Shoes &amp; Jewelry | Women | Clothing | Fashion Hoodies &amp; Sweatshirts | features: Soft Fabric | Pull On closure | Machine Wash | Soft fabric has some stretch | Crew Neck, Drop Shoulder, Crop Length, Regular Fit | Perfect for casual dailywear, sport, going out, workout in spring and fall | Model Measurements: Height: 68.5 inch, Bust: 29.9 inch, Waist: 23.6 inch, Hips: 37 inch. Wear: S | Please refer to size guide carefully before purchasing at below description | details: Department: Womens | Date First Available: December 4, 2020 | description: </x:v>
      </x:c>
      <x:c r="D58" s="17" t="str">
        <x:f>"title: "&amp;'Target Products'!C58&amp;" | leaf_category: "&amp;'Target Products'!E58&amp;" | store: "&amp;'Target Products'!L58&amp;" | details: "&amp;'Target Products'!G58</x:f>
        <x:v>title: Verdusa Women's Basic Casual Long Sleeve Round Neck Crop Top Pullover Sweatshirt | leaf_category: Fashion Hoodies &amp; Sweatshirts | store: Verdusa | details: Department: Womens | Date First Available: December 4, 2020</x:v>
      </x:c>
      <x:c r="E58" s="17" t="str">
        <x:f>"scenario: "&amp;'Sessions'!B58&amp;" | current_message: "&amp;'Sessions'!M58&amp;" | profile_soft_tags: "&amp;'Sessions'!I58</x:f>
        <x:v>scenario: buying | current_message: I'm looking for Women Fashion Hoodies &amp; Sweatshirts. A key requirement is: fabric. | profile_soft_tags: weather | comfort | durability | style</x:v>
      </x:c>
      <x:c r="F58" s="17" t="str">
        <x:f>'Intent Cards'!D58&amp;IF('Intent Cards'!F58&lt;&gt;""," | "&amp;'Intent Cards'!F58,"")</x:f>
        <x:v>fabric | Soft Fabric</x:v>
      </x:c>
      <x:c r="G58" s="17" t="str">
        <x:f>'Sessions'!I58</x:f>
        <x:v>weather | comfort | durability | style</x:v>
      </x:c>
      <x:c r="H58" s="77" t="n">
        <x:f>LEN(C58)</x:f>
        <x:v>660</x:v>
      </x:c>
      <x:c r="I58" s="77" t="n">
        <x:f>IF(H58&gt;2400,3,IF(H58&gt;1200,2,1))</x:f>
        <x:v>1</x:v>
      </x:c>
      <x:c r="J58" s="17" t="str">
        <x:f>IF('Sessions'!B58="intent_override","Drop superseded values before query embedding",IF('Sessions'!B58="boundary","Do not invent a value for no-preference attributes","Keep profile tags soft; current message wins"))</x:f>
        <x:v>Keep profile tags soft; current message wins</x:v>
      </x:c>
    </x:row>
    <x:row r="59" ht="72" customHeight="1">
      <x:c r="A59" t="str">
        <x:f>'Sessions'!A59</x:f>
        <x:v>public_0055</x:v>
      </x:c>
      <x:c r="B59" t="str">
        <x:f>'Target Products'!B59</x:f>
        <x:v>B0C1TDJ9HZ</x:v>
      </x:c>
      <x:c r="C59" s="17" t="str">
        <x:f>"title: "&amp;'Target Products'!C59&amp;" | categories: "&amp;'Target Products'!D59&amp;" | features: "&amp;'Target Products'!F59&amp;" | details: "&amp;'Target Products'!G59&amp;" | description: "&amp;'Target Products'!H59</x:f>
        <x:v>title: Crocs Unisex-Adult Baya Clogs, Neo Mint, 7 Women/5 Men | categories: Clothing, Shoes &amp; Jewelry | Women | Shoes | Mules &amp; Clogs | features: 100% Croslite Foam | Imported | Ethylene Vinyl Acetate sole | Shaft measures approximately 1" from arch | Heel measures approximately 0.66" | CONTOURED COMFORT: Make a comfy statement with the Crocs Baya Clogs; a twist on the signature Crocs Classic Clogs. They provide additional ventilation and durability, making them the Crocs women and men need | LIGHTWEIGHT: These Crocs for men and women are incredibly lightweight, water-friendly and buoyant. The Croslite foam offers an Iconic Crocs Comfort that is perfect for relaxing at home or strolling downtown | WHAT SIZE SHOULD I BUY?: These shoes offer a roomy fit and we recommend ordering a size down to the next largest whole size | VENTILATION AND DURABILITY: These innovative Crocs clogs for women and men offer a durable build with advanced ventilation and breathability. New design helps drain water and debris when kickin' around in wet conditions | MAKE THEM YOUR OWN: These women's and men's Crocs offer a roomy and generous fit that is sure to match your foot. The Crocs clogs can be customized with Jibbitz charms to reflect your own personal flair | details: Is Discontinued By Manufacturer: No | Package Dimensions: 11.73 x 9.21 x 4.17 inches; 12 Pounds | Item model number: 10126 | Department: Unisex-adult | Date First Available: December 6, 2020 | Manufacturer: Crocs | Country of Origin: Indonesia | description: Make a comfy Crocs statement with the Crocs Baya Clog. A twist on the signature Classic Clog, it features the lightweight, durable build you love with advanced ventilation for breathability and to help drain water and debris.</x:v>
      </x:c>
      <x:c r="D59" s="17" t="str">
        <x:f>"title: "&amp;'Target Products'!C59&amp;" | leaf_category: "&amp;'Target Products'!E59&amp;" | store: "&amp;'Target Products'!L59&amp;" | details: "&amp;'Target Products'!G59</x:f>
        <x:v>title: Crocs Unisex-Adult Baya Clogs, Neo Mint, 7 Women/5 Men | leaf_category: Mules &amp; Clogs | store: Crocs | details: Is Discontinued By Manufacturer: No | Package Dimensions: 11.73 x 9.21 x 4.17 inches; 12 Pounds | Item model number: 10126 | Department: Unisex-adult | Date First Available: December 6, 2020 | Manufacturer: Crocs | Country of Origin: Indonesia</x:v>
      </x:c>
      <x:c r="E59" s="17" t="str">
        <x:f>"scenario: "&amp;'Sessions'!B59&amp;" | current_message: "&amp;'Sessions'!M59&amp;" | profile_soft_tags: "&amp;'Sessions'!I59</x:f>
        <x:v>scenario: browsing | current_message: I'm looking for Shoes Mules &amp; Clogs, but I'm still exploring. | profile_soft_tags: fit | comfort | material | style</x:v>
      </x:c>
      <x:c r="F59" s="17" t="str">
        <x:f>'Intent Cards'!D59&amp;IF('Intent Cards'!F59&lt;&gt;""," | "&amp;'Intent Cards'!F59,"")</x:f>
        <x:v>100% Croslite Foam | Imported</x:v>
      </x:c>
      <x:c r="G59" s="17" t="str">
        <x:f>'Sessions'!I59</x:f>
        <x:v>fit | comfort | material | style</x:v>
      </x:c>
      <x:c r="H59" s="77" t="n">
        <x:f>LEN(C59)</x:f>
        <x:v>1753</x:v>
      </x:c>
      <x:c r="I59" s="77" t="n">
        <x:f>IF(H59&gt;2400,3,IF(H59&gt;1200,2,1))</x:f>
        <x:v>2</x:v>
      </x:c>
      <x:c r="J59" s="17" t="str">
        <x:f>IF('Sessions'!B59="intent_override","Drop superseded values before query embedding",IF('Sessions'!B59="boundary","Do not invent a value for no-preference attributes","Keep profile tags soft; current message wins"))</x:f>
        <x:v>Keep profile tags soft; current message wins</x:v>
      </x:c>
    </x:row>
    <x:row r="60" ht="72" customHeight="1">
      <x:c r="A60" t="str">
        <x:f>'Sessions'!A60</x:f>
        <x:v>public_0056</x:v>
      </x:c>
      <x:c r="B60" t="str">
        <x:f>'Target Products'!B60</x:f>
        <x:v>B0B2RF64YD</x:v>
      </x:c>
      <x:c r="C60" s="17" t="str">
        <x:f>"title: "&amp;'Target Products'!C60&amp;" | categories: "&amp;'Target Products'!D60&amp;" | features: "&amp;'Target Products'!F60&amp;" | details: "&amp;'Target Products'!G60&amp;" | description: "&amp;'Target Products'!H60</x:f>
        <x:v>title: Amazon Essentials Men's Short-Sleeve Crewneck T-Shirt, Pack of 2 | categories: Clothing, Shoes &amp; Jewelry | Men | Clothing | Shirts | T-Shirts | features: Solids: 100% Cotton; Heathers: 60% Cotton, 40% Polyester | Imported | No Closure closure | Machine Wash | Two-pack of classic regular-fit tees featuring all-cotton construction, a crew neckline and short-sleeves for comfort | Everyday made better: we listen to customer feedback and fine-tune every detail to ensure quality, fit, and comfort | Model is 6'1" and wearing size Medium | details: Package Dimensions: 13.23 x 10.12 x 1.69 inches; 15.2 Ounces | Item model number: S17AE45000 | Department: Mens | Date First Available: May 31, 2022 | Manufacturer: Amazon Essentials | description: An Amazon brand - Two-pack of tees in a classic, loose-fit featuring all-cotton construction and crew neckline</x:v>
      </x:c>
      <x:c r="D60" s="17" t="str">
        <x:f>"title: "&amp;'Target Products'!C60&amp;" | leaf_category: "&amp;'Target Products'!E60&amp;" | store: "&amp;'Target Products'!L60&amp;" | details: "&amp;'Target Products'!G60</x:f>
        <x:v>title: Amazon Essentials Men's Short-Sleeve Crewneck T-Shirt, Pack of 2 | leaf_category: T-Shirts | store: Amazon Essentials | details: Package Dimensions: 13.23 x 10.12 x 1.69 inches; 15.2 Ounces | Item model number: S17AE45000 | Department: Mens | Date First Available: May 31, 2022 | Manufacturer: Amazon Essentials</x:v>
      </x:c>
      <x:c r="E60" s="17" t="str">
        <x:f>"scenario: "&amp;'Sessions'!B60&amp;" | current_message: "&amp;'Sessions'!M60&amp;" | profile_soft_tags: "&amp;'Sessions'!I60</x:f>
        <x:v>scenario: browsing | current_message: I'm looking for Shirts T-Shirts, but I'm still exploring. | profile_soft_tags: fit | durability | style | material</x:v>
      </x:c>
      <x:c r="F60" s="17" t="str">
        <x:f>'Intent Cards'!D60&amp;IF('Intent Cards'!F60&lt;&gt;""," | "&amp;'Intent Cards'!F60,"")</x:f>
        <x:v>cotton | Solids: 100% Cotton; Heathers: 60% Cotton, 40% Polyester</x:v>
      </x:c>
      <x:c r="G60" s="17" t="str">
        <x:f>'Sessions'!I60</x:f>
        <x:v>fit | durability | style | material</x:v>
      </x:c>
      <x:c r="H60" s="77" t="n">
        <x:f>LEN(C60)</x:f>
        <x:v>862</x:v>
      </x:c>
      <x:c r="I60" s="77" t="n">
        <x:f>IF(H60&gt;2400,3,IF(H60&gt;1200,2,1))</x:f>
        <x:v>1</x:v>
      </x:c>
      <x:c r="J60" s="17" t="str">
        <x:f>IF('Sessions'!B60="intent_override","Drop superseded values before query embedding",IF('Sessions'!B60="boundary","Do not invent a value for no-preference attributes","Keep profile tags soft; current message wins"))</x:f>
        <x:v>Keep profile tags soft; current message wins</x:v>
      </x:c>
    </x:row>
    <x:row r="61" ht="72" customHeight="1">
      <x:c r="A61" t="str">
        <x:f>'Sessions'!A61</x:f>
        <x:v>public_0057</x:v>
      </x:c>
      <x:c r="B61" t="str">
        <x:f>'Target Products'!B61</x:f>
        <x:v>B085RX192V</x:v>
      </x:c>
      <x:c r="C61" s="17" t="str">
        <x:f>"title: "&amp;'Target Products'!C61&amp;" | categories: "&amp;'Target Products'!D61&amp;" | features: "&amp;'Target Products'!F61&amp;" | details: "&amp;'Target Products'!G61&amp;" | description: "&amp;'Target Products'!H61</x:f>
        <x:v>title: Crocs Women’s Freesail Clog | categories: Clothing, Shoes &amp; Jewelry | Women | Shoes | Mules &amp; Clogs | features: 100% Croslite | Imported | Ethylene Vinyl Acetate sole | Shaft measures approximately 0#inches from arch | Heel measures approximately 0.8" | COMFORTABLE MULE FOR WOMEN: With a color and style for every personality, the Freesail Clogs are the Crocs women need to start a comfort revolution around the world | LIGHTWEIGHT AND FUN: The Crocs for women feature lightweight Iconic Crocs Comfort. Ventilation ports add breathability and help shed water and debris quickly | WHAT SIZE SHOULD I BUY?: These shoes offer a relaxed fit and we recommend ordering a size down to the next largest whole size | DESIGNED TO FIT: These slip-on clogs are easy to take on and off, while being extremely durable. These Crocs can be customized with Jibbitz charms to reflect your own personal flair | EASY TO CLEAN: The Crocs Freesail Clogs are not only comfortable but also easy to clean just using soap and water and allowing for a quick dry | details: Item Weight: 4 Ounces | Item model number: 206216 | Department: Womens | Date First Available: May 4, 2016 | Manufacturer: Crocs | description: Elegant floral graphics croslite foam construction for support and cushioning customizable with jibbitz charms iconic Crocs comfort: lightweight. Flexible. 360-Degree comfort.</x:v>
      </x:c>
      <x:c r="D61" s="17" t="str">
        <x:f>"title: "&amp;'Target Products'!C61&amp;" | leaf_category: "&amp;'Target Products'!E61&amp;" | store: "&amp;'Target Products'!L61&amp;" | details: "&amp;'Target Products'!G61</x:f>
        <x:v>title: Crocs Women’s Freesail Clog | leaf_category: Mules &amp; Clogs | store: Crocs | details: Item Weight: 4 Ounces | Item model number: 206216 | Department: Womens | Date First Available: May 4, 2016 | Manufacturer: Crocs</x:v>
      </x:c>
      <x:c r="E61" s="17" t="str">
        <x:f>"scenario: "&amp;'Sessions'!B61&amp;" | current_message: "&amp;'Sessions'!M61&amp;" | profile_soft_tags: "&amp;'Sessions'!I61</x:f>
        <x:v>scenario: browsing | current_message: I'm looking for Shoes Mules &amp; Clogs, but I'm still exploring. | profile_soft_tags: general shopping</x:v>
      </x:c>
      <x:c r="F61" s="17" t="str">
        <x:f>'Intent Cards'!D61&amp;IF('Intent Cards'!F61&lt;&gt;""," | "&amp;'Intent Cards'!F61,"")</x:f>
        <x:v>100% Croslite | Imported</x:v>
      </x:c>
      <x:c r="G61" s="17" t="str">
        <x:f>'Sessions'!I61</x:f>
        <x:v>general shopping</x:v>
      </x:c>
      <x:c r="H61" s="77" t="n">
        <x:f>LEN(C61)</x:f>
        <x:v>1373</x:v>
      </x:c>
      <x:c r="I61" s="77" t="n">
        <x:f>IF(H61&gt;2400,3,IF(H61&gt;1200,2,1))</x:f>
        <x:v>2</x:v>
      </x:c>
      <x:c r="J61" s="17" t="str">
        <x:f>IF('Sessions'!B61="intent_override","Drop superseded values before query embedding",IF('Sessions'!B61="boundary","Do not invent a value for no-preference attributes","Keep profile tags soft; current message wins"))</x:f>
        <x:v>Keep profile tags soft; current message wins</x:v>
      </x:c>
    </x:row>
    <x:row r="62" ht="72" customHeight="1">
      <x:c r="A62" t="str">
        <x:f>'Sessions'!A62</x:f>
        <x:v>public_0058</x:v>
      </x:c>
      <x:c r="B62" t="str">
        <x:f>'Target Products'!B62</x:f>
        <x:v>B08L83YQTZ</x:v>
      </x:c>
      <x:c r="C62" s="17" t="str">
        <x:f>"title: "&amp;'Target Products'!C62&amp;" | categories: "&amp;'Target Products'!D62&amp;" | features: "&amp;'Target Products'!F62&amp;" | details: "&amp;'Target Products'!G62&amp;" | description: "&amp;'Target Products'!H62</x:f>
        <x:v>title: JTANIB Women Packable Rain Jacket Waterproof Lightweight Raincoat Hooded for Hiking Outdoor Travel | categories: Clothing, Shoes &amp; Jewelry | Women | Clothing | Coats, Jackets &amp; Vests | Trench, Rain &amp; Anoraks | Raincoats | features: 100% Polyester | Imported | Zipper closure | 【EFFORTLESS STORAGE】: Simple folding and fit easily into the storage bag, the rain jacket is lightweight only 0.33lb, this packable rain jacket easily carried on the back or in your travel bag then ready to go, takes up no space at all. Perfect for those long-distance hiking. | 【PROFESSIONAL SUNSCREEN】: Wind, rain, or heat won't ruin your travelling experience with our raincoat! When you go outdoors, professional UV resistant fabric helps block harmful ultraviolet rays, with a blocking rate of up to 99.95%, constantly protecting your skin health. | 【ENHANCED WATERPROOF】：Whether it's rainy or foggy, the newly upgraded waterproof rain jacket can effectively block the penetration of water molecules and quickly dry out after wind and rain. | 【PROTABLE DESIGN】：With a big hooded hat design, you don’t need to worry about strong winds at night, pull the rope easily to protect your head while standing in the wind. | 【MUTI COLOR&amp;SCENE USE】: Please bring our windbreaker when riding a mountain. Multi color is easier to detect and protect yourself in extremely dangerous situations. | details: Package Dimensions: 15.75 x 12.99 x 1.18 inches; 8.82 Ounces | Department: womens | Date First Available: October 15, 2020 | description: </x:v>
      </x:c>
      <x:c r="D62" s="17" t="str">
        <x:f>"title: "&amp;'Target Products'!C62&amp;" | leaf_category: "&amp;'Target Products'!E62&amp;" | store: "&amp;'Target Products'!L62&amp;" | details: "&amp;'Target Products'!G62</x:f>
        <x:v>title: JTANIB Women Packable Rain Jacket Waterproof Lightweight Raincoat Hooded for Hiking Outdoor Travel | leaf_category: Raincoats | store: JTANIB | details: Package Dimensions: 15.75 x 12.99 x 1.18 inches; 8.82 Ounces | Department: womens | Date First Available: October 15, 2020</x:v>
      </x:c>
      <x:c r="E62" s="17" t="str">
        <x:f>"scenario: "&amp;'Sessions'!B62&amp;" | current_message: "&amp;'Sessions'!M62&amp;" | profile_soft_tags: "&amp;'Sessions'!I62</x:f>
        <x:v>scenario: buying | current_message: I'm looking for Rain &amp; Anoraks Raincoats. A key requirement is: polyester. | profile_soft_tags: material | durability | fit | comfort</x:v>
      </x:c>
      <x:c r="F62" s="17" t="str">
        <x:f>'Intent Cards'!D62&amp;IF('Intent Cards'!F62&lt;&gt;""," | "&amp;'Intent Cards'!F62,"")</x:f>
        <x:v>polyester | 100% Polyester</x:v>
      </x:c>
      <x:c r="G62" s="17" t="str">
        <x:f>'Sessions'!I62</x:f>
        <x:v>material | durability | fit | comfort</x:v>
      </x:c>
      <x:c r="H62" s="77" t="n">
        <x:f>LEN(C62)</x:f>
        <x:v>1519</x:v>
      </x:c>
      <x:c r="I62" s="77" t="n">
        <x:f>IF(H62&gt;2400,3,IF(H62&gt;1200,2,1))</x:f>
        <x:v>2</x:v>
      </x:c>
      <x:c r="J62" s="17" t="str">
        <x:f>IF('Sessions'!B62="intent_override","Drop superseded values before query embedding",IF('Sessions'!B62="boundary","Do not invent a value for no-preference attributes","Keep profile tags soft; current message wins"))</x:f>
        <x:v>Keep profile tags soft; current message wins</x:v>
      </x:c>
    </x:row>
    <x:row r="63" ht="72" customHeight="1">
      <x:c r="A63" t="str">
        <x:f>'Sessions'!A63</x:f>
        <x:v>public_0059</x:v>
      </x:c>
      <x:c r="B63" t="str">
        <x:f>'Target Products'!B63</x:f>
        <x:v>B01H6DGA16</x:v>
      </x:c>
      <x:c r="C63" s="17" t="str">
        <x:f>"title: "&amp;'Target Products'!C63&amp;" | categories: "&amp;'Target Products'!D63&amp;" | features: "&amp;'Target Products'!F63&amp;" | details: "&amp;'Target Products'!G63&amp;" | description: "&amp;'Target Products'!H63</x:f>
        <x:v>title: Supplim Women's Body Shaper Waist Cincher Underbust Corset Bodysuit Shapewear | categories: Clothing, Shoes &amp; Jewelry | Women | Clothing | Lingerie, Sleep &amp; Lounge | Lingerie | Shapewear | Bodysuits | features: 62.4% Nylon 37.6% Spandex | Imported | Pull On closure | Hand Wash Only | MEASURE WAISTLINE and CHOOSE BEST SIZE - Fupa control shapewear runs samller,refer to left Size Chart Picture and measure waistline(1 inch above navel),we advise size up if you are currently between 2 sizes. For any confusion, please contact us at once &amp; we are always happy to serve you. | BREATHABLE &amp; COMFORTABLE SHAPEWEAR - This body shaper is made of high-quality Polyamide + Spandex and sexy lace with strong elasticity for all day wearing; double-layer fabrics around midsection design help to flatten your tummy,reduce your waistline and suck your stomach in with moderate compression,give you a smoother and emphasize you're natural curves. | INVISIBLE COMPRESSION SHAPEWEAR - Seamless shapewear for women tummy control, 360 degree fajas bodysuit trim waist compress belly and lift the butt, seamless handicraf make it invisible under your daily outfits with no panty lines, give you a smoother and slimmer look immediately. | 🩱 U-SHAPE OPEN BUST BODYSUITS - The U-type underbust corset push up breast effectively, allow you wear your favorite bra and makes your breast appealing and more erect. Adjustable wide straps of this faja bodysuit are with non-slip design, high elasticity make it snug to wear, firm control the loose fat around your armpits and back. | CONVENIENT USE &amp; BUTT LIFTER SHAPEWEAR - The buttock part of this firm control shapewear help tighten our bottom and enhance hip abundant. It creates a natural lift to your hips, flatters any body type and gives you the sexy curve you want, making your butts look bigger and sexier. The exclusive open crotch design in bottom makes it more comfortable and simple to go to the bathroom without having to remove body shaper. | APPLICABLE CROWD &amp; OCCASIONS - This fajas colombianas shapewear bodysuit could be as a waist trainer, flatten abdomen,reduce waistline,hide unwanted bulges,supostpartum recovery, improve posture.Also for everyone slimming abdomen tuck bodysuit can be used during working, workout sports, fitness excise, formal occasions, wedding, dating, party, daily life, expedite fat burn while exercise, to loss weight and keep healthy, gives you a perfect feminine figure. | details: Department: Womens | Date First Available: June 17, 2016 | description: </x:v>
      </x:c>
      <x:c r="D63" s="17" t="str">
        <x:f>"title: "&amp;'Target Products'!C63&amp;" | leaf_category: "&amp;'Target Products'!E63&amp;" | store: "&amp;'Target Products'!L63&amp;" | details: "&amp;'Target Products'!G63</x:f>
        <x:v>title: Supplim Women's Body Shaper Waist Cincher Underbust Corset Bodysuit Shapewear | leaf_category: Bodysuits | store: Supplim | details: Department: Womens | Date First Available: June 17, 2016</x:v>
      </x:c>
      <x:c r="E63" s="17" t="str">
        <x:f>"scenario: "&amp;'Sessions'!B63&amp;" | current_message: "&amp;'Sessions'!M63&amp;" | profile_soft_tags: "&amp;'Sessions'!I63</x:f>
        <x:v>scenario: browsing | current_message: I'm looking for Shapewear Bodysuits, but I'm still exploring. | profile_soft_tags: fit | style | material | comfort</x:v>
      </x:c>
      <x:c r="F63" s="17" t="str">
        <x:f>'Intent Cards'!D63&amp;IF('Intent Cards'!F63&lt;&gt;""," | "&amp;'Intent Cards'!F63,"")</x:f>
        <x:v>nylon | 62.4% Nylon 37.6% Spandex</x:v>
      </x:c>
      <x:c r="G63" s="17" t="str">
        <x:f>'Sessions'!I63</x:f>
        <x:v>fit | style | material | comfort</x:v>
      </x:c>
      <x:c r="H63" s="77" t="n">
        <x:f>LEN(C63)</x:f>
        <x:v>2536</x:v>
      </x:c>
      <x:c r="I63" s="77" t="n">
        <x:f>IF(H63&gt;2400,3,IF(H63&gt;1200,2,1))</x:f>
        <x:v>3</x:v>
      </x:c>
      <x:c r="J63" s="17" t="str">
        <x:f>IF('Sessions'!B63="intent_override","Drop superseded values before query embedding",IF('Sessions'!B63="boundary","Do not invent a value for no-preference attributes","Keep profile tags soft; current message wins"))</x:f>
        <x:v>Keep profile tags soft; current message wins</x:v>
      </x:c>
    </x:row>
    <x:row r="64" ht="72" customHeight="1">
      <x:c r="A64" t="str">
        <x:f>'Sessions'!A64</x:f>
        <x:v>public_0060</x:v>
      </x:c>
      <x:c r="B64" t="str">
        <x:f>'Target Products'!B64</x:f>
        <x:v>B08R61K9B9</x:v>
      </x:c>
      <x:c r="C64" s="17" t="str">
        <x:f>"title: "&amp;'Target Products'!C64&amp;" | categories: "&amp;'Target Products'!D64&amp;" | features: "&amp;'Target Products'!F64&amp;" | details: "&amp;'Target Products'!G64&amp;" | description: "&amp;'Target Products'!H64</x:f>
        <x:v>title: Fruit of the Loom mens Woven Sleep Pajama Pant | categories: Clothing, Shoes &amp; Jewelry | Men | Clothing | Sleep &amp; Lounge | Sleep Bottoms | features: 55% Cotton, 45% Polyester | Imported | Drawstring Waist closure | Machine Wash | Soft-hand feel/woven fabric | Elasticized waist with twill tape draw cord of contrasting color | Two side slit pockets | Tag-free label for comfort | Relaxed fit | details: Department: Mens | Date First Available: December 21, 2020 | Manufacturer: Fruit of the Loom | description: When it comes to men's sleepwear options, there are only a few that capture the true essence of in-home, lounge wear, befitting the modern man, especially when he is leisure and at play. Fruit of the Loom Men's Woven Broadcloth Sleep Pant is the kind of sleep pant that you put on and never want to take off. You'll find yourself reluctantly removing them in the morning when it's time for work. When the weekend comes, though, it's all about the woven sleep pant! The pants keep you warm and snuggly throughout the day and night. The relaxed fit is perfect for either hanging around the house or tackling any projects on your to-do list. With two side slit pockets with plenty of storage space (for the remote control, your mobile phone and a few random knick-knacks here and there), you can stay on the couch without having to get up, except maybe when it's time to fix a snack or a meal. The elasticized waistband with the hidden twill tape draw cord gives you the freedom to adjust the fit as needed. Fruit of the Loom has truly hit it out of the ballpark with these woven broadcloth pants, ideal for the modern man.</x:v>
      </x:c>
      <x:c r="D64" s="17" t="str">
        <x:f>"title: "&amp;'Target Products'!C64&amp;" | leaf_category: "&amp;'Target Products'!E64&amp;" | store: "&amp;'Target Products'!L64&amp;" | details: "&amp;'Target Products'!G64</x:f>
        <x:v>title: Fruit of the Loom mens Woven Sleep Pajama Pant | leaf_category: Sleep Bottoms | store: Fruit of the Loom | details: Department: Mens | Date First Available: December 21, 2020 | Manufacturer: Fruit of the Loom</x:v>
      </x:c>
      <x:c r="E64" s="17" t="str">
        <x:f>"scenario: "&amp;'Sessions'!B64&amp;" | current_message: "&amp;'Sessions'!M64&amp;" | profile_soft_tags: "&amp;'Sessions'!I64</x:f>
        <x:v>scenario: browsing | current_message: I'm looking for Sleep &amp; Lounge Sleep Bottoms, but I'm still exploring. | profile_soft_tags: material | fit | style | warmth</x:v>
      </x:c>
      <x:c r="F64" s="17" t="str">
        <x:f>'Intent Cards'!D64&amp;IF('Intent Cards'!F64&lt;&gt;""," | "&amp;'Intent Cards'!F64,"")</x:f>
        <x:v>cotton | 55% Cotton, 45% Polyester</x:v>
      </x:c>
      <x:c r="G64" s="17" t="str">
        <x:f>'Sessions'!I64</x:f>
        <x:v>material | fit | style | warmth</x:v>
      </x:c>
      <x:c r="H64" s="77" t="n">
        <x:f>LEN(C64)</x:f>
        <x:v>1638</x:v>
      </x:c>
      <x:c r="I64" s="77" t="n">
        <x:f>IF(H64&gt;2400,3,IF(H64&gt;1200,2,1))</x:f>
        <x:v>2</x:v>
      </x:c>
      <x:c r="J64" s="17" t="str">
        <x:f>IF('Sessions'!B64="intent_override","Drop superseded values before query embedding",IF('Sessions'!B64="boundary","Do not invent a value for no-preference attributes","Keep profile tags soft; current message wins"))</x:f>
        <x:v>Keep profile tags soft; current message wins</x:v>
      </x:c>
    </x:row>
    <x:row r="65" ht="72" customHeight="1">
      <x:c r="A65" t="str">
        <x:f>'Sessions'!A65</x:f>
        <x:v>public_0061</x:v>
      </x:c>
      <x:c r="B65" t="str">
        <x:f>'Target Products'!B65</x:f>
        <x:v>B08HCP9YTV</x:v>
      </x:c>
      <x:c r="C65" s="17" t="str">
        <x:f>"title: "&amp;'Target Products'!C65&amp;" | categories: "&amp;'Target Products'!D65&amp;" | features: "&amp;'Target Products'!F65&amp;" | details: "&amp;'Target Products'!G65&amp;" | description: "&amp;'Target Products'!H65</x:f>
        <x:v>title: 1pc Surgical Steel Piercing Ring for Nose Septum Cartilage Helix Tragus Conch Rook Daith Lobe 20g-18g-16g-14g-12g-10g 5mm-6mm-7mm-8mm-9mm-10mm-11mm-12mm-14mm-16mm Silver/Gold/Rose Gold/Black/Rainbow | categories: Clothing, Shoes &amp; Jewelry | Women | Jewelry | Body Jewelry | Piercing Jewelry | Rings | features: Snap closure | Sold by piece! 14g nose hoop ring size: 14 gauge (ring thickness: 1.6mm), inner diameter 6mm (15/64" ).Gauge means the thickness of the hoop.Please decide the gauge firstly (measure the ring you had or ask the piercing shop for you),then choose a right inner diameter for your nose or ear piercings. | This hinged nose ring hoop is very easy to put in and close and you can't see the seams, comfortable to wear without sharp edge. It spins completely, makes for easy cleaning. You can sleep, work and have a shower with it in because the snaps closed well and won't fall out. And it won't fall out in the shower. | Hoop nose ring material: 316L surgical steel.Works fine for most people who are sensitve to base metals.Perfect for nose,septum,nostril,cartilage,helix,tragus,conch,daith,rook,ear lobe,lip,nipple,eyebow and belly piercings. | Nose rings hoops color and size options: silver,gold,rose gold,black,rainbow and blue are available.20g /20 gauge, 18g /18 gauge,16g /16 gauge, 14g /14 gauge, 12g /12 gauge, 10g/10 gauge are available. Inner diameter options:5mm,6mm,7mm,8mm,9mm,10mm,11mm,12mm,13mm,14mm,16mm. | Please feel free to contact our service team if you have any question | details: Department: womens | Date First Available: December 27, 2019 | Manufacturer: zhenghao | description: </x:v>
      </x:c>
      <x:c r="D65" s="17" t="str">
        <x:f>"title: "&amp;'Target Products'!C65&amp;" | leaf_category: "&amp;'Target Products'!E65&amp;" | store: "&amp;'Target Products'!L65&amp;" | details: "&amp;'Target Products'!G65</x:f>
        <x:v>title: 1pc Surgical Steel Piercing Ring for Nose Septum Cartilage Helix Tragus Conch Rook Daith Lobe 20g-18g-16g-14g-12g-10g 5mm-6mm-7mm-8mm-9mm-10mm-11mm-12mm-14mm-16mm Silver/Gold/Rose Gold/Black/Rainbow | leaf_category: Rings | store: JOFUKIN | details: Department: womens | Date First Available: December 27, 2019 | Manufacturer: zhenghao</x:v>
      </x:c>
      <x:c r="E65" s="17" t="str">
        <x:f>"scenario: "&amp;'Sessions'!B65&amp;" | current_message: "&amp;'Sessions'!M65&amp;" | profile_soft_tags: "&amp;'Sessions'!I65</x:f>
        <x:v>scenario: buying | current_message: I'm looking for Piercing Jewelry Rings. A key requirement is: Snap closure. | profile_soft_tags: material | comfort</x:v>
      </x:c>
      <x:c r="F65" s="17" t="str">
        <x:f>'Intent Cards'!D65&amp;IF('Intent Cards'!F65&lt;&gt;""," | "&amp;'Intent Cards'!F65,"")</x:f>
        <x:v>Snap closure | color: black</x:v>
      </x:c>
      <x:c r="G65" s="17" t="str">
        <x:f>'Sessions'!I65</x:f>
        <x:v>material | comfort</x:v>
      </x:c>
      <x:c r="H65" s="77" t="n">
        <x:f>LEN(C65)</x:f>
        <x:v>1634</x:v>
      </x:c>
      <x:c r="I65" s="77" t="n">
        <x:f>IF(H65&gt;2400,3,IF(H65&gt;1200,2,1))</x:f>
        <x:v>2</x:v>
      </x:c>
      <x:c r="J65" s="17" t="str">
        <x:f>IF('Sessions'!B65="intent_override","Drop superseded values before query embedding",IF('Sessions'!B65="boundary","Do not invent a value for no-preference attributes","Keep profile tags soft; current message wins"))</x:f>
        <x:v>Keep profile tags soft; current message wins</x:v>
      </x:c>
    </x:row>
    <x:row r="66" ht="72" customHeight="1">
      <x:c r="A66" t="str">
        <x:f>'Sessions'!A66</x:f>
        <x:v>public_0062</x:v>
      </x:c>
      <x:c r="B66" t="str">
        <x:f>'Target Products'!B66</x:f>
        <x:v>B015K51VPM</x:v>
      </x:c>
      <x:c r="C66" s="17" t="str">
        <x:f>"title: "&amp;'Target Products'!C66&amp;" | categories: "&amp;'Target Products'!D66&amp;" | features: "&amp;'Target Products'!F66&amp;" | details: "&amp;'Target Products'!G66&amp;" | description: "&amp;'Target Products'!H66</x:f>
        <x:v>title: chouyatou Women's Casual Stretch Waist Washed Denim A-line Maxi Skirt | categories: Clothing, Shoes &amp; Jewelry | Women | Clothing | Skirts | Casual | features: Fabric: 70%Cotton, 28.5%Polyester, 1.5%Spandex | Imported | Tie closure | Wash inside out, separately from other colors | Lining out wash cold separately, do not bleach | Maxi denim skirt for women featuring classic and plain design, basic a line flared silhouette, full ankle length, elastic waist in high rise, which can offer you more comort | High waisted jean skirt with 5 pockets, made of soft and premium washed denim farbic, solid color: black/ blue/ deep blue available, vintage and trendy style; Suit for every season to wear because of the medium thickness | Versatile maxi skirt in wardrobe. You can match this long skirt with your t shirt, crop top, sweater, sweatshirt, jacket, coats, etc. Perfect choice for daily life, streetwear, school, office, work, weekend, going out, travel, beach, party, etc | SIZE: Please refer to the Last Picture -"Size Chart" before ordering. If you are not sure about the size, please contact us without hesitation | details: Product Dimensions: 1 x 1 x 1 inches; 1 Pounds | Department: Womens | Date First Available: March 6, 2017 | description: </x:v>
      </x:c>
      <x:c r="D66" s="17" t="str">
        <x:f>"title: "&amp;'Target Products'!C66&amp;" | leaf_category: "&amp;'Target Products'!E66&amp;" | store: "&amp;'Target Products'!L66&amp;" | details: "&amp;'Target Products'!G66</x:f>
        <x:v>title: chouyatou Women's Casual Stretch Waist Washed Denim A-line Maxi Skirt | leaf_category: Casual | store: chouyatou | details: Product Dimensions: 1 x 1 x 1 inches; 1 Pounds | Department: Womens | Date First Available: March 6, 2017</x:v>
      </x:c>
      <x:c r="E66" s="17" t="str">
        <x:f>"scenario: "&amp;'Sessions'!B66&amp;" | current_message: "&amp;'Sessions'!M66&amp;" | profile_soft_tags: "&amp;'Sessions'!I66</x:f>
        <x:v>scenario: browsing | current_message: I'm looking for Skirts Casual, but I'm still exploring. | profile_soft_tags: style</x:v>
      </x:c>
      <x:c r="F66" s="17" t="str">
        <x:f>'Intent Cards'!D66&amp;IF('Intent Cards'!F66&lt;&gt;""," | "&amp;'Intent Cards'!F66,"")</x:f>
        <x:v>fabric | color: black</x:v>
      </x:c>
      <x:c r="G66" s="17" t="str">
        <x:f>'Sessions'!I66</x:f>
        <x:v>style</x:v>
      </x:c>
      <x:c r="H66" s="77" t="n">
        <x:f>LEN(C66)</x:f>
        <x:v>1258</x:v>
      </x:c>
      <x:c r="I66" s="77" t="n">
        <x:f>IF(H66&gt;2400,3,IF(H66&gt;1200,2,1))</x:f>
        <x:v>2</x:v>
      </x:c>
      <x:c r="J66" s="17" t="str">
        <x:f>IF('Sessions'!B66="intent_override","Drop superseded values before query embedding",IF('Sessions'!B66="boundary","Do not invent a value for no-preference attributes","Keep profile tags soft; current message wins"))</x:f>
        <x:v>Keep profile tags soft; current message wins</x:v>
      </x:c>
    </x:row>
    <x:row r="67" ht="72" customHeight="1">
      <x:c r="A67" t="str">
        <x:f>'Sessions'!A67</x:f>
        <x:v>public_0063</x:v>
      </x:c>
      <x:c r="B67" t="str">
        <x:f>'Target Products'!B67</x:f>
        <x:v>B09MKL5TBK</x:v>
      </x:c>
      <x:c r="C67" s="17" t="str">
        <x:f>"title: "&amp;'Target Products'!C67&amp;" | categories: "&amp;'Target Products'!D67&amp;" | features: "&amp;'Target Products'!F67&amp;" | details: "&amp;'Target Products'!G67&amp;" | description: "&amp;'Target Products'!H67</x:f>
        <x:v>title: BALEAF Womens' 7" Long Running Athletic Shorts with Liner Workout Zipper Pocket | categories: Clothing, Shoes &amp; Jewelry | Sport Specific Clothing | Running | Women | Shorts | features: Body: 95% Polyester, 5% Spandex; Waist: 90% Polyester, 10% Spandex; Liner: 90% Polyester, 10% Spandex | elastic closure | 3" Width Waistband: The elastic flat waist provides tummy control and features 4-way stretch performance. | 7" Inseam: Made of lightweight and stretchy fabric, the 7 inches loose-fit shorts provide free movement without rubbing and chafing during activities. | Built-in Briefs: Soft briefs provide a supportive, breathable fit when exercising. | Back Zipper Pocket: 1 zipper pocket on the rear waist secures essentials like money, keys, ID cards, or gels. | Occasions: Perfect for everyday wear, running, workout, sports, yoga, gym, travel, beach, pilates, fitness, and other activities. | details: Department: Womens | Date First Available: October 22, 2019 | description: </x:v>
      </x:c>
      <x:c r="D67" s="17" t="str">
        <x:f>"title: "&amp;'Target Products'!C67&amp;" | leaf_category: "&amp;'Target Products'!E67&amp;" | store: "&amp;'Target Products'!L67&amp;" | details: "&amp;'Target Products'!G67</x:f>
        <x:v>title: BALEAF Womens' 7" Long Running Athletic Shorts with Liner Workout Zipper Pocket | leaf_category: Shorts | store: BALEAF | details: Department: Womens | Date First Available: October 22, 2019</x:v>
      </x:c>
      <x:c r="E67" s="17" t="str">
        <x:f>"scenario: "&amp;'Sessions'!B67&amp;" | current_message: "&amp;'Sessions'!M67&amp;" | profile_soft_tags: "&amp;'Sessions'!I67</x:f>
        <x:v>scenario: browsing | current_message: I'm looking for Women Shorts, but I'm still exploring. | profile_soft_tags: comfort | fit | style | durability</x:v>
      </x:c>
      <x:c r="F67" s="17" t="str">
        <x:f>'Intent Cards'!D67&amp;IF('Intent Cards'!F67&lt;&gt;""," | "&amp;'Intent Cards'!F67,"")</x:f>
        <x:v>polyester | Body: 95% Polyester, 5% Spandex; Waist: 90% Polyester, 10% Spandex; Liner: 90% Polyester, 10% Spandex</x:v>
      </x:c>
      <x:c r="G67" s="17" t="str">
        <x:f>'Sessions'!I67</x:f>
        <x:v>comfort | fit | style | durability</x:v>
      </x:c>
      <x:c r="H67" s="77" t="n">
        <x:f>LEN(C67)</x:f>
        <x:v>988</x:v>
      </x:c>
      <x:c r="I67" s="77" t="n">
        <x:f>IF(H67&gt;2400,3,IF(H67&gt;1200,2,1))</x:f>
        <x:v>1</x:v>
      </x:c>
      <x:c r="J67" s="17" t="str">
        <x:f>IF('Sessions'!B67="intent_override","Drop superseded values before query embedding",IF('Sessions'!B67="boundary","Do not invent a value for no-preference attributes","Keep profile tags soft; current message wins"))</x:f>
        <x:v>Keep profile tags soft; current message wins</x:v>
      </x:c>
    </x:row>
    <x:row r="68" ht="72" customHeight="1">
      <x:c r="A68" t="str">
        <x:f>'Sessions'!A68</x:f>
        <x:v>public_0064</x:v>
      </x:c>
      <x:c r="B68" t="str">
        <x:f>'Target Products'!B68</x:f>
        <x:v>B019DU687Q</x:v>
      </x:c>
      <x:c r="C68" s="17" t="str">
        <x:f>"title: "&amp;'Target Products'!C68&amp;" | categories: "&amp;'Target Products'!D68&amp;" | features: "&amp;'Target Products'!F68&amp;" | details: "&amp;'Target Products'!G68&amp;" | description: "&amp;'Target Products'!H68</x:f>
        <x:v>title: Memorose Womens Sexy Long Sleeve Cut-Out Bandage Bodycon Clubwear Midi Dress | categories: Clothing, Shoes &amp; Jewelry | Women | Clothing | Dresses | Club &amp; Night Out | features: cotton blend | Pull On closure | Hand Wash Only | Material: Cotton Blend Polyester Spandex With Good Elastic | Features of dress: Deep V Neck, Cut Out Front, Long Sleeves, Solid Color, Slim Fit Bodycon Bandage Clubwear Midi Dress | Suit for party, beach, evening, date, club, bar, dinner, office, birthday party, cocktail, nightclub, going out, dancing, homecoming, vacation, casual daily wear, etc. for women/juniors/teens/girls | Size S/M/L/XL Available, The Asian size is smaller than US size. S: Bust 31.25", Hips 33.75", Waist 25.25"; M: Bust 33.25", Hips 35.25", Waist 26.75"; L: Bust 34.75", Hips 37.75", Waist 28.25"; XL: Bust 36.25", Hips 38.5", Waist 30". Please compare the detail sizes, if you are not sure about your size, please choose one size up. | Care: Due to the difference between different monitors, the picture may not reflect the actual color of the item. Hand Wash Recommended With Cold Water/DON'T Bleach/Hang Or Line Dry | details: Is Discontinued By Manufacturer: No | Product Dimensions: 5.91 x 7.48 x 1.97 inches; 4.8 Ounces | Item model number: xpt044BlackL | Department: Womens | Date First Available: December 15, 2015 | Manufacturer: Memorose | description: </x:v>
      </x:c>
      <x:c r="D68" s="17" t="str">
        <x:f>"title: "&amp;'Target Products'!C68&amp;" | leaf_category: "&amp;'Target Products'!E68&amp;" | store: "&amp;'Target Products'!L68&amp;" | details: "&amp;'Target Products'!G68</x:f>
        <x:v>title: Memorose Womens Sexy Long Sleeve Cut-Out Bandage Bodycon Clubwear Midi Dress | leaf_category: Club &amp; Night Out | store: Memorose | details: Is Discontinued By Manufacturer: No | Product Dimensions: 5.91 x 7.48 x 1.97 inches; 4.8 Ounces | Item model number: xpt044BlackL | Department: Womens | Date First Available: December 15, 2015 | Manufacturer: Memorose</x:v>
      </x:c>
      <x:c r="E68" s="17" t="str">
        <x:f>"scenario: "&amp;'Sessions'!B68&amp;" | current_message: "&amp;'Sessions'!M68&amp;" | profile_soft_tags: "&amp;'Sessions'!I68</x:f>
        <x:v>scenario: intent_override | current_message: I'm looking for Dresses Club &amp; Night Out. Hand Wash Only | profile_soft_tags: comfort | performance | durability | style</x:v>
      </x:c>
      <x:c r="F68" s="17" t="str">
        <x:f>'Intent Cards'!D68&amp;IF('Intent Cards'!F68&lt;&gt;""," | "&amp;'Intent Cards'!F68,"")</x:f>
        <x:v>cotton | cotton blend</x:v>
      </x:c>
      <x:c r="G68" s="17" t="str">
        <x:f>'Sessions'!I68</x:f>
        <x:v>comfort | performance | durability | style</x:v>
      </x:c>
      <x:c r="H68" s="77" t="n">
        <x:f>LEN(C68)</x:f>
        <x:v>1375</x:v>
      </x:c>
      <x:c r="I68" s="77" t="n">
        <x:f>IF(H68&gt;2400,3,IF(H68&gt;1200,2,1))</x:f>
        <x:v>2</x:v>
      </x:c>
      <x:c r="J68" s="17" t="str">
        <x:f>IF('Sessions'!B68="intent_override","Drop superseded values before query embedding",IF('Sessions'!B68="boundary","Do not invent a value for no-preference attributes","Keep profile tags soft; current message wins"))</x:f>
        <x:v>Drop superseded values before query embedding</x:v>
      </x:c>
    </x:row>
    <x:row r="69" ht="72" customHeight="1">
      <x:c r="A69" t="str">
        <x:f>'Sessions'!A69</x:f>
        <x:v>public_0065</x:v>
      </x:c>
      <x:c r="B69" t="str">
        <x:f>'Target Products'!B69</x:f>
        <x:v>B0BSQ9TCYC</x:v>
      </x:c>
      <x:c r="C69" s="17" t="str">
        <x:f>"title: "&amp;'Target Products'!C69&amp;" | categories: "&amp;'Target Products'!D69&amp;" | features: "&amp;'Target Products'!F69&amp;" | details: "&amp;'Target Products'!G69&amp;" | description: "&amp;'Target Products'!H69</x:f>
        <x:v>title: Arctix Women's Essential Insulated Bib Overalls | categories: Clothing, Shoes &amp; Jewelry | Sport Specific Clothing | Skiing | Women | Bibs &amp; Pants | Bibs | features: 100% Polyester | Imported | Zipper closure | Machine Wash | Warm and durable yet lightweight enough to allow a full range of motion, these high-performance overalls feature a ThermaLock fabric shell with 85 grams of ThermaTech insulation to protect against temperatures from -20° to +35° | Heavy-duty zipper closure | Multi-layer fabric offers moisture-repelling power to ensure dryness and warmth in even the roughest weather | Adjustable suspenders offer customized fit, plus elasticized side gussets to accommodate extra mobility | Reinforced, sealed seams provide extra protection against wind and rain | details: Item model number: 1450 | Department: womens | Date First Available: January 4, 2021 | Manufacturer: Arctix | description: Season after season, the 1450 Arctix Women's Insulated Bib Overalls serve as an outstanding value priced snow bib and a versatile cornerstone of the Arctix line. These pants feature a 100% Polyester Dobby shell with ThermaLock W/R + W/P 3000mm Coating, offering a maximum degree of durability and protection from the elements, while allowing a full range of motion. 85 grams ThermaTech Insulation offers warmth in a lightweight, low bulk garment, keeping you warm at temperatures from -20° to +35° depending on your level of activity. DWR finish (Durable Water Repellent) helps repel water from fabric surface. The adjustable comfort suspenders provide the perfect fit with elasticized side gussets for maximum motion. The boot zippers make them easy for on and off access along with boot gaiters with grippers to form a seamless integration with the boots to keep the warmth in, and the moisture out. These relaxed fit pants also include 600 Denier Ballistic reinforced ankle, scuff and hem guards to hold up against daily wear &amp; tear, and conveniently has an O-ring for keys, gloves and/or lift tickets. The pants provide zippered hand warmer style pockets, zippered fly, and belt loops. They are water and wind resistant, and are conveniently machine washable. Sizing options include a Short 29" inseam (5'1" – 5'4" heights), Regular 31" inseam (5'5" – 5'8"), and Tall 33" inseam (5'9" – 6'1").</x:v>
      </x:c>
      <x:c r="D69" s="17" t="str">
        <x:f>"title: "&amp;'Target Products'!C69&amp;" | leaf_category: "&amp;'Target Products'!E69&amp;" | store: "&amp;'Target Products'!L69&amp;" | details: "&amp;'Target Products'!G69</x:f>
        <x:v>title: Arctix Women's Essential Insulated Bib Overalls | leaf_category: Bibs | store: Arctix | details: Item model number: 1450 | Department: womens | Date First Available: January 4, 2021 | Manufacturer: Arctix</x:v>
      </x:c>
      <x:c r="E69" s="17" t="str">
        <x:f>"scenario: "&amp;'Sessions'!B69&amp;" | current_message: "&amp;'Sessions'!M69&amp;" | profile_soft_tags: "&amp;'Sessions'!I69</x:f>
        <x:v>scenario: buying | current_message: I'm looking for Bibs &amp; Pants Bibs. A key requirement is: polyester. | profile_soft_tags: material | fit | comfort</x:v>
      </x:c>
      <x:c r="F69" s="17" t="str">
        <x:f>'Intent Cards'!D69&amp;IF('Intent Cards'!F69&lt;&gt;""," | "&amp;'Intent Cards'!F69,"")</x:f>
        <x:v>polyester | 100% Polyester</x:v>
      </x:c>
      <x:c r="G69" s="17" t="str">
        <x:f>'Sessions'!I69</x:f>
        <x:v>material | fit | comfort</x:v>
      </x:c>
      <x:c r="H69" s="77" t="n">
        <x:f>LEN(C69)</x:f>
        <x:v>2310</x:v>
      </x:c>
      <x:c r="I69" s="77" t="n">
        <x:f>IF(H69&gt;2400,3,IF(H69&gt;1200,2,1))</x:f>
        <x:v>2</x:v>
      </x:c>
      <x:c r="J69" s="17" t="str">
        <x:f>IF('Sessions'!B69="intent_override","Drop superseded values before query embedding",IF('Sessions'!B69="boundary","Do not invent a value for no-preference attributes","Keep profile tags soft; current message wins"))</x:f>
        <x:v>Keep profile tags soft; current message wins</x:v>
      </x:c>
    </x:row>
    <x:row r="70" ht="72" customHeight="1">
      <x:c r="A70" t="str">
        <x:f>'Sessions'!A70</x:f>
        <x:v>public_0066</x:v>
      </x:c>
      <x:c r="B70" t="str">
        <x:f>'Target Products'!B70</x:f>
        <x:v>B0BFLFSB2Y</x:v>
      </x:c>
      <x:c r="C70" s="17" t="str">
        <x:f>"title: "&amp;'Target Products'!C70&amp;" | categories: "&amp;'Target Products'!D70&amp;" | features: "&amp;'Target Products'!F70&amp;" | details: "&amp;'Target Products'!G70&amp;" | description: "&amp;'Target Products'!H70</x:f>
        <x:v>title: GRAPENT Women's Plus Size Sequin 3/4 Sleeves Evening Gown Party Long Maxi Dress | categories: Clothing, Shoes &amp; Jewelry | Women | Clothing | Dresses | Formal | features: 96% Polyester, 4% Spandex | Imported | Zipper closure | Dry Clean Only | This long dress features solid slim bodice to keep it modest, surplice neckline make you look sexy. | It comes in 3/4 sleeves and high waist with curve-cinching band, which will elongate your charming feminine silhouette. | Differs from its bustier design, this maxi dress has flared skirt detailing with sequins. Side zip closure. | This maxi dress is perfect for evening party, formal, club or other special occasions. | Model is 5'9", bust 40.5", waist 33", hip 42", bra cup D, wearing size Large / 12W. Size X-Large fits US 14W, Size XX-Large fits US 16W, Size 3X-Large fits US 18W, Size 4X-Large fits US 20W, Size 5X-Large fits US 22W, Size 6X-Large fits US 24W, Size 7X-Large fits US 26W. | details: Item model number: GP-KLAGOH | Department: Womens | Date First Available: March 2, 2017 | description: </x:v>
      </x:c>
      <x:c r="D70" s="17" t="str">
        <x:f>"title: "&amp;'Target Products'!C70&amp;" | leaf_category: "&amp;'Target Products'!E70&amp;" | store: "&amp;'Target Products'!L70&amp;" | details: "&amp;'Target Products'!G70</x:f>
        <x:v>title: GRAPENT Women's Plus Size Sequin 3/4 Sleeves Evening Gown Party Long Maxi Dress | leaf_category: Formal | store: GRAPENT | details: Item model number: GP-KLAGOH | Department: Womens | Date First Available: March 2, 2017</x:v>
      </x:c>
      <x:c r="E70" s="17" t="str">
        <x:f>"scenario: "&amp;'Sessions'!B70&amp;" | current_message: "&amp;'Sessions'!M70&amp;" | profile_soft_tags: "&amp;'Sessions'!I70</x:f>
        <x:v>scenario: buying | current_message: I'm looking for Dresses Formal. A key requirement is: polyester. | profile_soft_tags: fit | comfort | material | performance</x:v>
      </x:c>
      <x:c r="F70" s="17" t="str">
        <x:f>'Intent Cards'!D70&amp;IF('Intent Cards'!F70&lt;&gt;""," | "&amp;'Intent Cards'!F70,"")</x:f>
        <x:v>polyester | 96% Polyester, 4% Spandex</x:v>
      </x:c>
      <x:c r="G70" s="17" t="str">
        <x:f>'Sessions'!I70</x:f>
        <x:v>fit | comfort | material | performance</x:v>
      </x:c>
      <x:c r="H70" s="77" t="n">
        <x:f>LEN(C70)</x:f>
        <x:v>1059</x:v>
      </x:c>
      <x:c r="I70" s="77" t="n">
        <x:f>IF(H70&gt;2400,3,IF(H70&gt;1200,2,1))</x:f>
        <x:v>1</x:v>
      </x:c>
      <x:c r="J70" s="17" t="str">
        <x:f>IF('Sessions'!B70="intent_override","Drop superseded values before query embedding",IF('Sessions'!B70="boundary","Do not invent a value for no-preference attributes","Keep profile tags soft; current message wins"))</x:f>
        <x:v>Keep profile tags soft; current message wins</x:v>
      </x:c>
    </x:row>
    <x:row r="71" ht="72" customHeight="1">
      <x:c r="A71" t="str">
        <x:f>'Sessions'!A71</x:f>
        <x:v>public_0067</x:v>
      </x:c>
      <x:c r="B71" t="str">
        <x:f>'Target Products'!B71</x:f>
        <x:v>B09G9BXJZM</x:v>
      </x:c>
      <x:c r="C71" s="17" t="str">
        <x:f>"title: "&amp;'Target Products'!C71&amp;" | categories: "&amp;'Target Products'!D71&amp;" | features: "&amp;'Target Products'!F71&amp;" | details: "&amp;'Target Products'!G71&amp;" | description: "&amp;'Target Products'!H71</x:f>
        <x:v>title: TLZC Men's Lightweight Bomber Jacket Windbreaker Slim Fit Active Coat Outerwear | categories: Clothing, Shoes &amp; Jewelry | Men | Clothing | Jackets &amp; Coats | Lightweight Jackets | Windbreakers | features: Polyester | Imported | Zipper closure | Machine Wash | Style: thin, lightweight bomber jacket | Feature: rib collar, cuff and hem; zipper closure; functional pocket and inside pocket men jacket | Pattern: slim fit; stylish design, long sleeve windbreakers | Occasion: suiable for fall, spring and early winter; hiking, sports, running, casual fashion varsity jackets | Wash: machine washable but can not bleach | details: Package Dimensions: 11.02 x 7.87 x 0.79 inches; 1.21 Pounds | Item model number: bomber jacket-002 | Department: Mens | Date First Available: September 14, 2021 | description: </x:v>
      </x:c>
      <x:c r="D71" s="17" t="str">
        <x:f>"title: "&amp;'Target Products'!C71&amp;" | leaf_category: "&amp;'Target Products'!E71&amp;" | store: "&amp;'Target Products'!L71&amp;" | details: "&amp;'Target Products'!G71</x:f>
        <x:v>title: TLZC Men's Lightweight Bomber Jacket Windbreaker Slim Fit Active Coat Outerwear | leaf_category: Windbreakers | store: TLZC | details: Package Dimensions: 11.02 x 7.87 x 0.79 inches; 1.21 Pounds | Item model number: bomber jacket-002 | Department: Mens | Date First Available: September 14, 2021</x:v>
      </x:c>
      <x:c r="E71" s="17" t="str">
        <x:f>"scenario: "&amp;'Sessions'!B71&amp;" | current_message: "&amp;'Sessions'!M71&amp;" | profile_soft_tags: "&amp;'Sessions'!I71</x:f>
        <x:v>scenario: buying | current_message: I'm looking for Lightweight Jackets Windbreakers. A key requirement is: polyester. | profile_soft_tags: comfort | style | material</x:v>
      </x:c>
      <x:c r="F71" s="17" t="str">
        <x:f>'Intent Cards'!D71&amp;IF('Intent Cards'!F71&lt;&gt;""," | "&amp;'Intent Cards'!F71,"")</x:f>
        <x:v>polyester | Polyester</x:v>
      </x:c>
      <x:c r="G71" s="17" t="str">
        <x:f>'Sessions'!I71</x:f>
        <x:v>comfort | style | material</x:v>
      </x:c>
      <x:c r="H71" s="77" t="n">
        <x:f>LEN(C71)</x:f>
        <x:v>809</x:v>
      </x:c>
      <x:c r="I71" s="77" t="n">
        <x:f>IF(H71&gt;2400,3,IF(H71&gt;1200,2,1))</x:f>
        <x:v>1</x:v>
      </x:c>
      <x:c r="J71" s="17" t="str">
        <x:f>IF('Sessions'!B71="intent_override","Drop superseded values before query embedding",IF('Sessions'!B71="boundary","Do not invent a value for no-preference attributes","Keep profile tags soft; current message wins"))</x:f>
        <x:v>Keep profile tags soft; current message wins</x:v>
      </x:c>
    </x:row>
    <x:row r="72" ht="72" customHeight="1">
      <x:c r="A72" t="str">
        <x:f>'Sessions'!A72</x:f>
        <x:v>public_0068</x:v>
      </x:c>
      <x:c r="B72" t="str">
        <x:f>'Target Products'!B72</x:f>
        <x:v>B08SH8GF6K</x:v>
      </x:c>
      <x:c r="C72" s="17" t="str">
        <x:f>"title: "&amp;'Target Products'!C72&amp;" | categories: "&amp;'Target Products'!D72&amp;" | features: "&amp;'Target Products'!F72&amp;" | details: "&amp;'Target Products'!G72&amp;" | description: "&amp;'Target Products'!H72</x:f>
        <x:v>title: Skechers Women's Go Walk 6-Big Splash Sneaker | categories: Clothing, Shoes &amp; Jewelry | Women | Shoes | Athletic | Walking | features: Imported | Rubber sole | Dual-density outsole with Hyper Pillar comfort technology | Lightweight and responsive Ultra Go midsole cushioning | Skechers Air Cooled Goga Mat foot bed energizes every step | Ortholite insole for long-term cushioning, moisture management, and breathability | Breathable athletic mesh upper | details: Product Dimensions: 10 x 15 x 6 inches; 2 Pounds | Item model number: 124508 | Department: Womens | Date First Available: January 8, 2021 | Manufacturer: Skechers | description: Athletic Mesh Slip On Walking Shoes운동용 메시 슬립온 워킹화</x:v>
      </x:c>
      <x:c r="D72" s="17" t="str">
        <x:f>"title: "&amp;'Target Products'!C72&amp;" | leaf_category: "&amp;'Target Products'!E72&amp;" | store: "&amp;'Target Products'!L72&amp;" | details: "&amp;'Target Products'!G72</x:f>
        <x:v>title: Skechers Women's Go Walk 6-Big Splash Sneaker | leaf_category: Walking | store: Skechers | details: Product Dimensions: 10 x 15 x 6 inches; 2 Pounds | Item model number: 124508 | Department: Womens | Date First Available: January 8, 2021 | Manufacturer: Skechers</x:v>
      </x:c>
      <x:c r="E72" s="17" t="str">
        <x:f>"scenario: "&amp;'Sessions'!B72&amp;" | current_message: "&amp;'Sessions'!M72&amp;" | profile_soft_tags: "&amp;'Sessions'!I72</x:f>
        <x:v>scenario: intent_override | current_message: I'm looking for Athletic Walking. Lightweight and responsive Ultra Go midsole cushioning | profile_soft_tags: fit | material | comfort | style</x:v>
      </x:c>
      <x:c r="F72" s="17" t="str">
        <x:f>'Intent Cards'!D72&amp;IF('Intent Cards'!F72&lt;&gt;""," | "&amp;'Intent Cards'!F72,"")</x:f>
        <x:v>Imported | Rubber sole</x:v>
      </x:c>
      <x:c r="G72" s="17" t="str">
        <x:f>'Sessions'!I72</x:f>
        <x:v>fit | material | comfort | style</x:v>
      </x:c>
      <x:c r="H72" s="77" t="n">
        <x:f>LEN(C72)</x:f>
        <x:v>698</x:v>
      </x:c>
      <x:c r="I72" s="77" t="n">
        <x:f>IF(H72&gt;2400,3,IF(H72&gt;1200,2,1))</x:f>
        <x:v>1</x:v>
      </x:c>
      <x:c r="J72" s="17" t="str">
        <x:f>IF('Sessions'!B72="intent_override","Drop superseded values before query embedding",IF('Sessions'!B72="boundary","Do not invent a value for no-preference attributes","Keep profile tags soft; current message wins"))</x:f>
        <x:v>Drop superseded values before query embedding</x:v>
      </x:c>
    </x:row>
    <x:row r="73" ht="72" customHeight="1">
      <x:c r="A73" t="str">
        <x:f>'Sessions'!A73</x:f>
        <x:v>public_0069</x:v>
      </x:c>
      <x:c r="B73" t="str">
        <x:f>'Target Products'!B73</x:f>
        <x:v>B07ZFBQ76H</x:v>
      </x:c>
      <x:c r="C73" s="17" t="str">
        <x:f>"title: "&amp;'Target Products'!C73&amp;" | categories: "&amp;'Target Products'!D73&amp;" | features: "&amp;'Target Products'!F73&amp;" | details: "&amp;'Target Products'!G73&amp;" | description: "&amp;'Target Products'!H73</x:f>
        <x:v>title: Acrylic Earrings For Women Girls Statement Geometric Earrings Resin Acetate Drop Dangle Earrings Mottled Hoop Earrings Fashion Jewelry | categories: Clothing, Shoes &amp; Jewelry | Women | Jewelry | Earrings | Drop &amp; Dangle | features: 【FASHION DESIGN 】—Acrylic mottled hoop earrings. Square and oval silhouette. Marbled Floral and Leopard design. Post back. Light-weight earrings. these acrylic earrings are the perfect statement pair for day and night wear, will make you charmer and elegant, beautiful and attractive. | 【COMFORTABLE TO WEAR】—Acrylic Leopard dangle earring give a summer-ready feel to any look. Post back closures for pieced ears. Size: 2.5''in length weight 0.2oz a pair,Lightweight,Easy to put on and take off, comfortable to wear.made of Eco-friend Acrylic,alloy.Lead-Free, Nickle-Free, can be stored for a long time, not easy to corrosion. never fade and is not allergy for your skin, not harmful for your health. | 【PERFECT GIFT】—Geometric drop dangle earring with Excellent Luster and Unimpeachable Rust very popular with women and girls packaged in a velvet bag, a wonderful gift giving mom, wife, girlfriend, best friend, girls, teen girls or a special treat for yourself, as Mother's Day Gift, Christmas present, Birthday Gifts, Anniversary Gifts, Wedding Gifts or other Holiday Gifts. | 【MATCH TO MOST OCCASIONS】—Minimalist Acrylic Hoop Earrings works well with your daily outfit,Can wear it with many things go to many occasions.Such as Valentine’s Day, Christmas’ Day, Mother’s Day,Thanksgiving Day,Birthday, wedding, party, anniversary, prom and casual days.Acrylic Acetate Drop Earrings ,give you charming look and win more compliments | details: Is Discontinued By Manufacturer: No | Package Dimensions: 1.18 x 0.79 x 0.39 inches; 0.63 Ounces | Item model number: earring013- Light Leopard | Department: Womens | Date First Available: August 13, 2018 | Manufacturer: YAHPERN | description: ACRYLIC MOTTLED HOOP EARRINGS. SQUARE AND OVAL SILHOUETTE. MARBLED FLORAL AND LEOPARD DESIGN. POST BACK. LIGHT-WEIGHT EARRINGS. THESE ACRYLIC EARRINGS ARE THE PERFECT STATEMENT PAIR FOR DAY AND NIGHT WEAR, WILL MAKE YOU CHARMER AND ELEGANT, BEAUTIFUL AND ATTRACTIVE,ALSO WORKS WELL WITH YOUR DAILY OUTFIT,CAN WEAR IT WITH MANY THINGS GO TO MANY OCCASIONS , WELL MATCH TO DIFFERENT CLOTHING,SUCH AS T-SHIRT, SWEATER, VEST, DRESS AND SO ON, PROVIDE YOU THE MOST CHARMING LOOK AND ATTRACTIVE IN THE CROWD. | About LPON | LPON, As a famous jewelry brand. Writing history with innovative ideas and elegant design, Purest tradition of manufacturing and elegant cultural heritage, LPON became a symbol of the art of fashion accessories. As a shining star of jewelry brand,LPON are committed to create freedom, elegant, distinctive style for you.LPON Providing customers with the most meticulous service, many carefully built bracelet, necklace and earrings, representing commitment to be excellent jewelry brand. | Warm tips &amp; Maintenance Attention: | 1. Please avoid contacting with the acid and alkali, corrosive substances.  2. Please avoid the collision, so as to avoid surface scratches.  3. Please avoid Perfume, Body Lotion, Hairspray or any other Chemical that May Harm the shine of the metal.  4. Please avoid wearing it when sweating a lot, shower or sleep, etc.  5. Please wipe surface clean by soft cloth everyday and put into the box would be better. | Warranty | In case any broken problem happens, contact us without hesitation to solved the problem until satisfaction. LPON Jewelry Provide 30-day money-back guarantee service for all our jewelry.Customers can return and get refunded for any reason. You have no risk to try!</x:v>
      </x:c>
      <x:c r="D73" s="17" t="str">
        <x:f>"title: "&amp;'Target Products'!C73&amp;" | leaf_category: "&amp;'Target Products'!E73&amp;" | store: "&amp;'Target Products'!L73&amp;" | details: "&amp;'Target Products'!G73</x:f>
        <x:v>title: Acrylic Earrings For Women Girls Statement Geometric Earrings Resin Acetate Drop Dangle Earrings Mottled Hoop Earrings Fashion Jewelry | leaf_category: Drop &amp; Dangle | store: YAHPERN | details: Is Discontinued By Manufacturer: No | Package Dimensions: 1.18 x 0.79 x 0.39 inches; 0.63 Ounces | Item model number: earring013- Light Leopard | Department: Womens | Date First Available: August 13, 2018 | Manufacturer: YAHPERN</x:v>
      </x:c>
      <x:c r="E73" s="17" t="str">
        <x:f>"scenario: "&amp;'Sessions'!B73&amp;" | current_message: "&amp;'Sessions'!M73&amp;" | profile_soft_tags: "&amp;'Sessions'!I73</x:f>
        <x:v>scenario: browsing | current_message: I'm looking for Earrings Drop &amp; Dangle, but I'm still exploring. | profile_soft_tags: warmth | material | comfort | fit</x:v>
      </x:c>
      <x:c r="F73" s="17" t="str">
        <x:f>'Intent Cards'!D73&amp;IF('Intent Cards'!F73&lt;&gt;""," | "&amp;'Intent Cards'!F73,"")</x:f>
        <x:v>【FASHION DESIGN 】—Acrylic mottled hoop earrings. Square and oval silhouette. Marbled Floral and Leopard design. Post back. Light-weight earrings. these acrylic earrings are the per | 【COMFORTABLE TO WEAR】—Acrylic Leopard dangle earring give a summer-ready feel to any look. Post back closures for pieced ears. Size: 2.5''in length weight 0.2oz a pair,Lightweight,</x:v>
      </x:c>
      <x:c r="G73" s="17" t="str">
        <x:f>'Sessions'!I73</x:f>
        <x:v>warmth | material | comfort | fit</x:v>
      </x:c>
      <x:c r="H73" s="77" t="n">
        <x:f>LEN(C73)</x:f>
        <x:v>3660</x:v>
      </x:c>
      <x:c r="I73" s="77" t="n">
        <x:f>IF(H73&gt;2400,3,IF(H73&gt;1200,2,1))</x:f>
        <x:v>3</x:v>
      </x:c>
      <x:c r="J73" s="17" t="str">
        <x:f>IF('Sessions'!B73="intent_override","Drop superseded values before query embedding",IF('Sessions'!B73="boundary","Do not invent a value for no-preference attributes","Keep profile tags soft; current message wins"))</x:f>
        <x:v>Keep profile tags soft; current message wins</x:v>
      </x:c>
    </x:row>
    <x:row r="74" ht="72" customHeight="1">
      <x:c r="A74" t="str">
        <x:f>'Sessions'!A74</x:f>
        <x:v>public_0070</x:v>
      </x:c>
      <x:c r="B74" t="str">
        <x:f>'Target Products'!B74</x:f>
        <x:v>B010LVBVKA</x:v>
      </x:c>
      <x:c r="C74" s="17" t="str">
        <x:f>"title: "&amp;'Target Products'!C74&amp;" | categories: "&amp;'Target Products'!D74&amp;" | features: "&amp;'Target Products'!F74&amp;" | details: "&amp;'Target Products'!G74&amp;" | description: "&amp;'Target Products'!H74</x:f>
        <x:v>title: Travel Neck Wallet with RFID Blocking – Passport Holder Neck Pouch to Keep Your Cash And Documents Safe – Get Peace Of Mind When Traveling | categories: Clothing, Shoes &amp; Jewelry | Luggage &amp; Travel Gear | Travel Accessories | Travel Wallets | features: ✅ PERFECT FOR TRAVEL - COMFORTABLE, LIGHTWEIGHT, AND WATER RESISTANT PASSPORT AND VACCINE CARD HOLDER designed to offer you a safe and secure location to store valuables , passports, and credit cards | ✅ RFID BLOCKING – RFID WALLET LINED WITH RADIO FREQUENCY SHIELDING MATERIAL WHICH BLOCKS UNWANTED SCANS , ensuring that your cards and personal information remain private and confidential . Feel SAFE FROM ELECTRONIC THIEVES AND PICKPOCKETS | Nylon lining | Zipper closure | Wet Wipe Clean | ✅ FLEXIBLE STORAGE – This Travel Wallet features THREE SMART STORAGE COMPARTMENTS to easily organize your documentation and valuables , including two zippered pockets, one Velcro- closure patch , and an ID window for boarding passes allowing easier security checks .The Travel Pouch comes with adjustable hook, strap and loop fastener | ✅ SUITABLE FOR MEN AND WOMEN - 5.5" high and 8" wide , the VENTURE 4TH RFID Passport Holder can be comfortably WORN AROUND THE NECK AND UNDERNEATH YOUR CLOTHING to protect against pickpockets . It's slim enough that it is virtually invisible even under thin layers of clothing concealing your cash and valuables | ✅ WILL LAST A LIFETIME OF TRIPS - These RFID Wallets are constructed from water resistant rip-stop nylon and designed to stand the test of time . Double stitched reinforced seams prevent rips and tears . This Travel Neck Wallet is a great Cruise Ship Accessory | ✅ DESIGNED FOR SAFE INTERNATIONAL TRAVEL – A valuable travel accessory for airplanes, airports , buses or trains , this Travel Pouch is VIRTUALLY INVISIBLE TO THIEVES and makes you feel secure at sporting events , music festivals and crowded marketplaces | ✅ HASSLE FREE ASSURANCE : Experience the ultimate in Travel Wallets or get your money back. Our Neck Pouch comes with peace of mind risk-free satisfaction guarantee. 24H INSTANT CONNECT - if you're not completely happy, we'll make sure your money is refunded - no questions asked, no fuss. | details: Brand: VENTURE 4TH | Color: Beige | Material: Nylon | Style: Neck Pouch / Wallet | Pattern: Solid | Is Discontinued By Manufacturer: No | Product Dimensions: 5.5 x 8 x 8 inches; 2.4 Ounces | Department: unisex | Date First Available: June 28, 2015 | Manufacturer: VENTURE 4TH | description: </x:v>
      </x:c>
      <x:c r="D74" s="17" t="str">
        <x:f>"title: "&amp;'Target Products'!C74&amp;" | leaf_category: "&amp;'Target Products'!E74&amp;" | store: "&amp;'Target Products'!L74&amp;" | details: "&amp;'Target Products'!G74</x:f>
        <x:v>title: Travel Neck Wallet with RFID Blocking – Passport Holder Neck Pouch to Keep Your Cash And Documents Safe – Get Peace Of Mind When Traveling | leaf_category: Travel Wallets | store: VENTURE 4TH | details: Brand: VENTURE 4TH | Color: Beige | Material: Nylon | Style: Neck Pouch / Wallet | Pattern: Solid | Is Discontinued By Manufacturer: No | Product Dimensions: 5.5 x 8 x 8 inches; 2.4 Ounces | Department: unisex | Date First Available: June 28, 2015 | Manufacturer: VENTURE 4TH</x:v>
      </x:c>
      <x:c r="E74" s="17" t="str">
        <x:f>"scenario: "&amp;'Sessions'!B74&amp;" | current_message: "&amp;'Sessions'!M74&amp;" | profile_soft_tags: "&amp;'Sessions'!I74</x:f>
        <x:v>scenario: browsing | current_message: I'm looking for Travel Accessories Travel Wallets, but I'm still exploring. | profile_soft_tags: comfort | style | fit | performance</x:v>
      </x:c>
      <x:c r="F74" s="17" t="str">
        <x:f>'Intent Cards'!D74&amp;IF('Intent Cards'!F74&lt;&gt;""," | "&amp;'Intent Cards'!F74,"")</x:f>
        <x:v>nylon | ✅ PERFECT FOR TRAVEL - COMFORTABLE, LIGHTWEIGHT, AND WATER RESISTANT PASSPORT AND VACCINE CARD HOLDER designed to offer you a safe and secure location to store valuables , passport</x:v>
      </x:c>
      <x:c r="G74" s="17" t="str">
        <x:f>'Sessions'!I74</x:f>
        <x:v>comfort | style | fit | performance</x:v>
      </x:c>
      <x:c r="H74" s="77" t="n">
        <x:f>LEN(C74)</x:f>
        <x:v>2516</x:v>
      </x:c>
      <x:c r="I74" s="77" t="n">
        <x:f>IF(H74&gt;2400,3,IF(H74&gt;1200,2,1))</x:f>
        <x:v>3</x:v>
      </x:c>
      <x:c r="J74" s="17" t="str">
        <x:f>IF('Sessions'!B74="intent_override","Drop superseded values before query embedding",IF('Sessions'!B74="boundary","Do not invent a value for no-preference attributes","Keep profile tags soft; current message wins"))</x:f>
        <x:v>Keep profile tags soft; current message wins</x:v>
      </x:c>
    </x:row>
    <x:row r="75" ht="72" customHeight="1">
      <x:c r="A75" t="str">
        <x:f>'Sessions'!A75</x:f>
        <x:v>public_0071</x:v>
      </x:c>
      <x:c r="B75" t="str">
        <x:f>'Target Products'!B75</x:f>
        <x:v>B06XRFSDL4</x:v>
      </x:c>
      <x:c r="C75" s="17" t="str">
        <x:f>"title: "&amp;'Target Products'!C75&amp;" | categories: "&amp;'Target Products'!D75&amp;" | features: "&amp;'Target Products'!F75&amp;" | details: "&amp;'Target Products'!G75&amp;" | description: "&amp;'Target Products'!H75</x:f>
        <x:v>title: Mordenmiss Women's Loose Sweatshirt Spring/Fall Simple Shirt Tops | categories: Clothing, Shoes &amp; Jewelry | Women | Clothing | Fashion Hoodies &amp; Sweatshirts | features: 90% Cotton, 10% Others | Imported | Pull On closure | Machine Wash | This plus shirt is round neck, drop sleeves, two side pockets, side slit; | This casual long tunic tops can pair with shorts, leggings, jeans, tight pant for indoor and outdoor, can be easily dress up | Very loose style, comfortable to wear, breathable feel for spring and autumn | Size fit US S-2XL: Length:30.7", Bust:66.9", Sleeve:19.2", Hem:62.6" | Machine Washable Softly | details: Is Discontinued By Manufacturer: No | Department: Womens | Date First Available: July 1, 2019 | description: </x:v>
      </x:c>
      <x:c r="D75" s="17" t="str">
        <x:f>"title: "&amp;'Target Products'!C75&amp;" | leaf_category: "&amp;'Target Products'!E75&amp;" | store: "&amp;'Target Products'!L75&amp;" | details: "&amp;'Target Products'!G75</x:f>
        <x:v>title: Mordenmiss Women's Loose Sweatshirt Spring/Fall Simple Shirt Tops | leaf_category: Fashion Hoodies &amp; Sweatshirts | store: Mordenmiss | details: Is Discontinued By Manufacturer: No | Department: Womens | Date First Available: July 1, 2019</x:v>
      </x:c>
      <x:c r="E75" s="17" t="str">
        <x:f>"scenario: "&amp;'Sessions'!B75&amp;" | current_message: "&amp;'Sessions'!M75&amp;" | profile_soft_tags: "&amp;'Sessions'!I75</x:f>
        <x:v>scenario: intent_override | current_message: I'm looking for Women Fashion Hoodies &amp; Sweatshirts. Pull On closure | profile_soft_tags: material | performance | durability | style</x:v>
      </x:c>
      <x:c r="F75" s="17" t="str">
        <x:f>'Intent Cards'!D75&amp;IF('Intent Cards'!F75&lt;&gt;""," | "&amp;'Intent Cards'!F75,"")</x:f>
        <x:v>cotton | 90% Cotton, 10% Others</x:v>
      </x:c>
      <x:c r="G75" s="17" t="str">
        <x:f>'Sessions'!I75</x:f>
        <x:v>material | performance | durability | style</x:v>
      </x:c>
      <x:c r="H75" s="77" t="n">
        <x:f>LEN(C75)</x:f>
        <x:v>742</x:v>
      </x:c>
      <x:c r="I75" s="77" t="n">
        <x:f>IF(H75&gt;2400,3,IF(H75&gt;1200,2,1))</x:f>
        <x:v>1</x:v>
      </x:c>
      <x:c r="J75" s="17" t="str">
        <x:f>IF('Sessions'!B75="intent_override","Drop superseded values before query embedding",IF('Sessions'!B75="boundary","Do not invent a value for no-preference attributes","Keep profile tags soft; current message wins"))</x:f>
        <x:v>Drop superseded values before query embedding</x:v>
      </x:c>
    </x:row>
    <x:row r="76" ht="72" customHeight="1">
      <x:c r="A76" t="str">
        <x:f>'Sessions'!A76</x:f>
        <x:v>public_0072</x:v>
      </x:c>
      <x:c r="B76" t="str">
        <x:f>'Target Products'!B76</x:f>
        <x:v>B09JG4V9ZR</x:v>
      </x:c>
      <x:c r="C76" s="17" t="str">
        <x:f>"title: "&amp;'Target Products'!C76&amp;" | categories: "&amp;'Target Products'!D76&amp;" | features: "&amp;'Target Products'!F76&amp;" | details: "&amp;'Target Products'!G76&amp;" | description: "&amp;'Target Products'!H76</x:f>
        <x:v>title: Facitisu Womens Winter Warm Jacket Long Down Faux Fur Hooded Quilted Sherpa Lined Coat | categories: Clothing, Shoes &amp; Jewelry | Women | Clothing | Coats, Jackets &amp; Vests | Trench, Rain &amp; Anoraks | Anoraks | features: Faux Fur | Drawstring closure | Hand Wash Only | details: Department: womens | Date First Available: October 14, 2021 | description: </x:v>
      </x:c>
      <x:c r="D76" s="17" t="str">
        <x:f>"title: "&amp;'Target Products'!C76&amp;" | leaf_category: "&amp;'Target Products'!E76&amp;" | store: "&amp;'Target Products'!L76&amp;" | details: "&amp;'Target Products'!G76</x:f>
        <x:v>title: Facitisu Womens Winter Warm Jacket Long Down Faux Fur Hooded Quilted Sherpa Lined Coat | leaf_category: Anoraks | store: Facitisu | details: Department: womens | Date First Available: October 14, 2021</x:v>
      </x:c>
      <x:c r="E76" s="17" t="str">
        <x:f>"scenario: "&amp;'Sessions'!B76&amp;" | current_message: "&amp;'Sessions'!M76&amp;" | profile_soft_tags: "&amp;'Sessions'!I76</x:f>
        <x:v>scenario: intent_override | current_message: I'm looking for Rain &amp; Anoraks Anoraks. Department: womens | profile_soft_tags: fit | material | style</x:v>
      </x:c>
      <x:c r="F76" s="17" t="str">
        <x:f>'Intent Cards'!D76&amp;IF('Intent Cards'!F76&lt;&gt;""," | "&amp;'Intent Cards'!F76,"")</x:f>
        <x:v>Faux Fur | Drawstring closure</x:v>
      </x:c>
      <x:c r="G76" s="17" t="str">
        <x:f>'Sessions'!I76</x:f>
        <x:v>fit | material | style</x:v>
      </x:c>
      <x:c r="H76" s="77" t="n">
        <x:f>LEN(C76)</x:f>
        <x:v>358</x:v>
      </x:c>
      <x:c r="I76" s="77" t="n">
        <x:f>IF(H76&gt;2400,3,IF(H76&gt;1200,2,1))</x:f>
        <x:v>1</x:v>
      </x:c>
      <x:c r="J76" s="17" t="str">
        <x:f>IF('Sessions'!B76="intent_override","Drop superseded values before query embedding",IF('Sessions'!B76="boundary","Do not invent a value for no-preference attributes","Keep profile tags soft; current message wins"))</x:f>
        <x:v>Drop superseded values before query embedding</x:v>
      </x:c>
    </x:row>
    <x:row r="77" ht="72" customHeight="1">
      <x:c r="A77" t="str">
        <x:f>'Sessions'!A77</x:f>
        <x:v>public_0073</x:v>
      </x:c>
      <x:c r="B77" t="str">
        <x:f>'Target Products'!B77</x:f>
        <x:v>B07QPM54V7</x:v>
      </x:c>
      <x:c r="C77" s="17" t="str">
        <x:f>"title: "&amp;'Target Products'!C77&amp;" | categories: "&amp;'Target Products'!D77&amp;" | features: "&amp;'Target Products'!F77&amp;" | details: "&amp;'Target Products'!G77&amp;" | description: "&amp;'Target Products'!H77</x:f>
        <x:v>title: WNEEDU Women's Summer Casual T Shirt Dresses Short Sleeve Swing Dress with Pockets | categories: Clothing, Shoes &amp; Jewelry | Women | Clothing | Dresses | Casual | features: ♥【Try RISK FREE】: Wear COMFORTABLE or Your MONEY BACK! 30-day wear test! FREE shipping and returns.If for any reason you’re unhappy with your purchase,feel free to contact us. | Imported | Elastic closure | Hand Wash Only | This simple random floral print go to dress is 90% Polyester and 10% Spandex. the fabric is very soft and stretchy, which makes it light and ideal for summer weather but heavy enough to where you don’t worry about it flying up or getting stuck somewhere.Hand wash and they dry quickly with little or no ironing. No shrinkage. | The swing dress it has a slight rounded neckline. The body of the dress has a loose cut which moves with you and each step you take.The hemline is at the upper thigh level.The pockets are such a nice addition,it's loose enough but not baggy. | Wear this dress, go on holiday with friends, take a walk on the beach,They’re comfy enough to wear around the house and appropriate for office work.You can dress it up very easily with any combination of cape jewelry,sandals, heels,flip flops or even sneakers. | Occasion: Casual,Beach,Evening party,Shopping,Party,Travling,family etc. | US Size:XS(US 2),S(US 4-6),M(US 8-10),L(US 12-14),XL(US 16-18),2XL(US 20-22),3XL(24).We will try our best to update new color,you can add to your wishlist for easy search. | details: Product Dimensions: 12 x 9 x 0.5 inches; 8 Ounces | Department: womens | Date First Available: April 15, 2019 | description: </x:v>
      </x:c>
      <x:c r="D77" s="17" t="str">
        <x:f>"title: "&amp;'Target Products'!C77&amp;" | leaf_category: "&amp;'Target Products'!E77&amp;" | store: "&amp;'Target Products'!L77&amp;" | details: "&amp;'Target Products'!G77</x:f>
        <x:v>title: WNEEDU Women's Summer Casual T Shirt Dresses Short Sleeve Swing Dress with Pockets | leaf_category: Casual | store: WNEEDU | details: Product Dimensions: 12 x 9 x 0.5 inches; 8 Ounces | Department: womens | Date First Available: April 15, 2019</x:v>
      </x:c>
      <x:c r="E77" s="17" t="str">
        <x:f>"scenario: "&amp;'Sessions'!B77&amp;" | current_message: "&amp;'Sessions'!M77&amp;" | profile_soft_tags: "&amp;'Sessions'!I77</x:f>
        <x:v>scenario: browsing | current_message: I'm looking for Dresses Casual, but I'm still exploring. | profile_soft_tags: fit | material | comfort | style</x:v>
      </x:c>
      <x:c r="F77" s="17" t="str">
        <x:f>'Intent Cards'!D77&amp;IF('Intent Cards'!F77&lt;&gt;""," | "&amp;'Intent Cards'!F77,"")</x:f>
        <x:v>polyester | ♥【Try RISK FREE】: Wear COMFORTABLE or Your MONEY BACK! 30-day wear test! FREE shipping and returns.If for any reason you’re unhappy with your purchase,feel free to contact us</x:v>
      </x:c>
      <x:c r="G77" s="17" t="str">
        <x:f>'Sessions'!I77</x:f>
        <x:v>fit | material | comfort | style</x:v>
      </x:c>
      <x:c r="H77" s="77" t="n">
        <x:f>LEN(C77)</x:f>
        <x:v>1622</x:v>
      </x:c>
      <x:c r="I77" s="77" t="n">
        <x:f>IF(H77&gt;2400,3,IF(H77&gt;1200,2,1))</x:f>
        <x:v>2</x:v>
      </x:c>
      <x:c r="J77" s="17" t="str">
        <x:f>IF('Sessions'!B77="intent_override","Drop superseded values before query embedding",IF('Sessions'!B77="boundary","Do not invent a value for no-preference attributes","Keep profile tags soft; current message wins"))</x:f>
        <x:v>Keep profile tags soft; current message wins</x:v>
      </x:c>
    </x:row>
    <x:row r="78" ht="72" customHeight="1">
      <x:c r="A78" t="str">
        <x:f>'Sessions'!A78</x:f>
        <x:v>public_0074</x:v>
      </x:c>
      <x:c r="B78" t="str">
        <x:f>'Target Products'!B78</x:f>
        <x:v>B07N15QTKC</x:v>
      </x:c>
      <x:c r="C78" s="17" t="str">
        <x:f>"title: "&amp;'Target Products'!C78&amp;" | categories: "&amp;'Target Products'!D78&amp;" | features: "&amp;'Target Products'!F78&amp;" | details: "&amp;'Target Products'!G78&amp;" | description: "&amp;'Target Products'!H78</x:f>
        <x:v>title: Skechers Women's Go Walk 5-Lucky Sneaker | categories: Clothing, Shoes &amp; Jewelry | Women | Shoes | Athletic | Walking | features: mesh | Imported | Synthetic sole | Shaft measures approximately not_applicable from arch | Lightweight dual-density Ultra Go outsole with comfort pillar technology | Skechers Air Cooled Goga Mat insole | Breathable air mesh upper | Machine washable, air dry | details: Product Dimensions: 11.2 x 7.7 x 4.2 inches; 7.1 Ounces | Item model number: 15902 | Department: womens | Date First Available: September 21, 2015 | Manufacturer: Skechers | description: Athletic Air Mesh Lace Up</x:v>
      </x:c>
      <x:c r="D78" s="17" t="str">
        <x:f>"title: "&amp;'Target Products'!C78&amp;" | leaf_category: "&amp;'Target Products'!E78&amp;" | store: "&amp;'Target Products'!L78&amp;" | details: "&amp;'Target Products'!G78</x:f>
        <x:v>title: Skechers Women's Go Walk 5-Lucky Sneaker | leaf_category: Walking | store: Skechers | details: Product Dimensions: 11.2 x 7.7 x 4.2 inches; 7.1 Ounces | Item model number: 15902 | Department: womens | Date First Available: September 21, 2015 | Manufacturer: Skechers</x:v>
      </x:c>
      <x:c r="E78" s="17" t="str">
        <x:f>"scenario: "&amp;'Sessions'!B78&amp;" | current_message: "&amp;'Sessions'!M78&amp;" | profile_soft_tags: "&amp;'Sessions'!I78</x:f>
        <x:v>scenario: browsing | current_message: I'm looking for Athletic Walking, but I'm still exploring. | profile_soft_tags: style</x:v>
      </x:c>
      <x:c r="F78" s="17" t="str">
        <x:f>'Intent Cards'!D78&amp;IF('Intent Cards'!F78&lt;&gt;""," | "&amp;'Intent Cards'!F78,"")</x:f>
        <x:v>mesh | Imported</x:v>
      </x:c>
      <x:c r="G78" s="17" t="str">
        <x:f>'Sessions'!I78</x:f>
        <x:v>style</x:v>
      </x:c>
      <x:c r="H78" s="77" t="n">
        <x:f>LEN(C78)</x:f>
        <x:v>618</x:v>
      </x:c>
      <x:c r="I78" s="77" t="n">
        <x:f>IF(H78&gt;2400,3,IF(H78&gt;1200,2,1))</x:f>
        <x:v>1</x:v>
      </x:c>
      <x:c r="J78" s="17" t="str">
        <x:f>IF('Sessions'!B78="intent_override","Drop superseded values before query embedding",IF('Sessions'!B78="boundary","Do not invent a value for no-preference attributes","Keep profile tags soft; current message wins"))</x:f>
        <x:v>Keep profile tags soft; current message wins</x:v>
      </x:c>
    </x:row>
    <x:row r="79" ht="72" customHeight="1">
      <x:c r="A79" t="str">
        <x:f>'Sessions'!A79</x:f>
        <x:v>public_0075</x:v>
      </x:c>
      <x:c r="B79" t="str">
        <x:f>'Target Products'!B79</x:f>
        <x:v>B08L13LJ5M</x:v>
      </x:c>
      <x:c r="C79" s="17" t="str">
        <x:f>"title: "&amp;'Target Products'!C79&amp;" | categories: "&amp;'Target Products'!D79&amp;" | features: "&amp;'Target Products'!F79&amp;" | details: "&amp;'Target Products'!G79&amp;" | description: "&amp;'Target Products'!H79</x:f>
        <x:v>title: BULLIANT Men's Belt, Slide Ratchet Belt For Men Dress Pant Shirt Oxfords,trim To Fit | categories: Clothing, Shoes &amp; Jewelry | Men | Accessories | Belts | features: 100% Leather | Genuine Leather,New Design for Exact Fit,Width 1 3/8"; | Ratchet closure | Dry Cloth Clean | Exact-Fit--Easy to customize the belt size,just need to remove the belt buckle,and cut the strap at needed size. To avoid useless of too short,just buying a bigger size; | Gift Idea--Expansive Designs,Fashion style,packed in an elegant gift box,it is so nice to give to your family or friend as a gift,and you can buy a little bigger,the user can easily make it short; | Easy To Use--No trouble of size in-between of holes! in the back of belt,there are 32 ratchet notches,it provides a micro size-adjustment of 0.25",which can follow the variation of your waist precisely; | Durability--Strap-Genuine Leather,flexible and firm; Buckle-Zinc alloyed with high quality coating for scratch resistance; | GUARANTEE--100% Guarantee available. Any product issue makes you dissatisfy with this belt within the GUARANTEE PERIOD,let us know and we will make it right,Full Refund or a Free Replacement,whichever you prefer. | details: Department: mens | Date First Available: October 8, 2017 | description: </x:v>
      </x:c>
      <x:c r="D79" s="17" t="str">
        <x:f>"title: "&amp;'Target Products'!C79&amp;" | leaf_category: "&amp;'Target Products'!E79&amp;" | store: "&amp;'Target Products'!L79&amp;" | details: "&amp;'Target Products'!G79</x:f>
        <x:v>title: BULLIANT Men's Belt, Slide Ratchet Belt For Men Dress Pant Shirt Oxfords,trim To Fit | leaf_category: Belts | store: BULLIANT | details: Department: mens | Date First Available: October 8, 2017</x:v>
      </x:c>
      <x:c r="E79" s="17" t="str">
        <x:f>"scenario: "&amp;'Sessions'!B79&amp;" | current_message: "&amp;'Sessions'!M79&amp;" | profile_soft_tags: "&amp;'Sessions'!I79</x:f>
        <x:v>scenario: browsing | current_message: I'm looking for Accessories Belts, but I'm still exploring. | profile_soft_tags: material | comfort | fit | style</x:v>
      </x:c>
      <x:c r="F79" s="17" t="str">
        <x:f>'Intent Cards'!D79&amp;IF('Intent Cards'!F79&lt;&gt;""," | "&amp;'Intent Cards'!F79,"")</x:f>
        <x:v>leather | 100% Leather</x:v>
      </x:c>
      <x:c r="G79" s="17" t="str">
        <x:f>'Sessions'!I79</x:f>
        <x:v>material | comfort | fit | style</x:v>
      </x:c>
      <x:c r="H79" s="77" t="n">
        <x:f>LEN(C79)</x:f>
        <x:v>1277</x:v>
      </x:c>
      <x:c r="I79" s="77" t="n">
        <x:f>IF(H79&gt;2400,3,IF(H79&gt;1200,2,1))</x:f>
        <x:v>2</x:v>
      </x:c>
      <x:c r="J79" s="17" t="str">
        <x:f>IF('Sessions'!B79="intent_override","Drop superseded values before query embedding",IF('Sessions'!B79="boundary","Do not invent a value for no-preference attributes","Keep profile tags soft; current message wins"))</x:f>
        <x:v>Keep profile tags soft; current message wins</x:v>
      </x:c>
    </x:row>
    <x:row r="80" ht="72" customHeight="1">
      <x:c r="A80" t="str">
        <x:f>'Sessions'!A80</x:f>
        <x:v>public_0076</x:v>
      </x:c>
      <x:c r="B80" t="str">
        <x:f>'Target Products'!B80</x:f>
        <x:v>B07XT6PLTB</x:v>
      </x:c>
      <x:c r="C80" s="17" t="str">
        <x:f>"title: "&amp;'Target Products'!C80&amp;" | categories: "&amp;'Target Products'!D80&amp;" | features: "&amp;'Target Products'!F80&amp;" | details: "&amp;'Target Products'!G80&amp;" | description: "&amp;'Target Products'!H80</x:f>
        <x:v>title: Proud Army Girlfriend US Flag Dog Tags Pride Military Lovers Zip Hoodie | categories: Clothing, Shoes &amp; Jewelry | Novelty &amp; More | Clothing | Novelty | Women | Hoodies | features: Solid colors: 80% Cotton, 20% Polyester; Heather Grey: 78% Cotton, 22% Poly; Dark Heather: 50% Cotton, 50% Polyester | Imported | Zipper closure | Machine Wash | Army family design for a proud military girlfriend of a US soldier or National Guardsman and veteran. US Flag military camouflage print for a proud army lover of our hero soldier to wear with pride. Get military graduation day / military deployment art! | Featuring a military camo and American flag military dog tags with a military family quote. Military gathering outfit for a proud army girlfriend to wear with pride. Show others how proud you are of your soldier boyfriend with this military art. | 8.5 oz, Classic fit, Twill-taped neck | details: Package Dimensions: 12 x 12 x 5 inches; 1.3 Pounds | Department: Unisex-adult | Date First Available: September 12, 2019 | Manufacturer: Proud Cloth Military Family Shirts | description: THE GRAPHIC IS ON THE BACK OF THIS PRODUCT. Army family design for a proud military girlfriend of a US soldier or National Guardsman and veteran. US Flag military camouflage print for a proud army lover of our hero soldier to wear with pride. Get military graduation day / military deployment art! Featuring a military camo and American flag military dog tags with a military family quote. Military gathering outfit for a proud army girlfriend to wear with pride. Show others how proud you are of your soldier boyfriend with this military art. This Proud Army Girlfriend US Flag Dog Tags Pride Military Lovers item is designed by Proud Cloth Military Family Shirts.</x:v>
      </x:c>
      <x:c r="D80" s="17" t="str">
        <x:f>"title: "&amp;'Target Products'!C80&amp;" | leaf_category: "&amp;'Target Products'!E80&amp;" | store: "&amp;'Target Products'!L80&amp;" | details: "&amp;'Target Products'!G80</x:f>
        <x:v>title: Proud Army Girlfriend US Flag Dog Tags Pride Military Lovers Zip Hoodie | leaf_category: Hoodies | store: Proud Cloth Military Family Shirts | details: Package Dimensions: 12 x 12 x 5 inches; 1.3 Pounds | Department: Unisex-adult | Date First Available: September 12, 2019 | Manufacturer: Proud Cloth Military Family Shirts</x:v>
      </x:c>
      <x:c r="E80" s="17" t="str">
        <x:f>"scenario: "&amp;'Sessions'!B80&amp;" | current_message: "&amp;'Sessions'!M80&amp;" | profile_soft_tags: "&amp;'Sessions'!I80</x:f>
        <x:v>scenario: browsing | current_message: I'm looking for Women Hoodies, but I'm still exploring. | profile_soft_tags: style | comfort | performance | fit</x:v>
      </x:c>
      <x:c r="F80" s="17" t="str">
        <x:f>'Intent Cards'!D80&amp;IF('Intent Cards'!F80&lt;&gt;""," | "&amp;'Intent Cards'!F80,"")</x:f>
        <x:v>cotton | color: grey</x:v>
      </x:c>
      <x:c r="G80" s="17" t="str">
        <x:f>'Sessions'!I80</x:f>
        <x:v>style | comfort | performance | fit</x:v>
      </x:c>
      <x:c r="H80" s="77" t="n">
        <x:f>LEN(C80)</x:f>
        <x:v>1754</x:v>
      </x:c>
      <x:c r="I80" s="77" t="n">
        <x:f>IF(H80&gt;2400,3,IF(H80&gt;1200,2,1))</x:f>
        <x:v>2</x:v>
      </x:c>
      <x:c r="J80" s="17" t="str">
        <x:f>IF('Sessions'!B80="intent_override","Drop superseded values before query embedding",IF('Sessions'!B80="boundary","Do not invent a value for no-preference attributes","Keep profile tags soft; current message wins"))</x:f>
        <x:v>Keep profile tags soft; current message wins</x:v>
      </x:c>
    </x:row>
    <x:row r="81" ht="72" customHeight="1">
      <x:c r="A81" t="str">
        <x:f>'Sessions'!A81</x:f>
        <x:v>public_0077</x:v>
      </x:c>
      <x:c r="B81" t="str">
        <x:f>'Target Products'!B81</x:f>
        <x:v>B077JDSZ27</x:v>
      </x:c>
      <x:c r="C81" s="17" t="str">
        <x:f>"title: "&amp;'Target Products'!C81&amp;" | categories: "&amp;'Target Products'!D81&amp;" | features: "&amp;'Target Products'!F81&amp;" | details: "&amp;'Target Products'!G81&amp;" | description: "&amp;'Target Products'!H81</x:f>
        <x:v>title: Ashford &amp; Brooks Mens Flannel Long Sleeve Sleep Nightshirt | categories: Clothing, Shoes &amp; Jewelry | Men | Clothing | Sleep &amp; Lounge | Sleep Tops | features: 55% Cotton /45% Polyester Flannel | Button closure | Machine Wash | Premium Luxurious Cotton Blend Flannel classic Henley pullover long nightgown for men has a roomy relaxed fit making it very easy to put on and take off, perfect to lounge around the House or as a hospital gown and for surgery recovery. | Woven Flannel Fabric blend is designed to give you that soft and cozy touch that feels great against skin, at the same time prevent excessive shrinkage unlike the 100% Cotton Flannel fabric. | Modest Long mens kaftan robe features; Plaid patterns with piping, Long sleeve V neck baseball collar sleep shirt top with 3 button-down closure, 1 chest slip pocket, length approx. 46" Shoulder to hem. | Comfortable and durable, itll keep you warm and comfy during the cold winter days yet stylish at the same time. This Night long pajama top for men Makes a great gift present for dad, husband, brother for Holiday, Christmas, Birthday or for any occasion. | Easy Care Instructions: Machine wash cold, tumble dry low Remove Promptly cool iron if needed | details: Is Discontinued By Manufacturer: No | Item model number: AB86355FNS | Department: Mens | Date First Available: November 16, 2017 | description: </x:v>
      </x:c>
      <x:c r="D81" s="17" t="str">
        <x:f>"title: "&amp;'Target Products'!C81&amp;" | leaf_category: "&amp;'Target Products'!E81&amp;" | store: "&amp;'Target Products'!L81&amp;" | details: "&amp;'Target Products'!G81</x:f>
        <x:v>title: Ashford &amp; Brooks Mens Flannel Long Sleeve Sleep Nightshirt | leaf_category: Sleep Tops | store: Ashford &amp; Brooks | details: Is Discontinued By Manufacturer: No | Item model number: AB86355FNS | Department: Mens | Date First Available: November 16, 2017</x:v>
      </x:c>
      <x:c r="E81" s="17" t="str">
        <x:f>"scenario: "&amp;'Sessions'!B81&amp;" | current_message: "&amp;'Sessions'!M81&amp;" | profile_soft_tags: "&amp;'Sessions'!I81</x:f>
        <x:v>scenario: browsing | current_message: I'm looking for Sleep &amp; Lounge Sleep Tops, but I'm still exploring. | profile_soft_tags: material | fit</x:v>
      </x:c>
      <x:c r="F81" s="17" t="str">
        <x:f>'Intent Cards'!D81&amp;IF('Intent Cards'!F81&lt;&gt;""," | "&amp;'Intent Cards'!F81,"")</x:f>
        <x:v>cotton | 55% Cotton /45% Polyester Flannel</x:v>
      </x:c>
      <x:c r="G81" s="17" t="str">
        <x:f>'Sessions'!I81</x:f>
        <x:v>material | fit</x:v>
      </x:c>
      <x:c r="H81" s="77" t="n">
        <x:f>LEN(C81)</x:f>
        <x:v>1375</x:v>
      </x:c>
      <x:c r="I81" s="77" t="n">
        <x:f>IF(H81&gt;2400,3,IF(H81&gt;1200,2,1))</x:f>
        <x:v>2</x:v>
      </x:c>
      <x:c r="J81" s="17" t="str">
        <x:f>IF('Sessions'!B81="intent_override","Drop superseded values before query embedding",IF('Sessions'!B81="boundary","Do not invent a value for no-preference attributes","Keep profile tags soft; current message wins"))</x:f>
        <x:v>Keep profile tags soft; current message wins</x:v>
      </x:c>
    </x:row>
    <x:row r="82" ht="72" customHeight="1">
      <x:c r="A82" t="str">
        <x:f>'Sessions'!A82</x:f>
        <x:v>public_0078</x:v>
      </x:c>
      <x:c r="B82" t="str">
        <x:f>'Target Products'!B82</x:f>
        <x:v>B0C5RLJDSF</x:v>
      </x:c>
      <x:c r="C82" s="17" t="str">
        <x:f>"title: "&amp;'Target Products'!C82&amp;" | categories: "&amp;'Target Products'!D82&amp;" | features: "&amp;'Target Products'!F82&amp;" | details: "&amp;'Target Products'!G82&amp;" | description: "&amp;'Target Products'!H82</x:f>
        <x:v>title: Hanes Women's Value, Crew Soft Moisture-Wicking Socks, Available in 10 and 14-Packs | categories: Clothing, Shoes &amp; Jewelry | Women | Clothing | Socks &amp; Hosiery | Socks | No Show &amp; Liner Socks | features: 78% Cotton, 21% Polyester, 1% Spandex | Made in the USA or Imported | Pull On closure | Machine Wash | EXCELLENT FIT – made with a touch of soft and stretchy Spandex so it gently conforms to the shape of the foot. | KEEP YOUR COOL - Cool Comfort fabric wicks away moisture so your feet stay cool and dry all day. | COMFORT YOU DESERVE – Cushioned foot bottom make these cushioned socks a sure bet for everyday wear, from work, play, gym, sports, and beyond. | DURABLE – Reinforced heel and toe for added durability and sock longevity | SMOOTH SEAMS – Comfort Toe seams are our smoothest seams yet | ECO FRIENDLY - made with EcoSmart fabric that contains recycled fibers | EASY CARE – Throw your new socks right in the washing machine on laundry day. Wash on cold and save! | details: Item model number: 68314P | Department: Womens | Date First Available: May 19, 2023 | Manufacturer: Hanes Women's Socks | description: Hanes Women's Cool Comfort Socks offer the comfort, softness, and value you expect from Hanes. Perfect for everyday wear, these socks are a favorite basic. They have a reinforced heel and toe for durability and are built to last! A cushioned foot bottom provides all day comfort, and spandex throughout means a great all-day fit. Wicking Cool Comfort fabric helps keep feet cool and dry.</x:v>
      </x:c>
      <x:c r="D82" s="17" t="str">
        <x:f>"title: "&amp;'Target Products'!C82&amp;" | leaf_category: "&amp;'Target Products'!E82&amp;" | store: "&amp;'Target Products'!L82&amp;" | details: "&amp;'Target Products'!G82</x:f>
        <x:v>title: Hanes Women's Value, Crew Soft Moisture-Wicking Socks, Available in 10 and 14-Packs | leaf_category: No Show &amp; Liner Socks | store: Hanes | details: Item model number: 68314P | Department: Womens | Date First Available: May 19, 2023 | Manufacturer: Hanes Women's Socks</x:v>
      </x:c>
      <x:c r="E82" s="17" t="str">
        <x:f>"scenario: "&amp;'Sessions'!B82&amp;" | current_message: "&amp;'Sessions'!M82&amp;" | profile_soft_tags: "&amp;'Sessions'!I82</x:f>
        <x:v>scenario: intent_override | current_message: I'm looking for Socks No Show &amp; Liner Socks. Pull On closure | profile_soft_tags: material | fit | style</x:v>
      </x:c>
      <x:c r="F82" s="17" t="str">
        <x:f>'Intent Cards'!D82&amp;IF('Intent Cards'!F82&lt;&gt;""," | "&amp;'Intent Cards'!F82,"")</x:f>
        <x:v>cotton | 78% Cotton, 21% Polyester, 1% Spandex</x:v>
      </x:c>
      <x:c r="G82" s="17" t="str">
        <x:f>'Sessions'!I82</x:f>
        <x:v>material | fit | style</x:v>
      </x:c>
      <x:c r="H82" s="77" t="n">
        <x:f>LEN(C82)</x:f>
        <x:v>1518</x:v>
      </x:c>
      <x:c r="I82" s="77" t="n">
        <x:f>IF(H82&gt;2400,3,IF(H82&gt;1200,2,1))</x:f>
        <x:v>2</x:v>
      </x:c>
      <x:c r="J82" s="17" t="str">
        <x:f>IF('Sessions'!B82="intent_override","Drop superseded values before query embedding",IF('Sessions'!B82="boundary","Do not invent a value for no-preference attributes","Keep profile tags soft; current message wins"))</x:f>
        <x:v>Drop superseded values before query embedding</x:v>
      </x:c>
    </x:row>
    <x:row r="83" ht="72" customHeight="1">
      <x:c r="A83" t="str">
        <x:f>'Sessions'!A83</x:f>
        <x:v>public_0079</x:v>
      </x:c>
      <x:c r="B83" t="str">
        <x:f>'Target Products'!B83</x:f>
        <x:v>B0BFRMX3JG</x:v>
      </x:c>
      <x:c r="C83" s="17" t="str">
        <x:f>"title: "&amp;'Target Products'!C83&amp;" | categories: "&amp;'Target Products'!D83&amp;" | features: "&amp;'Target Products'!F83&amp;" | details: "&amp;'Target Products'!G83&amp;" | description: "&amp;'Target Products'!H83</x:f>
        <x:v>title: Jeasona Women’s Fuzzy Slipper Socks With Grippers Cozy Warm Cute Animal Gifts | categories: Clothing, Shoes &amp; Jewelry | Women | Clothing | Socks &amp; Hosiery | Slipper Socks | features: Rubber sole | Best Gifts Ideas: These cute fluffy slipper socks are featuring lovely animals pattern-owl, dog, cat, fox, penguin and reindeer. They are very good gifts for women. Gifts for mom. Best gifts for Christmas present, birthday present for families, girl, kids and elderly mother. | Super Soft and Cozy: These fuzzy slipper socks are made of Polyester 95%, Spandex 5%. The material is extraordinary soft and comfy. | Very Warm: These thick warm winter slipper socks featuring soft fleece lined. Perfect for cold weather and great around the house, make house slippers unnecessary. | Slipper Socks with Grippers Design: Silicon rubber grips on soles of socks prevent slips and falls on smooth floors. Great socks for the elderly to prevent falls | Size: These soft slipper socks are suitable for women US Size 5-8. | details: Package Dimensions: 7 x 5 x 5 inches; 6 Ounces | Item model number: 1-509 | Department: Womens | Date First Available: September 19, 2022 | description: The main material of our socks is high quality raw material. Our socks have good breathable and durable.  These cute fleece lined slipper socks are featuring lovely animal pattern. They are best gifts for animal lovers.  They are very good gifts for women. Gifts for mom. Best gifts for Christmas present, birthday present for families, girl, kids and elderly mother.  Note:  1. Due to different monitors and lighting, the color of the actual socks may be slightly different with the above images. We strive to make the colors as accurate as possible. Thanks for your understanding!</x:v>
      </x:c>
      <x:c r="D83" s="17" t="str">
        <x:f>"title: "&amp;'Target Products'!C83&amp;" | leaf_category: "&amp;'Target Products'!E83&amp;" | store: "&amp;'Target Products'!L83&amp;" | details: "&amp;'Target Products'!G83</x:f>
        <x:v>title: Jeasona Women’s Fuzzy Slipper Socks With Grippers Cozy Warm Cute Animal Gifts | leaf_category: Slipper Socks | store: Jeasona | details: Package Dimensions: 7 x 5 x 5 inches; 6 Ounces | Item model number: 1-509 | Department: Womens | Date First Available: September 19, 2022</x:v>
      </x:c>
      <x:c r="E83" s="17" t="str">
        <x:f>"scenario: "&amp;'Sessions'!B83&amp;" | current_message: "&amp;'Sessions'!M83&amp;" | profile_soft_tags: "&amp;'Sessions'!I83</x:f>
        <x:v>scenario: browsing | current_message: I'm looking for Socks &amp; Hosiery Slipper Socks, but I'm still exploring. | profile_soft_tags: style | fit | comfort | durability</x:v>
      </x:c>
      <x:c r="F83" s="17" t="str">
        <x:f>'Intent Cards'!D83&amp;IF('Intent Cards'!F83&lt;&gt;""," | "&amp;'Intent Cards'!F83,"")</x:f>
        <x:v>polyester | Rubber sole</x:v>
      </x:c>
      <x:c r="G83" s="17" t="str">
        <x:f>'Sessions'!I83</x:f>
        <x:v>style | fit | comfort | durability</x:v>
      </x:c>
      <x:c r="H83" s="77" t="n">
        <x:f>LEN(C83)</x:f>
        <x:v>1759</x:v>
      </x:c>
      <x:c r="I83" s="77" t="n">
        <x:f>IF(H83&gt;2400,3,IF(H83&gt;1200,2,1))</x:f>
        <x:v>2</x:v>
      </x:c>
      <x:c r="J83" s="17" t="str">
        <x:f>IF('Sessions'!B83="intent_override","Drop superseded values before query embedding",IF('Sessions'!B83="boundary","Do not invent a value for no-preference attributes","Keep profile tags soft; current message wins"))</x:f>
        <x:v>Keep profile tags soft; current message wins</x:v>
      </x:c>
    </x:row>
    <x:row r="84" ht="72" customHeight="1">
      <x:c r="A84" t="str">
        <x:f>'Sessions'!A84</x:f>
        <x:v>public_0080</x:v>
      </x:c>
      <x:c r="B84" t="str">
        <x:f>'Target Products'!B84</x:f>
        <x:v>B0BPRQY4CF</x:v>
      </x:c>
      <x:c r="C84" s="17" t="str">
        <x:f>"title: "&amp;'Target Products'!C84&amp;" | categories: "&amp;'Target Products'!D84&amp;" | features: "&amp;'Target Products'!F84&amp;" | details: "&amp;'Target Products'!G84&amp;" | description: "&amp;'Target Products'!H84</x:f>
        <x:v>title: IZOD Men's Advantage Performance Short Sleeve Polo Shirt | categories: Clothing, Shoes &amp; Jewelry | Men | Clothing | Shirts | Polos | features: 60% Cotton, 40% Polyester | Imported | Button closure | Machine Wash | Stretch fabric - sport flex technology moves with your body for maximum flexibility | Moisture-wicking - sweat and water-resistant moisture-wicking fabric for all-day comfort | Breathable material - a mix of cotton and polyester material creates a breathable, lightweight feel | Uv protection - special tight-knit thread protects your skin against the sun's harmful UV rays | Stay-put collar - no need for collar stays or an iron with a roll-resistant collar | details: Item Weight: 1 Pounds | Department: unisex-adult | Date First Available: July 5, 2017 | Manufacturer: IZOD | description: </x:v>
      </x:c>
      <x:c r="D84" s="17" t="str">
        <x:f>"title: "&amp;'Target Products'!C84&amp;" | leaf_category: "&amp;'Target Products'!E84&amp;" | store: "&amp;'Target Products'!L84&amp;" | details: "&amp;'Target Products'!G84</x:f>
        <x:v>title: IZOD Men's Advantage Performance Short Sleeve Polo Shirt | leaf_category: Polos | store: IZOD | details: Item Weight: 1 Pounds | Department: unisex-adult | Date First Available: July 5, 2017 | Manufacturer: IZOD</x:v>
      </x:c>
      <x:c r="E84" s="17" t="str">
        <x:f>"scenario: "&amp;'Sessions'!B84&amp;" | current_message: "&amp;'Sessions'!M84&amp;" | profile_soft_tags: "&amp;'Sessions'!I84</x:f>
        <x:v>scenario: intent_override | current_message: I'm looking for Shirts Polos. Button closure | profile_soft_tags: durability | material | comfort | fit</x:v>
      </x:c>
      <x:c r="F84" s="17" t="str">
        <x:f>'Intent Cards'!D84&amp;IF('Intent Cards'!F84&lt;&gt;""," | "&amp;'Intent Cards'!F84,"")</x:f>
        <x:v>cotton | 60% Cotton, 40% Polyester</x:v>
      </x:c>
      <x:c r="G84" s="17" t="str">
        <x:f>'Sessions'!I84</x:f>
        <x:v>durability | material | comfort | fit</x:v>
      </x:c>
      <x:c r="H84" s="77" t="n">
        <x:f>LEN(C84)</x:f>
        <x:v>813</x:v>
      </x:c>
      <x:c r="I84" s="77" t="n">
        <x:f>IF(H84&gt;2400,3,IF(H84&gt;1200,2,1))</x:f>
        <x:v>1</x:v>
      </x:c>
      <x:c r="J84" s="17" t="str">
        <x:f>IF('Sessions'!B84="intent_override","Drop superseded values before query embedding",IF('Sessions'!B84="boundary","Do not invent a value for no-preference attributes","Keep profile tags soft; current message wins"))</x:f>
        <x:v>Drop superseded values before query embedding</x:v>
      </x:c>
    </x:row>
    <x:row r="85" ht="72" customHeight="1">
      <x:c r="A85" t="str">
        <x:f>'Sessions'!A85</x:f>
        <x:v>public_0081</x:v>
      </x:c>
      <x:c r="B85" t="str">
        <x:f>'Target Products'!B85</x:f>
        <x:v>B0BSS36XCS</x:v>
      </x:c>
      <x:c r="C85" s="17" t="str">
        <x:f>"title: "&amp;'Target Products'!C85&amp;" | categories: "&amp;'Target Products'!D85&amp;" | features: "&amp;'Target Products'!F85&amp;" | details: "&amp;'Target Products'!G85&amp;" | description: "&amp;'Target Products'!H85</x:f>
        <x:v>title: Fruit of the Loom Men's Eversoft Cotton Stay Tucked V-Neck T-Shirt | categories: Clothing, Shoes &amp; Jewelry | Men | Clothing | Underwear | Undershirts | features: 100% Cotton | Pull On closure | Machine Wash | Eversoft Cotton Stay Tucked V-neck T-shirt | details: Department: Mens | Date First Available: January 22, 2023 | Manufacturer: Fruit of the Loom | description: </x:v>
      </x:c>
      <x:c r="D85" s="17" t="str">
        <x:f>"title: "&amp;'Target Products'!C85&amp;" | leaf_category: "&amp;'Target Products'!E85&amp;" | store: "&amp;'Target Products'!L85&amp;" | details: "&amp;'Target Products'!G85</x:f>
        <x:v>title: Fruit of the Loom Men's Eversoft Cotton Stay Tucked V-Neck T-Shirt | leaf_category: Undershirts | store: Fruit of the Loom | details: Department: Mens | Date First Available: January 22, 2023 | Manufacturer: Fruit of the Loom</x:v>
      </x:c>
      <x:c r="E85" s="17" t="str">
        <x:f>"scenario: "&amp;'Sessions'!B85&amp;" | current_message: "&amp;'Sessions'!M85&amp;" | profile_soft_tags: "&amp;'Sessions'!I85</x:f>
        <x:v>scenario: browsing | current_message: I'm looking for Underwear Undershirts, but I'm still exploring. | profile_soft_tags: fit | material | style | durability</x:v>
      </x:c>
      <x:c r="F85" s="17" t="str">
        <x:f>'Intent Cards'!D85&amp;IF('Intent Cards'!F85&lt;&gt;""," | "&amp;'Intent Cards'!F85,"")</x:f>
        <x:v>cotton | 100% Cotton</x:v>
      </x:c>
      <x:c r="G85" s="17" t="str">
        <x:f>'Sessions'!I85</x:f>
        <x:v>fit | material | style | durability</x:v>
      </x:c>
      <x:c r="H85" s="77" t="n">
        <x:f>LEN(C85)</x:f>
        <x:v>377</x:v>
      </x:c>
      <x:c r="I85" s="77" t="n">
        <x:f>IF(H85&gt;2400,3,IF(H85&gt;1200,2,1))</x:f>
        <x:v>1</x:v>
      </x:c>
      <x:c r="J85" s="17" t="str">
        <x:f>IF('Sessions'!B85="intent_override","Drop superseded values before query embedding",IF('Sessions'!B85="boundary","Do not invent a value for no-preference attributes","Keep profile tags soft; current message wins"))</x:f>
        <x:v>Keep profile tags soft; current message wins</x:v>
      </x:c>
    </x:row>
    <x:row r="86" ht="72" customHeight="1">
      <x:c r="A86" t="str">
        <x:f>'Sessions'!A86</x:f>
        <x:v>public_0082</x:v>
      </x:c>
      <x:c r="B86" t="str">
        <x:f>'Target Products'!B86</x:f>
        <x:v>B09BPZCWDP</x:v>
      </x:c>
      <x:c r="C86" s="17" t="str">
        <x:f>"title: "&amp;'Target Products'!C86&amp;" | categories: "&amp;'Target Products'!D86&amp;" | features: "&amp;'Target Products'!F86&amp;" | details: "&amp;'Target Products'!G86&amp;" | description: "&amp;'Target Products'!H86</x:f>
        <x:v>title: Hicarer 21 Pieces Surfer Wave Bracelet Ocean Wave Adjustable Waterproof Handmade Friendship Bracelet Summer Sunflower Bracelets Anklets Jewelry for Women Teen Girls | categories: Clothing, Shoes &amp; Jewelry | Women | Jewelry | Bracelets | Strand | features: 21 Styles: the package contains 21 pieces beach bracelet anklets in different styles as shown in the picture, coming with various elements, enough quantity to use and share with families or friends | Waterproof and fadeless: these boho style pull cord anklets are made of a combination of wax and cords, featuring good resistance of water, not easy to fade even if you go surfing and swimming wearing with them | Summer vibe accessories: blue and orange colors of the wave strand bracelet set can easily make you look vibrant, going well with different clothes; Nice accessories to wear in summer and go to the beach | Adjustable size: each beach surfer strand wave bracelet is 7 to 10 inches in length, it can be adjusted by to fit the size of your wrist and ankle, proper size for most women and girls | Different ways of wearing: these summer friendship bracelets can be worn as bracelets and anklets, also allow you to combine together, DIY your own jewelry and be a stylish lady; Nice gifts to mom, wife, girlfriend, friends and so on | details: Color: Blue,Orange | Brand: Hicarer | Style: Multiple Style | Age Range (Description): Adult | Size: 7 inches | Package Dimensions: 5.91 x 3.94 x 0.59 inches; 1.76 Ounces | Department: womens | Date First Available: August 3, 2021 | Manufacturer: Hicarer | description: </x:v>
      </x:c>
      <x:c r="D86" s="17" t="str">
        <x:f>"title: "&amp;'Target Products'!C86&amp;" | leaf_category: "&amp;'Target Products'!E86&amp;" | store: "&amp;'Target Products'!L86&amp;" | details: "&amp;'Target Products'!G86</x:f>
        <x:v>title: Hicarer 21 Pieces Surfer Wave Bracelet Ocean Wave Adjustable Waterproof Handmade Friendship Bracelet Summer Sunflower Bracelets Anklets Jewelry for Women Teen Girls | leaf_category: Strand | store: Hicarer | details: Color: Blue,Orange | Brand: Hicarer | Style: Multiple Style | Age Range (Description): Adult | Size: 7 inches | Package Dimensions: 5.91 x 3.94 x 0.59 inches; 1.76 Ounces | Department: womens | Date First Available: August 3, 2021 | Manufacturer: Hicarer</x:v>
      </x:c>
      <x:c r="E86" s="17" t="str">
        <x:f>"scenario: "&amp;'Sessions'!B86&amp;" | current_message: "&amp;'Sessions'!M86&amp;" | profile_soft_tags: "&amp;'Sessions'!I86</x:f>
        <x:v>scenario: buying | current_message: I'm looking for Bracelets Strand. A key requirement is: 21 Styles: the package contains 21 pieces beach bracelet anklets in different styles as shown in the picture, coming with various elements, enough quantity to use and share with fa. | profile_soft_tags: material | fit</x:v>
      </x:c>
      <x:c r="F86" s="17" t="str">
        <x:f>'Intent Cards'!D86&amp;IF('Intent Cards'!F86&lt;&gt;""," | "&amp;'Intent Cards'!F86,"")</x:f>
        <x:v>21 Styles: the package contains 21 pieces beach bracelet anklets in different styles as shown in the picture, coming with various elements, enough quantity to use and share with fa | color: blue</x:v>
      </x:c>
      <x:c r="G86" s="17" t="str">
        <x:f>'Sessions'!I86</x:f>
        <x:v>material | fit</x:v>
      </x:c>
      <x:c r="H86" s="77" t="n">
        <x:f>LEN(C86)</x:f>
        <x:v>1584</x:v>
      </x:c>
      <x:c r="I86" s="77" t="n">
        <x:f>IF(H86&gt;2400,3,IF(H86&gt;1200,2,1))</x:f>
        <x:v>2</x:v>
      </x:c>
      <x:c r="J86" s="17" t="str">
        <x:f>IF('Sessions'!B86="intent_override","Drop superseded values before query embedding",IF('Sessions'!B86="boundary","Do not invent a value for no-preference attributes","Keep profile tags soft; current message wins"))</x:f>
        <x:v>Keep profile tags soft; current message wins</x:v>
      </x:c>
    </x:row>
    <x:row r="87" ht="72" customHeight="1">
      <x:c r="A87" t="str">
        <x:f>'Sessions'!A87</x:f>
        <x:v>public_0083</x:v>
      </x:c>
      <x:c r="B87" t="str">
        <x:f>'Target Products'!B87</x:f>
        <x:v>B0BPMCJ1RD</x:v>
      </x:c>
      <x:c r="C87" s="17" t="str">
        <x:f>"title: "&amp;'Target Products'!C87&amp;" | categories: "&amp;'Target Products'!D87&amp;" | features: "&amp;'Target Products'!F87&amp;" | details: "&amp;'Target Products'!G87&amp;" | description: "&amp;'Target Products'!H87</x:f>
        <x:v>title: CHICZONE Plaid Shacket Jacket Womens Long Flannel Jacket Casual Lapel Button Down Tartan Trench Coats | categories: Clothing, Shoes &amp; Jewelry | Women | Clothing | Tops, Tees &amp; Blouses | Blouses &amp; Button-Down Shirts | features: 100% Polyester | Imported | Button closure | Button down long plaid shirt, gingham printed flannel shacket jacket, long sleeve tartan shirts jackets, wool blend trench coat for women and ladies. | Features:Color block checkered pattern,turndown collar,drop shoulder,long sleeve with button cuff,two side pockets, 2 buttoned flap chest pockets, side slit, arc hem,under knee length, oversized boyfriend style. The plaid shacket jacket is a must have in women's closet! | Match:This flannel shacket can be worn open as a long plaid jacket or wool trench coat.Pair with sweaters,turtlenecks,jeans,shorts,skinny leggings,boots,scarf,and boots for casual and street style. | Occasion: The long plaid coat is perfect for casual daily life,shopping,street wear,working,office,school,holiday,vacation,night out,outdoor etc,suitable for autumn, winter and spring. | Comfy,relaxed loose fit brushed checked mid long flannel shirt coat,suit for for spring,fall,autumn,winter.The fabric is medium weight, durable and warm, soft and comfy to wear. | details: Department: Womens | Date First Available: December 9, 2022 | description: </x:v>
      </x:c>
      <x:c r="D87" s="17" t="str">
        <x:f>"title: "&amp;'Target Products'!C87&amp;" | leaf_category: "&amp;'Target Products'!E87&amp;" | store: "&amp;'Target Products'!L87&amp;" | details: "&amp;'Target Products'!G87</x:f>
        <x:v>title: CHICZONE Plaid Shacket Jacket Womens Long Flannel Jacket Casual Lapel Button Down Tartan Trench Coats | leaf_category: Blouses &amp; Button-Down Shirts | store: CHICZONE | details: Department: Womens | Date First Available: December 9, 2022</x:v>
      </x:c>
      <x:c r="E87" s="17" t="str">
        <x:f>"scenario: "&amp;'Sessions'!B87&amp;" | current_message: "&amp;'Sessions'!M87&amp;" | profile_soft_tags: "&amp;'Sessions'!I87</x:f>
        <x:v>scenario: buying | current_message: I'm looking for Tees &amp; Blouses Blouses &amp; Button-Down Shirts. A key requirement is: polyester. | profile_soft_tags: fit | material | comfort | style</x:v>
      </x:c>
      <x:c r="F87" s="17" t="str">
        <x:f>'Intent Cards'!D87&amp;IF('Intent Cards'!F87&lt;&gt;""," | "&amp;'Intent Cards'!F87,"")</x:f>
        <x:v>polyester | 100% Polyester</x:v>
      </x:c>
      <x:c r="G87" s="17" t="str">
        <x:f>'Sessions'!I87</x:f>
        <x:v>fit | material | comfort | style</x:v>
      </x:c>
      <x:c r="H87" s="77" t="n">
        <x:f>LEN(C87)</x:f>
        <x:v>1355</x:v>
      </x:c>
      <x:c r="I87" s="77" t="n">
        <x:f>IF(H87&gt;2400,3,IF(H87&gt;1200,2,1))</x:f>
        <x:v>2</x:v>
      </x:c>
      <x:c r="J87" s="17" t="str">
        <x:f>IF('Sessions'!B87="intent_override","Drop superseded values before query embedding",IF('Sessions'!B87="boundary","Do not invent a value for no-preference attributes","Keep profile tags soft; current message wins"))</x:f>
        <x:v>Keep profile tags soft; current message wins</x:v>
      </x:c>
    </x:row>
    <x:row r="88" ht="72" customHeight="1">
      <x:c r="A88" t="str">
        <x:f>'Sessions'!A88</x:f>
        <x:v>public_0084</x:v>
      </x:c>
      <x:c r="B88" t="str">
        <x:f>'Target Products'!B88</x:f>
        <x:v>B08WKZNFG2</x:v>
      </x:c>
      <x:c r="C88" s="17" t="str">
        <x:f>"title: "&amp;'Target Products'!C88&amp;" | categories: "&amp;'Target Products'!D88&amp;" | features: "&amp;'Target Products'!F88&amp;" | details: "&amp;'Target Products'!G88&amp;" | description: "&amp;'Target Products'!H88</x:f>
        <x:v>title: BeltBro Titan No Buckle Elastic Belt For Men — Fits 1.5 Inch Belt Loops, Comfortable and Easy To Use | categories: Clothing, Shoes &amp; Jewelry | Men | Accessories | Belts | features: 33% Elastic, 34% Nylon, 33% Polyester | Hook and Loop closure | Hand Wash Only | YOUR PANTS WILL NEVER FALL DOWN — All pants and shorts with belt loops are spaced differently. This pack includes 2 small (10") BeltBro which allow you to attach to both sides of the belt loops on your pants. The pair will ensure your pants are secure and comfortable. | EXPERIENCE ULTIMATE COMFORT ALL DAY LONG — Belts dig into your stomach, causing pain and annoyance. With BeltBro Titan, your pants feel secure but you won’t even feel like you’re wearing a belt. The BeltBro allows you to breathe easy and stay comfortable. It's the perfect way to secure your pants without an uncomfortable belt pressing against your stomach. | MADE TO LAST — The BeltBro Titan is made of a soft elastic fiber band with nylon and polyester, integrated into an industrial strength design. It's a far superior, fashionable, and more comfortable way to secure two belt loops together evenly and securely. It’s our strongest model available for Men's pants, it can even support the weight of accessories! | LIGHTWEIGHT AND EASY TO TAKE ON AND OFF — Weighing just 2oz, the BeltBro Titan secures on and off in just seconds. Hate taking off your belt at the airport? No problem! Wear the BeltBro Titan through the airport without any hassle. The 1.5-inch belt BeltBro Titan is made to fit any common mens pants and shorts. | BRING NEW LIFE TO YOUR FAVORITE CLOTHING — Recently lost weight? You don’t have to buy a whole new wardrobe. Use the BeltBro Titan to bring new life to your pants and enjoy wearing your favorite clothing again! | details: Department: unisex-adult | Date First Available: February 14, 2021 | description: </x:v>
      </x:c>
      <x:c r="D88" s="17" t="str">
        <x:f>"title: "&amp;'Target Products'!C88&amp;" | leaf_category: "&amp;'Target Products'!E88&amp;" | store: "&amp;'Target Products'!L88&amp;" | details: "&amp;'Target Products'!G88</x:f>
        <x:v>title: BeltBro Titan No Buckle Elastic Belt For Men — Fits 1.5 Inch Belt Loops, Comfortable and Easy To Use | leaf_category: Belts | store: BeltBro | details: Department: unisex-adult | Date First Available: February 14, 2021</x:v>
      </x:c>
      <x:c r="E88" s="17" t="str">
        <x:f>"scenario: "&amp;'Sessions'!B88&amp;" | current_message: "&amp;'Sessions'!M88&amp;" | profile_soft_tags: "&amp;'Sessions'!I88</x:f>
        <x:v>scenario: intent_override | current_message: I'm looking for Accessories Belts. Hand Wash Only | profile_soft_tags: material | comfort | fit | performance</x:v>
      </x:c>
      <x:c r="F88" s="17" t="str">
        <x:f>'Intent Cards'!D88&amp;IF('Intent Cards'!F88&lt;&gt;""," | "&amp;'Intent Cards'!F88,"")</x:f>
        <x:v>nylon | 33% Elastic, 34% Nylon, 33% Polyester</x:v>
      </x:c>
      <x:c r="G88" s="17" t="str">
        <x:f>'Sessions'!I88</x:f>
        <x:v>material | comfort | fit | performance</x:v>
      </x:c>
      <x:c r="H88" s="77" t="n">
        <x:f>LEN(C88)</x:f>
        <x:v>1878</x:v>
      </x:c>
      <x:c r="I88" s="77" t="n">
        <x:f>IF(H88&gt;2400,3,IF(H88&gt;1200,2,1))</x:f>
        <x:v>2</x:v>
      </x:c>
      <x:c r="J88" s="17" t="str">
        <x:f>IF('Sessions'!B88="intent_override","Drop superseded values before query embedding",IF('Sessions'!B88="boundary","Do not invent a value for no-preference attributes","Keep profile tags soft; current message wins"))</x:f>
        <x:v>Drop superseded values before query embedding</x:v>
      </x:c>
    </x:row>
    <x:row r="89" ht="72" customHeight="1">
      <x:c r="A89" t="str">
        <x:f>'Sessions'!A89</x:f>
        <x:v>public_0085</x:v>
      </x:c>
      <x:c r="B89" t="str">
        <x:f>'Target Products'!B89</x:f>
        <x:v>B0C3YJMRRD</x:v>
      </x:c>
      <x:c r="C89" s="17" t="str">
        <x:f>"title: "&amp;'Target Products'!C89&amp;" | categories: "&amp;'Target Products'!D89&amp;" | features: "&amp;'Target Products'!F89&amp;" | details: "&amp;'Target Products'!G89&amp;" | description: "&amp;'Target Products'!H89</x:f>
        <x:v>title: welltree Slides for Women Men Pillow Slippers Non-Slip Bathroom Shower Sandals Soft Thick Sole Indoor and Outdoor Slides | categories: Clothing, Shoes &amp; Jewelry | Women | Shoes | Sandals | Slides | features: Ethylene Vinyl Acetate sole | Heel measures approximately 1.57" | 【High-Quality】:Slides for women and men are made of high-quality EVA, environmentally friendly, no special smell, no noise, no water absorption, and easy to clean. | 【Ergonomic Design】:About 30° forward tilt head protection design,so that the sole of the foot does not rush out. The sunken footbed fits the curve of the foot pelvic floor and makes walking more comfortable. | 【Non-Slip Sole】:This shower slippers has a non-slip sole, allowing you to walk smoothly whether in the bathroom or outdoors on a slippery road. | 【Thickened Soft Sole 】:The heel height of the slides is 1.57 inches, which is twice that of ordinary slippers. They are made of highly elastic materials. Every time you walk, you can feel the sinking and rebounding process, just as comfortable as walking on a sofa. | 【Any Occasion】:Slides for women and men are quite suitable for pool, gym shower, outdoor, indoor and any other casual occasion. | details: Date First Available: April 30, 2023 | description: </x:v>
      </x:c>
      <x:c r="D89" s="17" t="str">
        <x:f>"title: "&amp;'Target Products'!C89&amp;" | leaf_category: "&amp;'Target Products'!E89&amp;" | store: "&amp;'Target Products'!L89&amp;" | details: "&amp;'Target Products'!G89</x:f>
        <x:v>title: welltree Slides for Women Men Pillow Slippers Non-Slip Bathroom Shower Sandals Soft Thick Sole Indoor and Outdoor Slides | leaf_category: Slides | store: welltree | details: Date First Available: April 30, 2023</x:v>
      </x:c>
      <x:c r="E89" s="17" t="str">
        <x:f>"scenario: "&amp;'Sessions'!B89&amp;" | current_message: "&amp;'Sessions'!M89&amp;" | profile_soft_tags: "&amp;'Sessions'!I89</x:f>
        <x:v>scenario: browsing | current_message: I'm looking for Sandals Slides, but I'm still exploring. | profile_soft_tags: fit | comfort | material | durability</x:v>
      </x:c>
      <x:c r="F89" s="17" t="str">
        <x:f>'Intent Cards'!D89&amp;IF('Intent Cards'!F89&lt;&gt;""," | "&amp;'Intent Cards'!F89,"")</x:f>
        <x:v>Ethylene Vinyl Acetate sole | Heel measures approximately 1.57"</x:v>
      </x:c>
      <x:c r="G89" s="17" t="str">
        <x:f>'Sessions'!I89</x:f>
        <x:v>fit | comfort | material | durability</x:v>
      </x:c>
      <x:c r="H89" s="77" t="n">
        <x:f>LEN(C89)</x:f>
        <x:v>1262</x:v>
      </x:c>
      <x:c r="I89" s="77" t="n">
        <x:f>IF(H89&gt;2400,3,IF(H89&gt;1200,2,1))</x:f>
        <x:v>2</x:v>
      </x:c>
      <x:c r="J89" s="17" t="str">
        <x:f>IF('Sessions'!B89="intent_override","Drop superseded values before query embedding",IF('Sessions'!B89="boundary","Do not invent a value for no-preference attributes","Keep profile tags soft; current message wins"))</x:f>
        <x:v>Keep profile tags soft; current message wins</x:v>
      </x:c>
    </x:row>
    <x:row r="90" ht="72" customHeight="1">
      <x:c r="A90" t="str">
        <x:f>'Sessions'!A90</x:f>
        <x:v>public_0086</x:v>
      </x:c>
      <x:c r="B90" t="str">
        <x:f>'Target Products'!B90</x:f>
        <x:v>B07WN8N9Q7</x:v>
      </x:c>
      <x:c r="C90" s="17" t="str">
        <x:f>"title: "&amp;'Target Products'!C90&amp;" | categories: "&amp;'Target Products'!D90&amp;" | features: "&amp;'Target Products'!F90&amp;" | details: "&amp;'Target Products'!G90&amp;" | description: "&amp;'Target Products'!H90</x:f>
        <x:v>title: LongBay Women's Chenille Knit Bootie Slippers Cute Plush Fleece Memory Foam House Shoes | categories: Clothing, Shoes &amp; Jewelry | Women | Shoes | Slippers | features: Rubber sole | PRETTY ANKLE BOOTS - Cozy up the cold season with these attractive warm house slippers while luxe chenille knit styling adds a chic and cute touch to your comfort. Subtle scrunching along your shin for added fashion appeal. Wide opening design makes them easy to slip on | COMFY &amp; SOFT - Nice chenille velvet upper and fuzzy plush fleece lining hug your feet and provide toasty warmth plus ultra softness, which make you feel like walking on a cloud. When you get home from work at the end of the day, these decent house slippers are great to relax your tired feet | CUSHION &amp; SUPPORT - Long lasting 80D memory foam insole provides superior cushioning and padding, feels like ergonomic pillows under your feet. Supportive insole relaxes your arch and soothes common foot pains from all-day walking or standing | VERSATILE USE - Flexible and durable rubber sole with traction at bottom for non-slip indoor wearing and sturdy outdoor use. Unlike regular scuffs, they come up over the ankle, which are perfect for cool evenings on the deck. They're also non-slip even on wet surfaces | BEST GIFT CHOICE - These shoes are machine washable, which makes caring for them easily. Well made, surprisingly nice, super comfortable and great fit, these booties would be perfect as a gift for yourself or your loved ones | details: Department: womens | Date First Available: August 17, 2019 | description: </x:v>
      </x:c>
      <x:c r="D90" s="17" t="str">
        <x:f>"title: "&amp;'Target Products'!C90&amp;" | leaf_category: "&amp;'Target Products'!E90&amp;" | store: "&amp;'Target Products'!L90&amp;" | details: "&amp;'Target Products'!G90</x:f>
        <x:v>title: LongBay Women's Chenille Knit Bootie Slippers Cute Plush Fleece Memory Foam House Shoes | leaf_category: Slippers | store: LongBay | details: Department: womens | Date First Available: August 17, 2019</x:v>
      </x:c>
      <x:c r="E90" s="17" t="str">
        <x:f>"scenario: "&amp;'Sessions'!B90&amp;" | current_message: "&amp;'Sessions'!M90&amp;" | profile_soft_tags: "&amp;'Sessions'!I90</x:f>
        <x:v>scenario: browsing | current_message: I'm looking for Shoes Slippers, but I'm still exploring. | profile_soft_tags: comfort | material | fit | durability</x:v>
      </x:c>
      <x:c r="F90" s="17" t="str">
        <x:f>'Intent Cards'!D90&amp;IF('Intent Cards'!F90&lt;&gt;""," | "&amp;'Intent Cards'!F90,"")</x:f>
        <x:v>Rubber sole | PRETTY ANKLE BOOTS - Cozy up the cold season with these attractive warm house slippers while luxe chenille knit styling adds a chic and cute touch to your comfort. Subtle scrunchin</x:v>
      </x:c>
      <x:c r="G90" s="17" t="str">
        <x:f>'Sessions'!I90</x:f>
        <x:v>comfort | material | fit | durability</x:v>
      </x:c>
      <x:c r="H90" s="77" t="n">
        <x:f>LEN(C90)</x:f>
        <x:v>1581</x:v>
      </x:c>
      <x:c r="I90" s="77" t="n">
        <x:f>IF(H90&gt;2400,3,IF(H90&gt;1200,2,1))</x:f>
        <x:v>2</x:v>
      </x:c>
      <x:c r="J90" s="17" t="str">
        <x:f>IF('Sessions'!B90="intent_override","Drop superseded values before query embedding",IF('Sessions'!B90="boundary","Do not invent a value for no-preference attributes","Keep profile tags soft; current message wins"))</x:f>
        <x:v>Keep profile tags soft; current message wins</x:v>
      </x:c>
    </x:row>
    <x:row r="91" ht="72" customHeight="1">
      <x:c r="A91" t="str">
        <x:f>'Sessions'!A91</x:f>
        <x:v>public_0087</x:v>
      </x:c>
      <x:c r="B91" t="str">
        <x:f>'Target Products'!B91</x:f>
        <x:v>B0BT158RRR</x:v>
      </x:c>
      <x:c r="C91" s="17" t="str">
        <x:f>"title: "&amp;'Target Products'!C91&amp;" | categories: "&amp;'Target Products'!D91&amp;" | features: "&amp;'Target Products'!F91&amp;" | details: "&amp;'Target Products'!G91&amp;" | description: "&amp;'Target Products'!H91</x:f>
        <x:v>title: Goodthreads Men's Standard-Fit Short-Sleeve Printed Poplin Shirt | categories: Clothing, Shoes &amp; Jewelry | Men | Clothing | Shirts | Casual Button-Down Shirts | features: 100% Cotton | Imported | Button closure | Machine Wash | Easy through chest and tapered through waist | Soft, durable and cozy tumbled poplin for a lived-in feel right away | Single chest pocket | An Amazon brand | details: Item model number: MGT25079 | Department: Mens | Date First Available: January 25, 2023 | Manufacturer: Goodthreads | description: Quality clothes for all the good things ahead. Our brand is stacked with vintage-inspired streetwear for easy looks every day.</x:v>
      </x:c>
      <x:c r="D91" s="17" t="str">
        <x:f>"title: "&amp;'Target Products'!C91&amp;" | leaf_category: "&amp;'Target Products'!E91&amp;" | store: "&amp;'Target Products'!L91&amp;" | details: "&amp;'Target Products'!G91</x:f>
        <x:v>title: Goodthreads Men's Standard-Fit Short-Sleeve Printed Poplin Shirt | leaf_category: Casual Button-Down Shirts | store: Goodthreads | details: Item model number: MGT25079 | Department: Mens | Date First Available: January 25, 2023 | Manufacturer: Goodthreads</x:v>
      </x:c>
      <x:c r="E91" s="17" t="str">
        <x:f>"scenario: "&amp;'Sessions'!B91&amp;" | current_message: "&amp;'Sessions'!M91&amp;" | profile_soft_tags: "&amp;'Sessions'!I91</x:f>
        <x:v>scenario: browsing | current_message: I'm looking for Shirts Casual Button-Down Shirts, but I'm still exploring. | profile_soft_tags: material | fit | comfort</x:v>
      </x:c>
      <x:c r="F91" s="17" t="str">
        <x:f>'Intent Cards'!D91&amp;IF('Intent Cards'!F91&lt;&gt;""," | "&amp;'Intent Cards'!F91,"")</x:f>
        <x:v>cotton | 100% Cotton</x:v>
      </x:c>
      <x:c r="G91" s="17" t="str">
        <x:f>'Sessions'!I91</x:f>
        <x:v>material | fit | comfort</x:v>
      </x:c>
      <x:c r="H91" s="77" t="n">
        <x:f>LEN(C91)</x:f>
        <x:v>659</x:v>
      </x:c>
      <x:c r="I91" s="77" t="n">
        <x:f>IF(H91&gt;2400,3,IF(H91&gt;1200,2,1))</x:f>
        <x:v>1</x:v>
      </x:c>
      <x:c r="J91" s="17" t="str">
        <x:f>IF('Sessions'!B91="intent_override","Drop superseded values before query embedding",IF('Sessions'!B91="boundary","Do not invent a value for no-preference attributes","Keep profile tags soft; current message wins"))</x:f>
        <x:v>Keep profile tags soft; current message wins</x:v>
      </x:c>
    </x:row>
    <x:row r="92" ht="72" customHeight="1">
      <x:c r="A92" t="str">
        <x:f>'Sessions'!A92</x:f>
        <x:v>public_0088</x:v>
      </x:c>
      <x:c r="B92" t="str">
        <x:f>'Target Products'!B92</x:f>
        <x:v>B07Z6J5N6Y</x:v>
      </x:c>
      <x:c r="C92" s="17" t="str">
        <x:f>"title: "&amp;'Target Products'!C92&amp;" | categories: "&amp;'Target Products'!D92&amp;" | features: "&amp;'Target Products'!F92&amp;" | details: "&amp;'Target Products'!G92&amp;" | description: "&amp;'Target Products'!H92</x:f>
        <x:v>title: Amazon Essentials Women's Cotton Bikini Brief Underwear (Available in Plus Size), Multipacks | categories: Clothing, Shoes &amp; Jewelry | Women | Clothing | Lingerie, Sleep &amp; Lounge | Lingerie | Panties | Bikinis | features: 95% Cotton, 5% Spandex | Imported | Machine Wash | Lightweight jersey cotton blend with stretch | Bikini-style panties | Moderate coverage | Tag-free | An Amazon brand | Colors may vary | details: Package Dimensions: 1 x 1 x 1 inches; 8 Ounces | Item model number: WAE90087FL18 | Department: Womens | Date First Available: October 16, 2019 | Manufacturer: Amazon Essentials | description: An Amazon brand - Classic stretch bikini panties with a smooth and comfortable fit |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x:v>
      </x:c>
      <x:c r="D92" s="17" t="str">
        <x:f>"title: "&amp;'Target Products'!C92&amp;" | leaf_category: "&amp;'Target Products'!E92&amp;" | store: "&amp;'Target Products'!L92&amp;" | details: "&amp;'Target Products'!G92</x:f>
        <x:v>title: Amazon Essentials Women's Cotton Bikini Brief Underwear (Available in Plus Size), Multipacks | leaf_category: Bikinis | store: Amazon Essentials | details: Package Dimensions: 1 x 1 x 1 inches; 8 Ounces | Item model number: WAE90087FL18 | Department: Womens | Date First Available: October 16, 2019 | Manufacturer: Amazon Essentials</x:v>
      </x:c>
      <x:c r="E92" s="17" t="str">
        <x:f>"scenario: "&amp;'Sessions'!B92&amp;" | current_message: "&amp;'Sessions'!M92&amp;" | profile_soft_tags: "&amp;'Sessions'!I92</x:f>
        <x:v>scenario: buying | current_message: I'm looking for Panties Bikinis. A key requirement is: cotton. | profile_soft_tags: comfort | fit | durability | style</x:v>
      </x:c>
      <x:c r="F92" s="17" t="str">
        <x:f>'Intent Cards'!D92&amp;IF('Intent Cards'!F92&lt;&gt;""," | "&amp;'Intent Cards'!F92,"")</x:f>
        <x:v>cotton | 95% Cotton, 5% Spandex</x:v>
      </x:c>
      <x:c r="G92" s="17" t="str">
        <x:f>'Sessions'!I92</x:f>
        <x:v>comfort | fit | durability | style</x:v>
      </x:c>
      <x:c r="H92" s="77" t="n">
        <x:f>LEN(C92)</x:f>
        <x:v>1092</x:v>
      </x:c>
      <x:c r="I92" s="77" t="n">
        <x:f>IF(H92&gt;2400,3,IF(H92&gt;1200,2,1))</x:f>
        <x:v>1</x:v>
      </x:c>
      <x:c r="J92" s="17" t="str">
        <x:f>IF('Sessions'!B92="intent_override","Drop superseded values before query embedding",IF('Sessions'!B92="boundary","Do not invent a value for no-preference attributes","Keep profile tags soft; current message wins"))</x:f>
        <x:v>Keep profile tags soft; current message wins</x:v>
      </x:c>
    </x:row>
    <x:row r="93" ht="72" customHeight="1">
      <x:c r="A93" t="str">
        <x:f>'Sessions'!A93</x:f>
        <x:v>public_0089</x:v>
      </x:c>
      <x:c r="B93" t="str">
        <x:f>'Target Products'!B93</x:f>
        <x:v>B0BXMCZLZV</x:v>
      </x:c>
      <x:c r="C93" s="17" t="str">
        <x:f>"title: "&amp;'Target Products'!C93&amp;" | categories: "&amp;'Target Products'!D93&amp;" | features: "&amp;'Target Products'!F93&amp;" | details: "&amp;'Target Products'!G93&amp;" | description: "&amp;'Target Products'!H93</x:f>
        <x:v>title: Vanity Fair Women's Perfectly Yours High Waisted Brief Panties | categories: Clothing, Shoes &amp; Jewelry | Women | Clothing | Lingerie, Sleep &amp; Lounge | Lingerie | Panties | Briefs | features: 100% Nylon | Imported | Elastic closure | Machine Wash | Vanity Fair Style 13001/13011 | Semi-sheer satin finish that glides under clothes and beautiful lace insets on sides | Generous full rear and tummy coverage and a smooth covered elastic waistband for ultimate comfort | 100% cotton gusset liner | 3 Pack | details: Item Weight: 0.96 Ounces | Item model number: 13011 | Department: womens | Date First Available: December 23, 2005 | Manufacturer: Vanity Fair | description: A brief so comfortable, you’ll want a pair for every day of the week. All Vanity Fair High Waisted panty styles provide generous full rear and tummy coverage.</x:v>
      </x:c>
      <x:c r="D93" s="17" t="str">
        <x:f>"title: "&amp;'Target Products'!C93&amp;" | leaf_category: "&amp;'Target Products'!E93&amp;" | store: "&amp;'Target Products'!L93&amp;" | details: "&amp;'Target Products'!G93</x:f>
        <x:v>title: Vanity Fair Women's Perfectly Yours High Waisted Brief Panties | leaf_category: Briefs | store: Vanity Fair | details: Item Weight: 0.96 Ounces | Item model number: 13011 | Department: womens | Date First Available: December 23, 2005 | Manufacturer: Vanity Fair</x:v>
      </x:c>
      <x:c r="E93" s="17" t="str">
        <x:f>"scenario: "&amp;'Sessions'!B93&amp;" | current_message: "&amp;'Sessions'!M93&amp;" | profile_soft_tags: "&amp;'Sessions'!I93</x:f>
        <x:v>scenario: intent_override | current_message: I'm looking for Panties Briefs. Elastic closure | profile_soft_tags: comfort | style | fit | durability</x:v>
      </x:c>
      <x:c r="F93" s="17" t="str">
        <x:f>'Intent Cards'!D93&amp;IF('Intent Cards'!F93&lt;&gt;""," | "&amp;'Intent Cards'!F93,"")</x:f>
        <x:v>nylon | 100% Nylon</x:v>
      </x:c>
      <x:c r="G93" s="17" t="str">
        <x:f>'Sessions'!I93</x:f>
        <x:v>comfort | style | fit | durability</x:v>
      </x:c>
      <x:c r="H93" s="77" t="n">
        <x:f>LEN(C93)</x:f>
        <x:v>835</x:v>
      </x:c>
      <x:c r="I93" s="77" t="n">
        <x:f>IF(H93&gt;2400,3,IF(H93&gt;1200,2,1))</x:f>
        <x:v>1</x:v>
      </x:c>
      <x:c r="J93" s="17" t="str">
        <x:f>IF('Sessions'!B93="intent_override","Drop superseded values before query embedding",IF('Sessions'!B93="boundary","Do not invent a value for no-preference attributes","Keep profile tags soft; current message wins"))</x:f>
        <x:v>Drop superseded values before query embedding</x:v>
      </x:c>
    </x:row>
    <x:row r="94" ht="72" customHeight="1">
      <x:c r="A94" t="str">
        <x:f>'Sessions'!A94</x:f>
        <x:v>public_0090</x:v>
      </x:c>
      <x:c r="B94" t="str">
        <x:f>'Target Products'!B94</x:f>
        <x:v>B07MGR6D5M</x:v>
      </x:c>
      <x:c r="C94" s="17" t="str">
        <x:f>"title: "&amp;'Target Products'!C94&amp;" | categories: "&amp;'Target Products'!D94&amp;" | features: "&amp;'Target Products'!F94&amp;" | details: "&amp;'Target Products'!G94&amp;" | description: "&amp;'Target Products'!H94</x:f>
        <x:v>title: Mardi Gras Costume Accessory Mardi Gras Mesh Shimmering Scarf Purple Green Gold Scarf Masquerade Costume Mardi Gras Party Favor (Style 2) | categories: Clothing, Shoes &amp; Jewelry | Costumes &amp; Accessories | Women | Accessories | features: Decorative lightweight scarf: 2 wearing ways of this mardi gras scarf, wrap the scarf around your neck, or wearing it as a shawl, just change the orientation of the scarf, you can get a different mardi gras costume | Classic mardi gras scarf: designed with gold, purple, green color, the scarf measure: 55 x 134 cm, tassel: 15 cm/ 5.9 inch | Pattern: the end of the mardi gras shawl is tassel, stripe pattern is shimmering, gold speckled with green and purple | Great addition to Mardi Gras costume: perfect for a Mardi Gras themed party you attended, masquerade parade, carnival festival, etc. | One size fits all: easy wearing, not need to worry about the size; Recommend to wash this mardi gras scarf shawl by hand | details: Is Discontinued By Manufacturer: No | Product Dimensions: 11.81 x 8.66 x 1.81 inches; 4.16 Ounces | Item model number: Frienda-Costume Accessory-01 | Department: womens | Date First Available: December 24, 2018 | description: </x:v>
      </x:c>
      <x:c r="D94" s="17" t="str">
        <x:f>"title: "&amp;'Target Products'!C94&amp;" | leaf_category: "&amp;'Target Products'!E94&amp;" | store: "&amp;'Target Products'!L94&amp;" | details: "&amp;'Target Products'!G94</x:f>
        <x:v>title: Mardi Gras Costume Accessory Mardi Gras Mesh Shimmering Scarf Purple Green Gold Scarf Masquerade Costume Mardi Gras Party Favor (Style 2) | leaf_category: Accessories | store: Frienda | details: Is Discontinued By Manufacturer: No | Product Dimensions: 11.81 x 8.66 x 1.81 inches; 4.16 Ounces | Item model number: Frienda-Costume Accessory-01 | Department: womens | Date First Available: December 24, 2018</x:v>
      </x:c>
      <x:c r="E94" s="17" t="str">
        <x:f>"scenario: "&amp;'Sessions'!B94&amp;" | current_message: "&amp;'Sessions'!M94&amp;" | profile_soft_tags: "&amp;'Sessions'!I94</x:f>
        <x:v>scenario: buying | current_message: I'm looking for Women Accessories. A key requirement is: Decorative lightweight scarf: 2 wearing ways of this mardi gras scarf, wrap the scarf around your neck, or wearing it as a shawl, just change the orientation of the scarf, you can. | profile_soft_tags: material</x:v>
      </x:c>
      <x:c r="F94" s="17" t="str">
        <x:f>'Intent Cards'!D94&amp;IF('Intent Cards'!F94&lt;&gt;""," | "&amp;'Intent Cards'!F94,"")</x:f>
        <x:v>Decorative lightweight scarf: 2 wearing ways of this mardi gras scarf, wrap the scarf around your neck, or wearing it as a shawl, just change the orientation of the scarf, you can | color: purple</x:v>
      </x:c>
      <x:c r="G94" s="17" t="str">
        <x:f>'Sessions'!I94</x:f>
        <x:v>material</x:v>
      </x:c>
      <x:c r="H94" s="77" t="n">
        <x:f>LEN(C94)</x:f>
        <x:v>1199</x:v>
      </x:c>
      <x:c r="I94" s="77" t="n">
        <x:f>IF(H94&gt;2400,3,IF(H94&gt;1200,2,1))</x:f>
        <x:v>1</x:v>
      </x:c>
      <x:c r="J94" s="17" t="str">
        <x:f>IF('Sessions'!B94="intent_override","Drop superseded values before query embedding",IF('Sessions'!B94="boundary","Do not invent a value for no-preference attributes","Keep profile tags soft; current message wins"))</x:f>
        <x:v>Keep profile tags soft; current message wins</x:v>
      </x:c>
    </x:row>
    <x:row r="95" ht="72" customHeight="1">
      <x:c r="A95" t="str">
        <x:f>'Sessions'!A95</x:f>
        <x:v>public_0091</x:v>
      </x:c>
      <x:c r="B95" t="str">
        <x:f>'Target Products'!B95</x:f>
        <x:v>B0C5XB43GG</x:v>
      </x:c>
      <x:c r="C95" s="17" t="str">
        <x:f>"title: "&amp;'Target Products'!C95&amp;" | categories: "&amp;'Target Products'!D95&amp;" | features: "&amp;'Target Products'!F95&amp;" | details: "&amp;'Target Products'!G95&amp;" | description: "&amp;'Target Products'!H95</x:f>
        <x:v>title: 925 Sterling Silver Small Hoop Earrings Cubic Zirconia Huggie Hoop Earrings, 3 Pairs 14K White Gold Plated Cartilage Piercing Earrings Ear Cuff Tiny Hoop Earrings for Women Men | categories: Clothing, Shoes &amp; Jewelry | Men | Jewelry | Earrings | features: 【HIGH QUALITY】This Sterling Silver Huggie Hoop Earring is made of 925 Sterling Silver post,Hypoallergenic.Best Choice for Sensitive Ears. Earrings Surface Mounted with Sparkling AAA Cubic Zirconia,High Polish make it Delicate and Shining. | 【CLASSICAL&amp;TIMELESS】Simple and Classical Hoop design,Classical and Timeless.You will be more Beautiful and Elegant when You Wearing this CZ Hoop Earrings.This Small Rose Gold Hoop Earring is Suitable for Women Men Teens and Girls.Can be used as Earrings,Cartilage Earrings, Tragus Ear Piercing Jewelry. | 【PACKAGE INCLUDES】Order includes 3 Pairs 8/10/12mm(0.31/0.4/0.48in) Small Cubic Zirconia Hoop Earrings.The Small Hoop Earring is Cuff Design,Easy to Open and Close.Note:The 925 Sterling Silver Needle is very soft,Please do not Use too much Force When Opening and You can Straighten it Yourself if it bent. | 【BEST GIFTS】Ideal Gift for Birthday,Holiday,Graduation,Christmas,Mother’s Day,Valentine’s Day, Wedding,Anniversaries,etc.This Huggie Hoop Earring will be the Surprise Gift for your Mother,Sisters,Daughter,Wife or Your Friends. | Our small rose gold hoop earrings are traditional hand crafted to give the perfect amount of elegance to your outfit.We committed to designing top-class quality jewelry which is beauty in simplicity. | details: Date First Available: May 22, 2023 | description: </x:v>
      </x:c>
      <x:c r="D95" s="17" t="str">
        <x:f>"title: "&amp;'Target Products'!C95&amp;" | leaf_category: "&amp;'Target Products'!E95&amp;" | store: "&amp;'Target Products'!L95&amp;" | details: "&amp;'Target Products'!G95</x:f>
        <x:v>title: 925 Sterling Silver Small Hoop Earrings Cubic Zirconia Huggie Hoop Earrings, 3 Pairs 14K White Gold Plated Cartilage Piercing Earrings Ear Cuff Tiny Hoop Earrings for Women Men | leaf_category: Earrings | store: RoseJeopal | details: Date First Available: May 22, 2023</x:v>
      </x:c>
      <x:c r="E95" s="17" t="str">
        <x:f>"scenario: "&amp;'Sessions'!B95&amp;" | current_message: "&amp;'Sessions'!M95&amp;" | profile_soft_tags: "&amp;'Sessions'!I95</x:f>
        <x:v>scenario: browsing | current_message: I'm looking for Jewelry Earrings, but I'm still exploring. | profile_soft_tags: performance | comfort | fit | durability</x:v>
      </x:c>
      <x:c r="F95" s="17" t="str">
        <x:f>'Intent Cards'!D95&amp;IF('Intent Cards'!F95&lt;&gt;""," | "&amp;'Intent Cards'!F95,"")</x:f>
        <x:v>【HIGH QUALITY】This Sterling Silver Huggie Hoop Earring is made of 925 Sterling Silver post,Hypoallergenic.Best Choice for Sensitive Ears. Earrings Surface Mounted with Sparkling AA | color: white</x:v>
      </x:c>
      <x:c r="G95" s="17" t="str">
        <x:f>'Sessions'!I95</x:f>
        <x:v>performance | comfort | fit | durability</x:v>
      </x:c>
      <x:c r="H95" s="77" t="n">
        <x:f>LEN(C95)</x:f>
        <x:v>1607</x:v>
      </x:c>
      <x:c r="I95" s="77" t="n">
        <x:f>IF(H95&gt;2400,3,IF(H95&gt;1200,2,1))</x:f>
        <x:v>2</x:v>
      </x:c>
      <x:c r="J95" s="17" t="str">
        <x:f>IF('Sessions'!B95="intent_override","Drop superseded values before query embedding",IF('Sessions'!B95="boundary","Do not invent a value for no-preference attributes","Keep profile tags soft; current message wins"))</x:f>
        <x:v>Keep profile tags soft; current message wins</x:v>
      </x:c>
    </x:row>
    <x:row r="96" ht="72" customHeight="1">
      <x:c r="A96" t="str">
        <x:f>'Sessions'!A96</x:f>
        <x:v>public_0092</x:v>
      </x:c>
      <x:c r="B96" t="str">
        <x:f>'Target Products'!B96</x:f>
        <x:v>B07FKNZC43</x:v>
      </x:c>
      <x:c r="C96" s="17" t="str">
        <x:f>"title: "&amp;'Target Products'!C96&amp;" | categories: "&amp;'Target Products'!D96&amp;" | features: "&amp;'Target Products'!F96&amp;" | details: "&amp;'Target Products'!G96&amp;" | description: "&amp;'Target Products'!H96</x:f>
        <x:v>title: COSOSA Womens Satin Striped Pajamas Long Sleeve V-neck Tops and Pants 2-piece Pj Set | categories: Clothing, Shoes &amp; Jewelry | Women | Clothing | Lingerie, Sleep &amp; Lounge | Sleep &amp; Lounge | Sets | features: 95% Polyester, 5% Spandex | Imported | Button closure | Hand Wash Only | ❤ SIZE: Available in a variety of sizes, M-3XL, please choose the right size for you.Our size is smaller than the American standard size:M(5'09"-5'25",99.21-115.74lb),L(5'25"-5'41",110.23-132.28lb),XL(5'41"-5'58",126.77-143.30lb),2XL(5'58"-5'74",132.28-154.32lb),3XL(5'58"-5'91",154.32-176.37lb),For a detailed description of the size, please refer to the SIZE CHART on the detail page | ❤ DESIGN: Package includes: a camisole, a pair of shorts, a long-sleeved shirt, a pair of long pants, an eye mask and a hair ring, a storage bag.can meet all your needs for pajamas throughout the year. lightweight fabric, can make you sleep more comfortable | ❤ LAUNDRY: It is recommended that you wash by hand, the water temperature should not be too high,;or put the clothes in a laundry bag and then machine wash | ❤ GIFT: Perfect Gift Choice for Your Friends, Girlfriend, Mother, Sisters or Wife on Birthday, Christmas Day, Honeymoon Vocation, New Year,Valentine's Day or other Festivals or Anniversaries | ❤ OUR SERVE: If you are not satisfied with this product because the size of the problem, please contact us, we will serve you and recommend the size that suits you | details: Is Discontinued By Manufacturer: No | Package Dimensions: 12.56 x 9.33 x 1.22 inches; 15.66 Ounces | Department: womens | Date First Available: July 12, 2018 | description: </x:v>
      </x:c>
      <x:c r="D96" s="17" t="str">
        <x:f>"title: "&amp;'Target Products'!C96&amp;" | leaf_category: "&amp;'Target Products'!E96&amp;" | store: "&amp;'Target Products'!L96&amp;" | details: "&amp;'Target Products'!G96</x:f>
        <x:v>title: COSOSA Womens Satin Striped Pajamas Long Sleeve V-neck Tops and Pants 2-piece Pj Set | leaf_category: Sets | store: COSOSA | details: Is Discontinued By Manufacturer: No | Package Dimensions: 12.56 x 9.33 x 1.22 inches; 15.66 Ounces | Department: womens | Date First Available: July 12, 2018</x:v>
      </x:c>
      <x:c r="E96" s="17" t="str">
        <x:f>"scenario: "&amp;'Sessions'!B96&amp;" | current_message: "&amp;'Sessions'!M96&amp;" | profile_soft_tags: "&amp;'Sessions'!I96</x:f>
        <x:v>scenario: browsing | current_message: I'm looking for Sleep &amp; Lounge Sets, but I'm still exploring. | profile_soft_tags: material | comfort | fit | style</x:v>
      </x:c>
      <x:c r="F96" s="17" t="str">
        <x:f>'Intent Cards'!D96&amp;IF('Intent Cards'!F96&lt;&gt;""," | "&amp;'Intent Cards'!F96,"")</x:f>
        <x:v>polyester | 95% Polyester, 5% Spandex</x:v>
      </x:c>
      <x:c r="G96" s="17" t="str">
        <x:f>'Sessions'!I96</x:f>
        <x:v>material | comfort | fit | style</x:v>
      </x:c>
      <x:c r="H96" s="77" t="n">
        <x:f>LEN(C96)</x:f>
        <x:v>1634</x:v>
      </x:c>
      <x:c r="I96" s="77" t="n">
        <x:f>IF(H96&gt;2400,3,IF(H96&gt;1200,2,1))</x:f>
        <x:v>2</x:v>
      </x:c>
      <x:c r="J96" s="17" t="str">
        <x:f>IF('Sessions'!B96="intent_override","Drop superseded values before query embedding",IF('Sessions'!B96="boundary","Do not invent a value for no-preference attributes","Keep profile tags soft; current message wins"))</x:f>
        <x:v>Keep profile tags soft; current message wins</x:v>
      </x:c>
    </x:row>
    <x:row r="97" ht="72" customHeight="1">
      <x:c r="A97" t="str">
        <x:f>'Sessions'!A97</x:f>
        <x:v>public_0093</x:v>
      </x:c>
      <x:c r="B97" t="str">
        <x:f>'Target Products'!B97</x:f>
        <x:v>B07PYB8F1G</x:v>
      </x:c>
      <x:c r="C97" s="17" t="str">
        <x:f>"title: "&amp;'Target Products'!C97&amp;" | categories: "&amp;'Target Products'!D97&amp;" | features: "&amp;'Target Products'!F97&amp;" | details: "&amp;'Target Products'!G97&amp;" | description: "&amp;'Target Products'!H97</x:f>
        <x:v>title: Hanes Women's Signature Breathe Cotton Brief Underwear 6-Pack | categories: Clothing, Shoes &amp; Jewelry | Women | Clothing | Lingerie, Sleep &amp; Lounge | Lingerie | Panties | Briefs | features: Solid: 100% Cotton; Heathers: 75% Cotton, 25% Polyester | Imported | Pull On closure | Machine Wash | LOW-RISE BRIEF FIT - Designed for lower waistlines, our women's low-rise brief has no-ride-up leg bands that stay in place. | COMFORT YOU DESERVE - An ultra-soft waistband keeps our low-rise briefs from pinching and binding, while a two-layer cotton liner adds extra cushioning. | VALUE YOU EXPECT - A convenient 6-pack of our women's low-rise brief underwear. | MOISTURE-WICKING COMFORT - Lightweight Cool Comfort technology helps keep you dry throughout the day. | TAG-FREE, ITCH-FREE - No annoying tag to itch or bunch up. | QUALITY FABRIC - Our Hanes women's low-rise underwear multipack is made from ultra-soft preshrunk 100% cotton (heathered styles are 75% cotton/25% polyester). | SIZE OPTIONS - From cotton underwear sizes 6-12, our multiple women's underwear size options make shopping simple. | EASY CARE - Throw them right in the washing machine when it's time to freshen up! | details: Is Discontinued By Manufacturer: No | Product Dimensions: 13 x 8 x 1 inches | Item model number: BC40AS | Department: womens | Date First Available: August 18, 2016 | Manufacturer: Hanes | description: Hanes Signature Breathe Cotton Briefs deliver a no-show look under any outfit. Breathable, ring spun cotton is soft against your skin and features X-Temp cooling to help keep you feeling comfortable. The Signature Breathe Brief is nice if you desire full front, hip and seat coverage. Lay-flat waist and leg bands help minimize lines under clothes and are designed to stay in place for a no ride up fit. So grab your Signature Breathe Cotton Briefs; they're perfect for every day, all day comfort. Available in a 6-pack of assorted colors.</x:v>
      </x:c>
      <x:c r="D97" s="17" t="str">
        <x:f>"title: "&amp;'Target Products'!C97&amp;" | leaf_category: "&amp;'Target Products'!E97&amp;" | store: "&amp;'Target Products'!L97&amp;" | details: "&amp;'Target Products'!G97</x:f>
        <x:v>title: Hanes Women's Signature Breathe Cotton Brief Underwear 6-Pack | leaf_category: Briefs | store: Hanes | details: Is Discontinued By Manufacturer: No | Product Dimensions: 13 x 8 x 1 inches | Item model number: BC40AS | Department: womens | Date First Available: August 18, 2016 | Manufacturer: Hanes</x:v>
      </x:c>
      <x:c r="E97" s="17" t="str">
        <x:f>"scenario: "&amp;'Sessions'!B97&amp;" | current_message: "&amp;'Sessions'!M97&amp;" | profile_soft_tags: "&amp;'Sessions'!I97</x:f>
        <x:v>scenario: buying | current_message: I'm looking for Panties Briefs. A key requirement is: cotton. | profile_soft_tags: performance | fit | comfort | durability</x:v>
      </x:c>
      <x:c r="F97" s="17" t="str">
        <x:f>'Intent Cards'!D97&amp;IF('Intent Cards'!F97&lt;&gt;""," | "&amp;'Intent Cards'!F97,"")</x:f>
        <x:v>cotton | Solid: 100% Cotton; Heathers: 75% Cotton, 25% Polyester</x:v>
      </x:c>
      <x:c r="G97" s="17" t="str">
        <x:f>'Sessions'!I97</x:f>
        <x:v>performance | fit | comfort | durability</x:v>
      </x:c>
      <x:c r="H97" s="77" t="n">
        <x:f>LEN(C97)</x:f>
        <x:v>1939</x:v>
      </x:c>
      <x:c r="I97" s="77" t="n">
        <x:f>IF(H97&gt;2400,3,IF(H97&gt;1200,2,1))</x:f>
        <x:v>2</x:v>
      </x:c>
      <x:c r="J97" s="17" t="str">
        <x:f>IF('Sessions'!B97="intent_override","Drop superseded values before query embedding",IF('Sessions'!B97="boundary","Do not invent a value for no-preference attributes","Keep profile tags soft; current message wins"))</x:f>
        <x:v>Keep profile tags soft; current message wins</x:v>
      </x:c>
    </x:row>
    <x:row r="98" ht="72" customHeight="1">
      <x:c r="A98" t="str">
        <x:f>'Sessions'!A98</x:f>
        <x:v>public_0094</x:v>
      </x:c>
      <x:c r="B98" t="str">
        <x:f>'Target Products'!B98</x:f>
        <x:v>B01L99SW78</x:v>
      </x:c>
      <x:c r="C98" s="17" t="str">
        <x:f>"title: "&amp;'Target Products'!C98&amp;" | categories: "&amp;'Target Products'!D98&amp;" | features: "&amp;'Target Products'!F98&amp;" | details: "&amp;'Target Products'!G98&amp;" | description: "&amp;'Target Products'!H98</x:f>
        <x:v>title: Ariat Fatbaby Western Boot – Women’s Leather Western Boots | categories: Clothing, Shoes &amp; Jewelry | Women | Shoes | Boots | Mid-Calf | features: Synthetic sole | Shaft measures approximately 8" from arch | SUPPORTIVE AND CUSHIONED: Featuring the 4LR technology for support and cushioning, these western boots make sure you have the most comfortable boot possible, whether you’re in the field, the barn, on your horse or out on the town, we’ve got you covered. | THE ALL PURPOSE BOOT: Whether you’re ranching and riding or just running errands, the Fatbaby Western Boot is the boot for you. Comfortable and uniquely styled, these boots are perfect for any occasion. | WORKING AS HARD AS YOU DO: The outsole ensures durability and ride performance, giving these quality boots an impressive lifespan. It doesn’t matter how rough the conditions are, the Fatbaby boots won't give up on you. | GREAT GIFTS: Shopping for your wife or girlfriend shouldn't be difficult, and with these eye-catching cowgirl boots for women from Ariat, it won't be. Perfect for work or a night out, the cowgirl in your life can wear these boots for any occasion. | SCIENCE OF INNOVATION: Ariat excels in advanced technologies to deliver products that outperform in various conditions. Partnering with world-class biomechanical research groups and testing labs, Ariat strives to improve performance, comfort, and durability. | details: Product Dimensions: 18 x 14 x 5 inches; 1.1 Pounds | Item model number: Fatbaby Collection | Department: Womens | Date First Available: September 15, 2009 | Manufacturer: Ariat Women's | description: Fatbaby pretty, and ready to compete. The 4LR technology adds comfort and stability, and the Everly sole eases the feet; delivering cushioning and wear-resistance. Four-row stitching and bold colors look great. | Ariat was founded with one simple objective: to provide the most technologically advanced riding boots for the world's top equestrian athletes. Today, Ariat is the leading performance footwear and apparel brand for equestrian athletes around the world. From show jumping to team penning, Ariat boots provide the foundation upon which world-class athletes work, ride, and compete.</x:v>
      </x:c>
      <x:c r="D98" s="17" t="str">
        <x:f>"title: "&amp;'Target Products'!C98&amp;" | leaf_category: "&amp;'Target Products'!E98&amp;" | store: "&amp;'Target Products'!L98&amp;" | details: "&amp;'Target Products'!G98</x:f>
        <x:v>title: Ariat Fatbaby Western Boot – Women’s Leather Western Boots | leaf_category: Mid-Calf | store: ARIAT | details: Product Dimensions: 18 x 14 x 5 inches; 1.1 Pounds | Item model number: Fatbaby Collection | Department: Womens | Date First Available: September 15, 2009 | Manufacturer: Ariat Women's</x:v>
      </x:c>
      <x:c r="E98" s="17" t="str">
        <x:f>"scenario: "&amp;'Sessions'!B98&amp;" | current_message: "&amp;'Sessions'!M98&amp;" | profile_soft_tags: "&amp;'Sessions'!I98</x:f>
        <x:v>scenario: buying | current_message: I'm looking for Boots Mid-Calf. A key requirement is: leather. | profile_soft_tags: fit | comfort | material | performance</x:v>
      </x:c>
      <x:c r="F98" s="17" t="str">
        <x:f>'Intent Cards'!D98&amp;IF('Intent Cards'!F98&lt;&gt;""," | "&amp;'Intent Cards'!F98,"")</x:f>
        <x:v>leather | Synthetic sole</x:v>
      </x:c>
      <x:c r="G98" s="17" t="str">
        <x:f>'Sessions'!I98</x:f>
        <x:v>fit | comfort | material | performance</x:v>
      </x:c>
      <x:c r="H98" s="77" t="n">
        <x:f>LEN(C98)</x:f>
        <x:v>2208</x:v>
      </x:c>
      <x:c r="I98" s="77" t="n">
        <x:f>IF(H98&gt;2400,3,IF(H98&gt;1200,2,1))</x:f>
        <x:v>2</x:v>
      </x:c>
      <x:c r="J98" s="17" t="str">
        <x:f>IF('Sessions'!B98="intent_override","Drop superseded values before query embedding",IF('Sessions'!B98="boundary","Do not invent a value for no-preference attributes","Keep profile tags soft; current message wins"))</x:f>
        <x:v>Keep profile tags soft; current message wins</x:v>
      </x:c>
    </x:row>
    <x:row r="99" ht="72" customHeight="1">
      <x:c r="A99" t="str">
        <x:f>'Sessions'!A99</x:f>
        <x:v>public_0095</x:v>
      </x:c>
      <x:c r="B99" t="str">
        <x:f>'Target Products'!B99</x:f>
        <x:v>B09N78FT2W</x:v>
      </x:c>
      <x:c r="C99" s="17" t="str">
        <x:f>"title: "&amp;'Target Products'!C99&amp;" | categories: "&amp;'Target Products'!D99&amp;" | features: "&amp;'Target Products'!F99&amp;" | details: "&amp;'Target Products'!G99&amp;" | description: "&amp;'Target Products'!H99</x:f>
        <x:v>title: Free Leaper High Waisted Yoga Pants with Pockets for Women-Comfortable Running Seamless Leggings | categories: Clothing, Shoes &amp; Jewelry | Sport Specific Clothing | Yoga | Women | Leggings | features: 75% Polyester, 25% Spandex | Imported | Pull On closure | Machine Wash | YOUR IDEAL LENGTH: Whether you prefer full length or 7/8 Capri length, our solid and floral yoga pants come with a seamless high waistband that provides tummy control and fit compression for enhanced workouts and training, non see-through and don't roll down. | ULTRA-SOFT &amp; STRETCHY: Made from buttery-soft 4-way stretchy fabric, our gym leggings are lightweight and comfy, fit you like a second skin,butt lift,no camel toe and keep everything in place. | FASHIONABLE &amp; CONVENIENT POCKETS: Flattering and quality chic pattern yoga leggings with 2 deep and roomy side pockets provide ample space for your phone or other essentials while you're at the gym or running exercise outdoor. | SO VERSATILE : These comfortable and durable gym pants perfect for workout, yoga, pilates, fitness, weightlifting, jogging, dog walking,work, a day out and everyday wear. They make a great gift to yourself or as a birthday, anniversary, holiday, or Christmas gift for your friends. | FIND YOUR PERFECT FIT &amp; GUARANTEED: Please wash inside out! To ensure a perfect fit, kindly refer to our size chart provided in the A+page.Our activewear tights comes with a 100% Full-Money-Back guarantee if you're not completely satisfied. | details: Package Dimensions: 13.78 x 9.84 x 0.39 inches; 9.88 Ounces | Department: Womens | Date First Available: December 7, 2021 | description: </x:v>
      </x:c>
      <x:c r="D99" s="17" t="str">
        <x:f>"title: "&amp;'Target Products'!C99&amp;" | leaf_category: "&amp;'Target Products'!E99&amp;" | store: "&amp;'Target Products'!L99&amp;" | details: "&amp;'Target Products'!G99</x:f>
        <x:v>title: Free Leaper High Waisted Yoga Pants with Pockets for Women-Comfortable Running Seamless Leggings | leaf_category: Leggings | store: Free Leaper | details: Package Dimensions: 13.78 x 9.84 x 0.39 inches; 9.88 Ounces | Department: Womens | Date First Available: December 7, 2021</x:v>
      </x:c>
      <x:c r="E99" s="17" t="str">
        <x:f>"scenario: "&amp;'Sessions'!B99&amp;" | current_message: "&amp;'Sessions'!M99&amp;" | profile_soft_tags: "&amp;'Sessions'!I99</x:f>
        <x:v>scenario: buying | current_message: I'm looking for Women Leggings. A key requirement is: polyester. | profile_soft_tags: warmth | weather | comfort | fit</x:v>
      </x:c>
      <x:c r="F99" s="17" t="str">
        <x:f>'Intent Cards'!D99&amp;IF('Intent Cards'!F99&lt;&gt;""," | "&amp;'Intent Cards'!F99,"")</x:f>
        <x:v>polyester | 75% Polyester, 25% Spandex</x:v>
      </x:c>
      <x:c r="G99" s="17" t="str">
        <x:f>'Sessions'!I99</x:f>
        <x:v>warmth | weather | comfort | fit</x:v>
      </x:c>
      <x:c r="H99" s="77" t="n">
        <x:f>LEN(C99)</x:f>
        <x:v>1640</x:v>
      </x:c>
      <x:c r="I99" s="77" t="n">
        <x:f>IF(H99&gt;2400,3,IF(H99&gt;1200,2,1))</x:f>
        <x:v>2</x:v>
      </x:c>
      <x:c r="J99" s="17" t="str">
        <x:f>IF('Sessions'!B99="intent_override","Drop superseded values before query embedding",IF('Sessions'!B99="boundary","Do not invent a value for no-preference attributes","Keep profile tags soft; current message wins"))</x:f>
        <x:v>Keep profile tags soft; current message wins</x:v>
      </x:c>
    </x:row>
    <x:row r="100" ht="72" customHeight="1">
      <x:c r="A100" t="str">
        <x:f>'Sessions'!A100</x:f>
        <x:v>public_0096</x:v>
      </x:c>
      <x:c r="B100" t="str">
        <x:f>'Target Products'!B100</x:f>
        <x:v>B074K2QX3M</x:v>
      </x:c>
      <x:c r="C100" s="17" t="str">
        <x:f>"title: "&amp;'Target Products'!C100&amp;" | categories: "&amp;'Target Products'!D100&amp;" | features: "&amp;'Target Products'!F100&amp;" | details: "&amp;'Target Products'!G100&amp;" | description: "&amp;'Target Products'!H100</x:f>
        <x:v>title: Zeagoo Women's Polka Dots Shirt Striped 3/4 Sleeve Casual Scoop Neck Tops Tee S-XXXL | categories: Clothing, Shoes &amp; Jewelry | Women | Clothing | Tops, Tees &amp; Blouses | T-Shirts | features: 95% Polyester, 5% Spandex | Imported | Pull On closure | Machine Wash | Material: 95% Polyester, 5% Spandex. Very comfy, soft, elastic fabric | Features: 3/4 Sleeve Tops, Raglan Sleeve, Scoop Neck, Contrast Color, Polka Dot Shirt, Loose Fit, Plus Size, Tunic Length, Casual, Fashionable. 12 Colors and S-3XL Available. | Unique Style: The baseball style top features a Solid body with striped and Polka Dots sleeves.They are super comfy and flattering on all body types | Occasion: This unique casual Polka dot striped t-shirt well with jeans and leggings, also suitable for a casual everyday look and any occasions especially for beach, office, school, going out, Parties, cluboffice and dating, let you become the focus of the crowd | Garment Care: Machine Wash Recommended With Cold Water, Do Not Bleach, Hang Or Line Dry | details: Is Discontinued By Manufacturer: No | Product Dimensions: 11.02 x 9.06 x 0.79 inches | Item model number: ZS-8751 | Department: Womens | Date First Available: August 3, 2017 | description: </x:v>
      </x:c>
      <x:c r="D100" s="17" t="str">
        <x:f>"title: "&amp;'Target Products'!C100&amp;" | leaf_category: "&amp;'Target Products'!E100&amp;" | store: "&amp;'Target Products'!L100&amp;" | details: "&amp;'Target Products'!G100</x:f>
        <x:v>title: Zeagoo Women's Polka Dots Shirt Striped 3/4 Sleeve Casual Scoop Neck Tops Tee S-XXXL | leaf_category: T-Shirts | store: Zeagoo | details: Is Discontinued By Manufacturer: No | Product Dimensions: 11.02 x 9.06 x 0.79 inches | Item model number: ZS-8751 | Department: Womens | Date First Available: August 3, 2017</x:v>
      </x:c>
      <x:c r="E100" s="17" t="str">
        <x:f>"scenario: "&amp;'Sessions'!B100&amp;" | current_message: "&amp;'Sessions'!M100&amp;" | profile_soft_tags: "&amp;'Sessions'!I100</x:f>
        <x:v>scenario: intent_override | current_message: I'm looking for Tees &amp; Blouses T-Shirts. Pull On closure | profile_soft_tags: comfort | material | fit | performance</x:v>
      </x:c>
      <x:c r="F100" s="17" t="str">
        <x:f>'Intent Cards'!D100&amp;IF('Intent Cards'!F100&lt;&gt;""," | "&amp;'Intent Cards'!F100,"")</x:f>
        <x:v>polyester | 95% Polyester, 5% Spandex</x:v>
      </x:c>
      <x:c r="G100" s="17" t="str">
        <x:f>'Sessions'!I100</x:f>
        <x:v>comfort | material | fit | performance</x:v>
      </x:c>
      <x:c r="H100" s="77" t="n">
        <x:f>LEN(C100)</x:f>
        <x:v>1222</x:v>
      </x:c>
      <x:c r="I100" s="77" t="n">
        <x:f>IF(H100&gt;2400,3,IF(H100&gt;1200,2,1))</x:f>
        <x:v>2</x:v>
      </x:c>
      <x:c r="J100" s="17" t="str">
        <x:f>IF('Sessions'!B100="intent_override","Drop superseded values before query embedding",IF('Sessions'!B100="boundary","Do not invent a value for no-preference attributes","Keep profile tags soft; current message wins"))</x:f>
        <x:v>Drop superseded values before query embedding</x:v>
      </x:c>
    </x:row>
    <x:row r="101" ht="72" customHeight="1">
      <x:c r="A101" t="str">
        <x:f>'Sessions'!A101</x:f>
        <x:v>public_0097</x:v>
      </x:c>
      <x:c r="B101" t="str">
        <x:f>'Target Products'!B101</x:f>
        <x:v>B0785RCKBT</x:v>
      </x:c>
      <x:c r="C101" s="17" t="str">
        <x:f>"title: "&amp;'Target Products'!C101&amp;" | categories: "&amp;'Target Products'!D101&amp;" | features: "&amp;'Target Products'!F101&amp;" | details: "&amp;'Target Products'!G101&amp;" | description: "&amp;'Target Products'!H101</x:f>
        <x:v>title: Leggings Depot Women's Flared Casual, Work, Lounge Palazzo Pants-Wide Leg | categories: Clothing, Shoes &amp; Jewelry | Women | Clothing | Leggings | features: 92% Polyester | Elastic closure | Machine Wash | Comfy pull-on wide leg causal palazzo lounge pants with elasticized waistband | Machine washable with cold water(like colors), and tumble dry low | Soft; Stretchy; Comfortable Palazzo pants | Newest, Most Popular Style | details: Is Discontinued By Manufacturer: No | Department: womens | Date First Available: December 6, 2017 | description: Leggings Depot keeps making efforts to offer the largest selection of high quality pants in different colors, prints and sizes including plus sizes at the most affordable prices.</x:v>
      </x:c>
      <x:c r="D101" s="17" t="str">
        <x:f>"title: "&amp;'Target Products'!C101&amp;" | leaf_category: "&amp;'Target Products'!E101&amp;" | store: "&amp;'Target Products'!L101&amp;" | details: "&amp;'Target Products'!G101</x:f>
        <x:v>title: Leggings Depot Women's Flared Casual, Work, Lounge Palazzo Pants-Wide Leg | leaf_category: Leggings | store: LEGGINGS DEPOT | details: Is Discontinued By Manufacturer: No | Department: womens | Date First Available: December 6, 2017</x:v>
      </x:c>
      <x:c r="E101" s="17" t="str">
        <x:f>"scenario: "&amp;'Sessions'!B101&amp;" | current_message: "&amp;'Sessions'!M101&amp;" | profile_soft_tags: "&amp;'Sessions'!I101</x:f>
        <x:v>scenario: buying | current_message: I'm looking for Women Leggings. A key requirement is: polyester. | profile_soft_tags: fit | comfort | material | durability</x:v>
      </x:c>
      <x:c r="F101" s="17" t="str">
        <x:f>'Intent Cards'!D101&amp;IF('Intent Cards'!F101&lt;&gt;""," | "&amp;'Intent Cards'!F101,"")</x:f>
        <x:v>polyester | 92% Polyester</x:v>
      </x:c>
      <x:c r="G101" s="17" t="str">
        <x:f>'Sessions'!I101</x:f>
        <x:v>fit | comfort | material | durability</x:v>
      </x:c>
      <x:c r="H101" s="77" t="n">
        <x:f>LEN(C101)</x:f>
        <x:v>733</x:v>
      </x:c>
      <x:c r="I101" s="77" t="n">
        <x:f>IF(H101&gt;2400,3,IF(H101&gt;1200,2,1))</x:f>
        <x:v>1</x:v>
      </x:c>
      <x:c r="J101" s="17" t="str">
        <x:f>IF('Sessions'!B101="intent_override","Drop superseded values before query embedding",IF('Sessions'!B101="boundary","Do not invent a value for no-preference attributes","Keep profile tags soft; current message wins"))</x:f>
        <x:v>Keep profile tags soft; current message wins</x:v>
      </x:c>
    </x:row>
    <x:row r="102" ht="72" customHeight="1">
      <x:c r="A102" t="str">
        <x:f>'Sessions'!A102</x:f>
        <x:v>public_0098</x:v>
      </x:c>
      <x:c r="B102" t="str">
        <x:f>'Target Products'!B102</x:f>
        <x:v>B08CZ34D75</x:v>
      </x:c>
      <x:c r="C102" s="17" t="str">
        <x:f>"title: "&amp;'Target Products'!C102&amp;" | categories: "&amp;'Target Products'!D102&amp;" | features: "&amp;'Target Products'!F102&amp;" | details: "&amp;'Target Products'!G102&amp;" | description: "&amp;'Target Products'!H102</x:f>
        <x:v>title: adidas Men's Lite Racer Adapt 4.0 Running Shoe | categories: Clothing, Shoes &amp; Jewelry | Men | Shoes | Athletic | Running | Road Running | features: 100% Rubber | Imported | Rubber sole | Men's cushioned slip-on shoes with the look of runners, made with recycled materials | Slip-on construction with elastic strap | Mesh upper with a sock-like feel | Cloudfoam midsole for step-in comfort and superior cushioning; TPU heel counter; Synthetic outsole for grip | This product is made with Primegreen, a series of high-performance recycled materials. 50% of upper is recycled content. No virgin polyester. | details: Product Dimensions: 8 x 4 x 7 inches; 2.45 Pounds | Item model number: LUS76 | Department: mens | Date First Available: August 22, 2018 | Manufacturer: adidas | description: Easy, comfortable style. These men's adidas running-inspired shoes have a slip-on build secured by an elastic top strap. A Cloudfoam midsole cushions every single step.</x:v>
      </x:c>
      <x:c r="D102" s="17" t="str">
        <x:f>"title: "&amp;'Target Products'!C102&amp;" | leaf_category: "&amp;'Target Products'!E102&amp;" | store: "&amp;'Target Products'!L102&amp;" | details: "&amp;'Target Products'!G102</x:f>
        <x:v>title: adidas Men's Lite Racer Adapt 4.0 Running Shoe | leaf_category: Road Running | store: adidas | details: Product Dimensions: 8 x 4 x 7 inches; 2.45 Pounds | Item model number: LUS76 | Department: mens | Date First Available: August 22, 2018 | Manufacturer: adidas</x:v>
      </x:c>
      <x:c r="E102" s="17" t="str">
        <x:f>"scenario: "&amp;'Sessions'!B102&amp;" | current_message: "&amp;'Sessions'!M102&amp;" | profile_soft_tags: "&amp;'Sessions'!I102</x:f>
        <x:v>scenario: browsing | current_message: I'm looking for Running Road Running, but I'm still exploring. | profile_soft_tags: performance | comfort | style | material</x:v>
      </x:c>
      <x:c r="F102" s="17" t="str">
        <x:f>'Intent Cards'!D102&amp;IF('Intent Cards'!F102&lt;&gt;""," | "&amp;'Intent Cards'!F102,"")</x:f>
        <x:v>polyester | 100% Rubber</x:v>
      </x:c>
      <x:c r="G102" s="17" t="str">
        <x:f>'Sessions'!I102</x:f>
        <x:v>performance | comfort | style | material</x:v>
      </x:c>
      <x:c r="H102" s="77" t="n">
        <x:f>LEN(C102)</x:f>
        <x:v>964</x:v>
      </x:c>
      <x:c r="I102" s="77" t="n">
        <x:f>IF(H102&gt;2400,3,IF(H102&gt;1200,2,1))</x:f>
        <x:v>1</x:v>
      </x:c>
      <x:c r="J102" s="17" t="str">
        <x:f>IF('Sessions'!B102="intent_override","Drop superseded values before query embedding",IF('Sessions'!B102="boundary","Do not invent a value for no-preference attributes","Keep profile tags soft; current message wins"))</x:f>
        <x:v>Keep profile tags soft; current message wins</x:v>
      </x:c>
    </x:row>
    <x:row r="103" ht="72" customHeight="1">
      <x:c r="A103" t="str">
        <x:f>'Sessions'!A103</x:f>
        <x:v>public_0099</x:v>
      </x:c>
      <x:c r="B103" t="str">
        <x:f>'Target Products'!B103</x:f>
        <x:v>B0971YMPCR</x:v>
      </x:c>
      <x:c r="C103" s="17" t="str">
        <x:f>"title: "&amp;'Target Products'!C103&amp;" | categories: "&amp;'Target Products'!D103&amp;" | features: "&amp;'Target Products'!F103&amp;" | details: "&amp;'Target Products'!G103&amp;" | description: "&amp;'Target Products'!H103</x:f>
        <x:v>title: Core 10 Women's Super Soft Fleece Straight Leg Jogger Sweatpant | categories: Clothing, Shoes &amp; Jewelry | Women | Clothing | Active | Active Pants | Sweatpants | features: 60% Cotton, 40% Polyester | Imported | Drawstring closure | Machine Wash | Heavy-weight Super Soft fleece; Featuring a brushed back and great stretch making it a perfect layer for cooler months | An Amazon Brand | Sits above the belly button | Concealed pocket at each side | details: Item model number: CTEN10002W21 | Department: womens | Date First Available: January 17, 2022 | Manufacturer: CORE 10 | description: Discover super-soft, high-performance fabrics and fashion-forward designs made for workouts and beyond.</x:v>
      </x:c>
      <x:c r="D103" s="17" t="str">
        <x:f>"title: "&amp;'Target Products'!C103&amp;" | leaf_category: "&amp;'Target Products'!E103&amp;" | store: "&amp;'Target Products'!L103&amp;" | details: "&amp;'Target Products'!G103</x:f>
        <x:v>title: Core 10 Women's Super Soft Fleece Straight Leg Jogger Sweatpant | leaf_category: Sweatpants | store: Core 10 | details: Item model number: CTEN10002W21 | Department: womens | Date First Available: January 17, 2022 | Manufacturer: CORE 10</x:v>
      </x:c>
      <x:c r="E103" s="17" t="str">
        <x:f>"scenario: "&amp;'Sessions'!B103&amp;" | current_message: "&amp;'Sessions'!M103&amp;" | profile_soft_tags: "&amp;'Sessions'!I103</x:f>
        <x:v>scenario: browsing | current_message: I'm looking for Active Pants Sweatpants, but I'm still exploring. | profile_soft_tags: fit | comfort | material | durability</x:v>
      </x:c>
      <x:c r="F103" s="17" t="str">
        <x:f>'Intent Cards'!D103&amp;IF('Intent Cards'!F103&lt;&gt;""," | "&amp;'Intent Cards'!F103,"")</x:f>
        <x:v>cotton | 60% Cotton, 40% Polyester</x:v>
      </x:c>
      <x:c r="G103" s="17" t="str">
        <x:f>'Sessions'!I103</x:f>
        <x:v>fit | comfort | material | durability</x:v>
      </x:c>
      <x:c r="H103" s="77" t="n">
        <x:f>LEN(C103)</x:f>
        <x:v>700</x:v>
      </x:c>
      <x:c r="I103" s="77" t="n">
        <x:f>IF(H103&gt;2400,3,IF(H103&gt;1200,2,1))</x:f>
        <x:v>1</x:v>
      </x:c>
      <x:c r="J103" s="17" t="str">
        <x:f>IF('Sessions'!B103="intent_override","Drop superseded values before query embedding",IF('Sessions'!B103="boundary","Do not invent a value for no-preference attributes","Keep profile tags soft; current message wins"))</x:f>
        <x:v>Keep profile tags soft; current message wins</x:v>
      </x:c>
    </x:row>
    <x:row r="104" ht="72" customHeight="1">
      <x:c r="A104" t="str">
        <x:f>'Sessions'!A104</x:f>
        <x:v>public_0100</x:v>
      </x:c>
      <x:c r="B104" t="str">
        <x:f>'Target Products'!B104</x:f>
        <x:v>B002OHE4D6</x:v>
      </x:c>
      <x:c r="C104" s="17" t="str">
        <x:f>"title: "&amp;'Target Products'!C104&amp;" | categories: "&amp;'Target Products'!D104&amp;" | features: "&amp;'Target Products'!F104&amp;" | details: "&amp;'Target Products'!G104&amp;" | description: "&amp;'Target Products'!H104</x:f>
        <x:v>title: Dockers Proposal - Genuine Full-Grain Leather Slip-On Loafer Dress Shoes for Men Featuring All Motion Comfort Technology, EVA Sock Lining, and Durable Rubber Outsole | categories: Clothing, Shoes &amp; Jewelry | Men | Shoes | Loafers &amp; Slip-Ons | features: 100% Leather | Manmade sole | Platform measures approximately 0.5" | Burnished full grain leather uppers | All Motion Comfort technology provides outstanding cushion and flexible construction for long-lasting comfort | EVA sock lining with comfort gel heel insert | APMA accepted: promotes good foot health | Lightweight, durable rubber outsole | Popular Dockers dress shoes that have a contemporary silhouette and feature All Motion Comfort technology | These are ideal for the work day and can be worn with any dress slacks for a stylish appearance | Available in wide widths | details: Is Discontinued By Manufacturer: No | Package Dimensions: 12 x 8 x 4 inches; 1.2 Pounds | Item model number: Proposal | Department: Mens | Date First Available: October 4, 2005 | Manufacturer: Dockers | description: </x:v>
      </x:c>
      <x:c r="D104" s="17" t="str">
        <x:f>"title: "&amp;'Target Products'!C104&amp;" | leaf_category: "&amp;'Target Products'!E104&amp;" | store: "&amp;'Target Products'!L104&amp;" | details: "&amp;'Target Products'!G104</x:f>
        <x:v>title: Dockers Proposal - Genuine Full-Grain Leather Slip-On Loafer Dress Shoes for Men Featuring All Motion Comfort Technology, EVA Sock Lining, and Durable Rubber Outsole | leaf_category: Loafers &amp; Slip-Ons | store: Dockers | details: Is Discontinued By Manufacturer: No | Package Dimensions: 12 x 8 x 4 inches; 1.2 Pounds | Item model number: Proposal | Department: Mens | Date First Available: October 4, 2005 | Manufacturer: Dockers</x:v>
      </x:c>
      <x:c r="E104" s="17" t="str">
        <x:f>"scenario: "&amp;'Sessions'!B104&amp;" | current_message: "&amp;'Sessions'!M104&amp;" | profile_soft_tags: "&amp;'Sessions'!I104</x:f>
        <x:v>scenario: browsing | current_message: I'm looking for Shoes Loafers &amp; Slip-Ons, but I'm still exploring. | profile_soft_tags: fit | comfort | material | performance</x:v>
      </x:c>
      <x:c r="F104" s="17" t="str">
        <x:f>'Intent Cards'!D104&amp;IF('Intent Cards'!F104&lt;&gt;""," | "&amp;'Intent Cards'!F104,"")</x:f>
        <x:v>leather | 100% Leather</x:v>
      </x:c>
      <x:c r="G104" s="17" t="str">
        <x:f>'Sessions'!I104</x:f>
        <x:v>fit | comfort | material | performance</x:v>
      </x:c>
      <x:c r="H104" s="77" t="n">
        <x:f>LEN(C104)</x:f>
        <x:v>1065</x:v>
      </x:c>
      <x:c r="I104" s="77" t="n">
        <x:f>IF(H104&gt;2400,3,IF(H104&gt;1200,2,1))</x:f>
        <x:v>1</x:v>
      </x:c>
      <x:c r="J104" s="17" t="str">
        <x:f>IF('Sessions'!B104="intent_override","Drop superseded values before query embedding",IF('Sessions'!B104="boundary","Do not invent a value for no-preference attributes","Keep profile tags soft; current message wins"))</x:f>
        <x:v>Keep profile tags soft; current message wins</x:v>
      </x:c>
    </x:row>
    <x:row r="105" ht="72" customHeight="1">
      <x:c r="A105" t="str">
        <x:f>'Sessions'!A105</x:f>
        <x:v>public_0101</x:v>
      </x:c>
      <x:c r="B105" t="str">
        <x:f>'Target Products'!B105</x:f>
        <x:v>B07QMS8TX8</x:v>
      </x:c>
      <x:c r="C105" s="17" t="str">
        <x:f>"title: "&amp;'Target Products'!C105&amp;" | categories: "&amp;'Target Products'!D105&amp;" | features: "&amp;'Target Products'!F105&amp;" | details: "&amp;'Target Products'!G105&amp;" | description: "&amp;'Target Products'!H105</x:f>
        <x:v>title: Medical Cargo Pants for Men Workwear Originals, Zipper Fly Scrubs for Men 4000 | categories: Clothing, Shoes &amp; Jewelry | Men | Uniforms, Work &amp; Safety | Clothing | Medical | Scrub Bottoms | features: 65% Polyester, 35% Cotton | Imported | Pull On closure | Machine Wash | MEN'S TRADITIONAL FIT, SIZES UP TO 5XL - Cherokee mens cargo pants are very comfortable and come in the sizes you want with the fit and features you need. Available in sizes from S to 5XL plus Short and Tall inseams. These Men’s Traditional fit natural rise scrub pants are designed for no-fuss wear, easy care, and maximum durability. Tapered leg. Regular inseam = 31”. (Underscrub sold separately.) | ZIPPER FLY - Don't settle for a lesser-quality men's scrub pant without a zip fly. Style 4000 men's cargo pants include a functional zipper fly and drawstring closure. These are well made Cherokee scrubs men will want in every color. These scrub pants for men are a great combination of comfort, style, and value. | ELASTIC WAIST - Mens elastic waist pants get an upgrade with the security and comfort of the all-around elastic waistband in Workwear Originals style 4000. There is a drawstring tie for added security and adjustability. The tonal wide webbed drawstring is durable and easy to tie. These are work cargo pants men will buy on repeat. | SEVEN POCKETS FOR LOTS OF STORAGE - These medical cargo work pants for men have two roomy front pockets, double cargo pockets on each side, and a back pocket with button closure for secure storage. Pockets are large enough for iPhone and Galaxy phones. While designed for healthcare workers, style 4000 also functions as chef pants men can wear with style and confidence. | DURABLE, EASY-CARE FABRIC - Workwear Originals mens scrubs pants are made from a poly/cotton* blend poplin fabric, a dependable staple of medical uniforms for years. This fade-resistant poplin fabric is durable and low-maintenance making it easy to care for your medical scrubs for men (*All colors are poly/cotton except White. White is cotton/poly.) | details: Package Dimensions: 15 x 12 x 0.33 inches; 8 Ounces | Item model number: 4000S | Department: Mens | Date First Available: October 1, 2009 | Manufacturer: Cherokee | description: </x:v>
      </x:c>
      <x:c r="D105" s="17" t="str">
        <x:f>"title: "&amp;'Target Products'!C105&amp;" | leaf_category: "&amp;'Target Products'!E105&amp;" | store: "&amp;'Target Products'!L105&amp;" | details: "&amp;'Target Products'!G105</x:f>
        <x:v>title: Medical Cargo Pants for Men Workwear Originals, Zipper Fly Scrubs for Men 4000 | leaf_category: Scrub Bottoms | store: Cherokee | details: Package Dimensions: 15 x 12 x 0.33 inches; 8 Ounces | Item model number: 4000S | Department: Mens | Date First Available: October 1, 2009 | Manufacturer: Cherokee</x:v>
      </x:c>
      <x:c r="E105" s="17" t="str">
        <x:f>"scenario: "&amp;'Sessions'!B105&amp;" | current_message: "&amp;'Sessions'!M105&amp;" | profile_soft_tags: "&amp;'Sessions'!I105</x:f>
        <x:v>scenario: buying | current_message: I'm looking for Medical Scrub Bottoms. A key requirement is: polyester. | profile_soft_tags: material | comfort | fit | durability</x:v>
      </x:c>
      <x:c r="F105" s="17" t="str">
        <x:f>'Intent Cards'!D105&amp;IF('Intent Cards'!F105&lt;&gt;""," | "&amp;'Intent Cards'!F105,"")</x:f>
        <x:v>polyester | color: white</x:v>
      </x:c>
      <x:c r="G105" s="17" t="str">
        <x:f>'Sessions'!I105</x:f>
        <x:v>material | comfort | fit | durability</x:v>
      </x:c>
      <x:c r="H105" s="77" t="n">
        <x:f>LEN(C105)</x:f>
        <x:v>2247</x:v>
      </x:c>
      <x:c r="I105" s="77" t="n">
        <x:f>IF(H105&gt;2400,3,IF(H105&gt;1200,2,1))</x:f>
        <x:v>2</x:v>
      </x:c>
      <x:c r="J105" s="17" t="str">
        <x:f>IF('Sessions'!B105="intent_override","Drop superseded values before query embedding",IF('Sessions'!B105="boundary","Do not invent a value for no-preference attributes","Keep profile tags soft; current message wins"))</x:f>
        <x:v>Keep profile tags soft; current message wins</x:v>
      </x:c>
    </x:row>
    <x:row r="106" ht="72" customHeight="1">
      <x:c r="A106" t="str">
        <x:f>'Sessions'!A106</x:f>
        <x:v>public_0102</x:v>
      </x:c>
      <x:c r="B106" t="str">
        <x:f>'Target Products'!B106</x:f>
        <x:v>B07PWZXZVX</x:v>
      </x:c>
      <x:c r="C106" s="17" t="str">
        <x:f>"title: "&amp;'Target Products'!C106&amp;" | categories: "&amp;'Target Products'!D106&amp;" | features: "&amp;'Target Products'!F106&amp;" | details: "&amp;'Target Products'!G106&amp;" | description: "&amp;'Target Products'!H106</x:f>
        <x:v>title: FallSweet Padded Push Up Lace Bras for 34A to 44C Underwire | categories: Clothing, Shoes &amp; Jewelry | Women | Clothing | Lingerie, Sleep &amp; Lounge | Lingerie | Bras | Everyday Bras | features: Hand Wash Only | Push Up Bra, A/B/C cup 3 centimeters Thickness Pad inside. But noted that D cup is thin cup,lightly padded. | Underwire | Lace Design | Extremely Padded Women Bras | Warmly Remind: Please choose one size up than your normal size. For example, 32B in US. 34B for this one | details: Package Dimensions: 7.87 x 3.94 x 1.18 inches; 5.29 Ounces | Department: Womens | Date First Available: March 25, 2019 | description: </x:v>
      </x:c>
      <x:c r="D106" s="17" t="str">
        <x:f>"title: "&amp;'Target Products'!C106&amp;" | leaf_category: "&amp;'Target Products'!E106&amp;" | store: "&amp;'Target Products'!L106&amp;" | details: "&amp;'Target Products'!G106</x:f>
        <x:v>title: FallSweet Padded Push Up Lace Bras for 34A to 44C Underwire | leaf_category: Everyday Bras | store: FallSweet | details: Package Dimensions: 7.87 x 3.94 x 1.18 inches; 5.29 Ounces | Department: Womens | Date First Available: March 25, 2019</x:v>
      </x:c>
      <x:c r="E106" s="17" t="str">
        <x:f>"scenario: "&amp;'Sessions'!B106&amp;" | current_message: "&amp;'Sessions'!M106&amp;" | profile_soft_tags: "&amp;'Sessions'!I106</x:f>
        <x:v>scenario: browsing | current_message: I'm looking for Bras Everyday Bras, but I'm still exploring. | profile_soft_tags: comfort | style | fit | material</x:v>
      </x:c>
      <x:c r="F106" s="17" t="str">
        <x:f>'Intent Cards'!D106&amp;IF('Intent Cards'!F106&lt;&gt;""," | "&amp;'Intent Cards'!F106,"")</x:f>
        <x:v>Hand Wash Only | Push Up Bra, A/B/C cup 3 centimeters Thickness Pad inside. But noted that D cup is thin cup,lightly padded</x:v>
      </x:c>
      <x:c r="G106" s="17" t="str">
        <x:f>'Sessions'!I106</x:f>
        <x:v>comfort | style | fit | material</x:v>
      </x:c>
      <x:c r="H106" s="77" t="n">
        <x:f>LEN(C106)</x:f>
        <x:v>632</x:v>
      </x:c>
      <x:c r="I106" s="77" t="n">
        <x:f>IF(H106&gt;2400,3,IF(H106&gt;1200,2,1))</x:f>
        <x:v>1</x:v>
      </x:c>
      <x:c r="J106" s="17" t="str">
        <x:f>IF('Sessions'!B106="intent_override","Drop superseded values before query embedding",IF('Sessions'!B106="boundary","Do not invent a value for no-preference attributes","Keep profile tags soft; current message wins"))</x:f>
        <x:v>Keep profile tags soft; current message wins</x:v>
      </x:c>
    </x:row>
    <x:row r="107" ht="72" customHeight="1">
      <x:c r="A107" t="str">
        <x:f>'Sessions'!A107</x:f>
        <x:v>public_0103</x:v>
      </x:c>
      <x:c r="B107" t="str">
        <x:f>'Target Products'!B107</x:f>
        <x:v>B0BT8T2FQ3</x:v>
      </x:c>
      <x:c r="C107" s="17" t="str">
        <x:f>"title: "&amp;'Target Products'!C107&amp;" | categories: "&amp;'Target Products'!D107&amp;" | features: "&amp;'Target Products'!F107&amp;" | details: "&amp;'Target Products'!G107&amp;" | description: "&amp;'Target Products'!H107</x:f>
        <x:v>title: Fruit of the Loom Men's Eversoft Cotton Stay Tucked Crew T-Shirt | categories: Clothing, Shoes &amp; Jewelry | Men | Clothing | Underwear | Undershirts | features: 100% Cotton | Imported | Pull On closure | Machine wash warm. Use only non-chlorine bleach when needed. Tumble dry low. Medium warm iron. | 6 pack Classic White Crew Undershirts | Soft covered seams on neck and shoulders for comfortable fit | Soft lay flat collar | Classic fit for full range of movement while staying tucked | Wicks Moisture | details: Department: mens | Date First Available: January 27, 2023 | Manufacturer: Fruit of the Loom | description: </x:v>
      </x:c>
      <x:c r="D107" s="17" t="str">
        <x:f>"title: "&amp;'Target Products'!C107&amp;" | leaf_category: "&amp;'Target Products'!E107&amp;" | store: "&amp;'Target Products'!L107&amp;" | details: "&amp;'Target Products'!G107</x:f>
        <x:v>title: Fruit of the Loom Men's Eversoft Cotton Stay Tucked Crew T-Shirt | leaf_category: Undershirts | store: Fruit of the Loom | details: Department: mens | Date First Available: January 27, 2023 | Manufacturer: Fruit of the Loom</x:v>
      </x:c>
      <x:c r="E107" s="17" t="str">
        <x:f>"scenario: "&amp;'Sessions'!B107&amp;" | current_message: "&amp;'Sessions'!M107&amp;" | profile_soft_tags: "&amp;'Sessions'!I107</x:f>
        <x:v>scenario: intent_override | current_message: I'm looking for Underwear Undershirts. Imported | profile_soft_tags: material | comfort | fit | style</x:v>
      </x:c>
      <x:c r="F107" s="17" t="str">
        <x:f>'Intent Cards'!D107&amp;IF('Intent Cards'!F107&lt;&gt;""," | "&amp;'Intent Cards'!F107,"")</x:f>
        <x:v>cotton | color: white</x:v>
      </x:c>
      <x:c r="G107" s="17" t="str">
        <x:f>'Sessions'!I107</x:f>
        <x:v>material | comfort | fit | style</x:v>
      </x:c>
      <x:c r="H107" s="77" t="n">
        <x:f>LEN(C107)</x:f>
        <x:v>628</x:v>
      </x:c>
      <x:c r="I107" s="77" t="n">
        <x:f>IF(H107&gt;2400,3,IF(H107&gt;1200,2,1))</x:f>
        <x:v>1</x:v>
      </x:c>
      <x:c r="J107" s="17" t="str">
        <x:f>IF('Sessions'!B107="intent_override","Drop superseded values before query embedding",IF('Sessions'!B107="boundary","Do not invent a value for no-preference attributes","Keep profile tags soft; current message wins"))</x:f>
        <x:v>Drop superseded values before query embedding</x:v>
      </x:c>
    </x:row>
    <x:row r="108" ht="72" customHeight="1">
      <x:c r="A108" t="str">
        <x:f>'Sessions'!A108</x:f>
        <x:v>public_0104</x:v>
      </x:c>
      <x:c r="B108" t="str">
        <x:f>'Target Products'!B108</x:f>
        <x:v>B00QSAICLU</x:v>
      </x:c>
      <x:c r="C108" s="17" t="str">
        <x:f>"title: "&amp;'Target Products'!C108&amp;" | categories: "&amp;'Target Products'!D108&amp;" | features: "&amp;'Target Products'!F108&amp;" | details: "&amp;'Target Products'!G108&amp;" | description: "&amp;'Target Products'!H108</x:f>
        <x:v>title: Black 1 Inch Wide Leather Like Headband Solid Hair band for Women and Girls | categories: Clothing, Shoes &amp; Jewelry | Women | Accessories | Hats &amp; Caps | Headbands | features: Classy Leather-like Fabric | Durable Headband | Fashion Colors | 1 Inch Wide | Motique Accessories | details: Color: Black | Age Range (Description): Adult | Material: Leather | Fabric Type: Leather | Number of Items: 1 | Is Discontinued By Manufacturer: No | Package Dimensions: 5.43 x 4.72 x 1.26 inches; 0.63 Ounces | Item model number: mthb-1inch-leather-black | Department: womens | UPC: 755332413140 765343761161 | Manufacturer: Motique Accessories | description: </x:v>
      </x:c>
      <x:c r="D108" s="17" t="str">
        <x:f>"title: "&amp;'Target Products'!C108&amp;" | leaf_category: "&amp;'Target Products'!E108&amp;" | store: "&amp;'Target Products'!L108&amp;" | details: "&amp;'Target Products'!G108</x:f>
        <x:v>title: Black 1 Inch Wide Leather Like Headband Solid Hair band for Women and Girls | leaf_category: Headbands | store: Motique Accessories | details: Color: Black | Age Range (Description): Adult | Material: Leather | Fabric Type: Leather | Number of Items: 1 | Is Discontinued By Manufacturer: No | Package Dimensions: 5.43 x 4.72 x 1.26 inches; 0.63 Ounces | Item model number: mthb-1inch-leather-black | Department: womens | UPC: 755332413140 765343761161 | Manufacturer: Motique Accessories</x:v>
      </x:c>
      <x:c r="E108" s="17" t="str">
        <x:f>"scenario: "&amp;'Sessions'!B108&amp;" | current_message: "&amp;'Sessions'!M108&amp;" | profile_soft_tags: "&amp;'Sessions'!I108</x:f>
        <x:v>scenario: boundary | current_message: I'm looking for Hats &amp; Caps Headbands, but I'm still exploring. | profile_soft_tags: comfort | durability | fit | material</x:v>
      </x:c>
      <x:c r="F108" s="17" t="str">
        <x:f>'Intent Cards'!D108&amp;IF('Intent Cards'!F108&lt;&gt;""," | "&amp;'Intent Cards'!F108,"")</x:f>
        <x:v>leather | color: black</x:v>
      </x:c>
      <x:c r="G108" s="17" t="str">
        <x:f>'Sessions'!I108</x:f>
        <x:v>comfort | durability | fit | material</x:v>
      </x:c>
      <x:c r="H108" s="77" t="n">
        <x:f>LEN(C108)</x:f>
        <x:v>653</x:v>
      </x:c>
      <x:c r="I108" s="77" t="n">
        <x:f>IF(H108&gt;2400,3,IF(H108&gt;1200,2,1))</x:f>
        <x:v>1</x:v>
      </x:c>
      <x:c r="J108" s="17" t="str">
        <x:f>IF('Sessions'!B108="intent_override","Drop superseded values before query embedding",IF('Sessions'!B108="boundary","Do not invent a value for no-preference attributes","Keep profile tags soft; current message wins"))</x:f>
        <x:v>Do not invent a value for no-preference attributes</x:v>
      </x:c>
    </x:row>
    <x:row r="109" ht="72" customHeight="1">
      <x:c r="A109" t="str">
        <x:f>'Sessions'!A109</x:f>
        <x:v>public_0105</x:v>
      </x:c>
      <x:c r="B109" t="str">
        <x:f>'Target Products'!B109</x:f>
        <x:v>B07Q46M2J2</x:v>
      </x:c>
      <x:c r="C109" s="17" t="str">
        <x:f>"title: "&amp;'Target Products'!C109&amp;" | categories: "&amp;'Target Products'!D109&amp;" | features: "&amp;'Target Products'!F109&amp;" | details: "&amp;'Target Products'!G109&amp;" | description: "&amp;'Target Products'!H109</x:f>
        <x:v>title: IUGA High Waisted Yoga Pants for Women with Pockets Capri Leggings for Women Workout Leggings for Women Yoga Capris | categories: Clothing, Shoes &amp; Jewelry | Sport Specific Clothing | Yoga | Women | Leggings | features: 77% Polyester, 23% Spandex | Imported | IUGA is a lifestyle brand that combines Style, Comfort and Performance. The High Quality Activewear is perfect for Fitness Enthusiasts and Everyday Athleisure as it is Affordable and Accessible. Operating at the cross section between fashion and function, IUGA aims to please both The Everyday Fashion Consumer and The Ultimate Exercise Enthusiast. | Side Pockets &amp; Hidden Waistband Pocket: The IUGA Yoga Capri Leggings for Women provide Two Large Side Pockets for cell phone and credit cards, and a Hidden Inner Pocket in the Waist Band to stash your keys and valuables. No more worrying about where to put your phone or other essentials during your workout. | Buttery-Soft Fabric：IUGA Yoga Pants have the second-skin feel with buttery-soft fabric that's contouring perfectly to your body, giving you a streamlined look. All the seams and the waistband are flat so you won't get that uncomfortable bunching or digging into your skin. IUGA Yoga Pants are all about comfort no matter how you get it work, wearing to the studio, or for lounging. | Squat Proof and 4-Way Stretch Fabric: constructed with Non-See-Through and High Tech 4-Way Stretch Fabric, these Yoga Capris for Women offer Total Coverage while Bending, Squatting, and Lifting. The 4-Way Stretch Fabric varies with your movements, retaining its shape over time and provide Gentle Compression where you need it most. In addition, a Gusset Crotch supports Free Movement and Interlock Seams minimize Rubbing and Chafing. | High Waist for Better Tummy Control: say goodbye to Muffin Top and hello to a Smooth, Flat Tummy. These High Rise Tummy Control Leggings with Pockets for Women provide Gentle Compression to your Midsection, giving you a Toned and Trim Look. Our High Waisted Workout capris for Women are a great choice for women in all ages, providing them the Excellent Fit and Supreme Comfort. | details: Item Package Dimensions L x W x H: 13.03 x 7.01 x 1.22 inches | Package Weight: 0.21 Kilograms | Brand Name: IUGA | Color: Maroon Capris | Material: Spandex | Suggested Users: Womens | Part Number: Pants iuga | Style: Capri | Size: XX-Large | Sport Type: Cycling, Running | Best Sellers Rank: [object Object] | Date First Available: August 2, 2019 | description: </x:v>
      </x:c>
      <x:c r="D109" s="17" t="str">
        <x:f>"title: "&amp;'Target Products'!C109&amp;" | leaf_category: "&amp;'Target Products'!E109&amp;" | store: "&amp;'Target Products'!L109&amp;" | details: "&amp;'Target Products'!G109</x:f>
        <x:v>title: IUGA High Waisted Yoga Pants for Women with Pockets Capri Leggings for Women Workout Leggings for Women Yoga Capris | leaf_category: Leggings | store: IUGA | details: Item Package Dimensions L x W x H: 13.03 x 7.01 x 1.22 inches | Package Weight: 0.21 Kilograms | Brand Name: IUGA | Color: Maroon Capris | Material: Spandex | Suggested Users: Womens | Part Number: Pants iuga | Style: Capri | Size: XX-Large | Sport Type: Cycling, Running | Best Sellers Rank: [object Object] | Date First Available: August 2, 2019</x:v>
      </x:c>
      <x:c r="E109" s="17" t="str">
        <x:f>"scenario: "&amp;'Sessions'!B109&amp;" | current_message: "&amp;'Sessions'!M109&amp;" | profile_soft_tags: "&amp;'Sessions'!I109</x:f>
        <x:v>scenario: browsing | current_message: I'm looking for Women Leggings, but I'm still exploring. | profile_soft_tags: comfort | weather | material | durability</x:v>
      </x:c>
      <x:c r="F109" s="17" t="str">
        <x:f>'Intent Cards'!D109&amp;IF('Intent Cards'!F109&lt;&gt;""," | "&amp;'Intent Cards'!F109,"")</x:f>
        <x:v>polyester | 77% Polyester, 23% Spandex</x:v>
      </x:c>
      <x:c r="G109" s="17" t="str">
        <x:f>'Sessions'!I109</x:f>
        <x:v>comfort | weather | material | durability</x:v>
      </x:c>
      <x:c r="H109" s="77" t="n">
        <x:f>LEN(C109)</x:f>
        <x:v>2503</x:v>
      </x:c>
      <x:c r="I109" s="77" t="n">
        <x:f>IF(H109&gt;2400,3,IF(H109&gt;1200,2,1))</x:f>
        <x:v>3</x:v>
      </x:c>
      <x:c r="J109" s="17" t="str">
        <x:f>IF('Sessions'!B109="intent_override","Drop superseded values before query embedding",IF('Sessions'!B109="boundary","Do not invent a value for no-preference attributes","Keep profile tags soft; current message wins"))</x:f>
        <x:v>Keep profile tags soft; current message wins</x:v>
      </x:c>
    </x:row>
    <x:row r="110" ht="72" customHeight="1">
      <x:c r="A110" t="str">
        <x:f>'Sessions'!A110</x:f>
        <x:v>public_0106</x:v>
      </x:c>
      <x:c r="B110" t="str">
        <x:f>'Target Products'!B110</x:f>
        <x:v>B0776SVXW9</x:v>
      </x:c>
      <x:c r="C110" s="17" t="str">
        <x:f>"title: "&amp;'Target Products'!C110&amp;" | categories: "&amp;'Target Products'!D110&amp;" | features: "&amp;'Target Products'!F110&amp;" | details: "&amp;'Target Products'!G110&amp;" | description: "&amp;'Target Products'!H110</x:f>
        <x:v>title: Mens Socks Dress Cotton Socks Fashion Patterned Argyle Socks &amp;Formal Business Socks Classic Cotton Dress Casual Socks for Men | categories: Clothing, Shoes &amp; Jewelry | Men | Clothing | Socks &amp; Hosiery | Socks | Calf Socks | features: Polyester,Cotton,Spandex | Machine Wash | ❤ 【Material】：Our mens dress socks are are expertly fabricated with the perfect formulation, made with 76% cotton,2% spandex and 22% polyester to keep your feet a elasticity and softness.Our cotton socks are guaranteed to keep your feet fresh and dry. These dress socks are super comfortable, extremely breathable and are awesome socks for guys. | ❤【Highly Classy】OKISS designer socks for men are stylish, fashionable and funky colorful casual socks. Classy pattern socks to match up with your favorite casual jeans,business formal outfits,school unifor and more. coordinate with whatever you're wearing as office, school, hiking, outdoor, sport, indoor, home, work,christmas or gift socks in Spring, fall, winter season. | ❤ 【Perfect Size】：5 pack argyle stripe dress socks are suitable for shoe size 6-13,Our premium dress socks for men are designed to keep your style going for a long while! These mens colorful socks are created with great quality fabrics to keep elasticity and softness.so everyone can enjoy these mens fashion socks. | ❤ 【Mulit-function】：Everyone need more nice pattern socks.Great fashion socks that offer a comfy fit,elasticity and softness,comfort and breathability.These cotton socks can be as or Valentine's Day Gifts, Holiday ,Novelty birthday gifts or adult gift to your son,husband,son in-law,grandpa or anyone who love dress socks.Brighten up those everyday with colorful socks to keep your lover feet cool and stylish. | ❤ 【Excellent Gift Choice】：5 packs mens cotton socks came in lovely box. It’s soft to the touch and great pattern.The designs you will find here are argyle socks, striped socks, patterned socks,business socks,gift socks for men,cusual crew socks,stylish socks and one beatiful gift box.If you have any product issue, just send us a message for a free replacement or refund. | details: Is Discontinued By Manufacturer: No | Package Dimensions: 10.3 x 3.9 x 2.7 inches; 0.63 Ounces | Department: mens | Date First Available: December 10, 2017 | description: OKISS Mens Ctton Socks,Argyle Colorful Dress Socks-Fashion&amp;Formal Business Socks,Mens Casual Crew Socks Novelty Dress Socks Gift Box(fits shoe size 6-13). | About the Okiss Colorful Men’s Dress Socks : | - Material: 76% cotton 2% spandex and 22% polyester -Comfort-breathable and Stylish and fashionable -Size:US 6-12 - Color: As shown -Gift box:With a beautiful gift box | PRODUCTS ADVANTAGE &amp; FEATURES : | ❤ LIVE LIFE IN COLOR: | *This the best dress socks and casual socks outdoor for men.Whether you're looking for the brightest and happy socks,business dress socks or school unifor socks,OKISS mens socks can add color to your clothing and mood. | ❤BE BOLD | *The socks of outstanding color and style are bound to make you the center of attention,elevates a man's confidence,which will leave fashionable and colorful impression.,these men’s dress socks are a must-have apparel accessory to you. | ❤ Mulit-function: | *Our mens crew socks cotton is stylish,comfortable and pretty,From the business men to the hip-hop star, OKISS fun socks are designed for most of men. Keeping your feet classy while being colorful on your feet.You can get rid of boring socks. | ❤Exquisite Gift Box Packaging: | *5 packs in a beautiful gix box.They could be your perfect gift choices for your beloved ones in holidays, like Christmas, Thanksgiving and etc. Novelty birthday gifts for your son,son in-law ,husband, boyfriend, father, grandpa. | ❤RISK-FREE PURCHASE：100% money back guarantee:If you are not satisfied with the socks or have any issues about the product,Just tell us and we will help you,refund or resend!</x:v>
      </x:c>
      <x:c r="D110" s="17" t="str">
        <x:f>"title: "&amp;'Target Products'!C110&amp;" | leaf_category: "&amp;'Target Products'!E110&amp;" | store: "&amp;'Target Products'!L110&amp;" | details: "&amp;'Target Products'!G110</x:f>
        <x:v>title: Mens Socks Dress Cotton Socks Fashion Patterned Argyle Socks &amp;Formal Business Socks Classic Cotton Dress Casual Socks for Men | leaf_category: Calf Socks | store: OKISS | details: Is Discontinued By Manufacturer: No | Package Dimensions: 10.3 x 3.9 x 2.7 inches; 0.63 Ounces | Department: mens | Date First Available: December 10, 2017</x:v>
      </x:c>
      <x:c r="E110" s="17" t="str">
        <x:f>"scenario: "&amp;'Sessions'!B110&amp;" | current_message: "&amp;'Sessions'!M110&amp;" | profile_soft_tags: "&amp;'Sessions'!I110</x:f>
        <x:v>scenario: buying | current_message: I'm looking for Socks Calf Socks. A key requirement is: cotton. | profile_soft_tags: material | fit | style</x:v>
      </x:c>
      <x:c r="F110" s="17" t="str">
        <x:f>'Intent Cards'!D110&amp;IF('Intent Cards'!F110&lt;&gt;""," | "&amp;'Intent Cards'!F110,"")</x:f>
        <x:v>cotton | Polyester,Cotton,Spandex</x:v>
      </x:c>
      <x:c r="G110" s="17" t="str">
        <x:f>'Sessions'!I110</x:f>
        <x:v>material | fit | style</x:v>
      </x:c>
      <x:c r="H110" s="77" t="n">
        <x:f>LEN(C110)</x:f>
        <x:v>3896</x:v>
      </x:c>
      <x:c r="I110" s="77" t="n">
        <x:f>IF(H110&gt;2400,3,IF(H110&gt;1200,2,1))</x:f>
        <x:v>3</x:v>
      </x:c>
      <x:c r="J110" s="17" t="str">
        <x:f>IF('Sessions'!B110="intent_override","Drop superseded values before query embedding",IF('Sessions'!B110="boundary","Do not invent a value for no-preference attributes","Keep profile tags soft; current message wins"))</x:f>
        <x:v>Keep profile tags soft; current message wins</x:v>
      </x:c>
    </x:row>
    <x:row r="111" ht="72" customHeight="1">
      <x:c r="A111" t="str">
        <x:f>'Sessions'!A111</x:f>
        <x:v>public_0107</x:v>
      </x:c>
      <x:c r="B111" t="str">
        <x:f>'Target Products'!B111</x:f>
        <x:v>B01KPFK9ZA</x:v>
      </x:c>
      <x:c r="C111" s="17" t="str">
        <x:f>"title: "&amp;'Target Products'!C111&amp;" | categories: "&amp;'Target Products'!D111&amp;" | features: "&amp;'Target Products'!F111&amp;" | details: "&amp;'Target Products'!G111&amp;" | description: "&amp;'Target Products'!H111</x:f>
        <x:v>title: FASHION BOOMY Women's Zip Up Safari Military Anorak Jacket with Hood Drawstring - Regular and Plus Sizes | categories: Clothing, Shoes &amp; Jewelry | Women | Clothing | Coats, Jackets &amp; Vests | Trench, Rain &amp; Anoraks | Anoraks | features: Shell 100% Cotton Lining 100% Polyester | Zipper closure | Machine Wash | Machine Wash Cold / Tumble Dry Low / Do not Bleach | Long sleeve with drawstring waist design / Breathable fabric Quick-drying / Suitable to all seasons | A good stretchy fabric / solid patterned / front pocket decoration / breathable | Features adjustable drawstring waist and bottom hem for better fit / Two snap button pockets and one zipper pocket to hold your belongings / Full zip up and snap button closure | Due to monitor settings, we cannot that you see will be exact from the actual color of the product / Please refer to the size chart for detailed size and allow 1 inch difference due to hand measurement | details: Department: womens | Date First Available: June 1, 2016 | description: </x:v>
      </x:c>
      <x:c r="D111" s="17" t="str">
        <x:f>"title: "&amp;'Target Products'!C111&amp;" | leaf_category: "&amp;'Target Products'!E111&amp;" | store: "&amp;'Target Products'!L111&amp;" | details: "&amp;'Target Products'!G111</x:f>
        <x:v>title: FASHION BOOMY Women's Zip Up Safari Military Anorak Jacket with Hood Drawstring - Regular and Plus Sizes | leaf_category: Anoraks | store: FASHION BOOMY | details: Department: womens | Date First Available: June 1, 2016</x:v>
      </x:c>
      <x:c r="E111" s="17" t="str">
        <x:f>"scenario: "&amp;'Sessions'!B111&amp;" | current_message: "&amp;'Sessions'!M111&amp;" | profile_soft_tags: "&amp;'Sessions'!I111</x:f>
        <x:v>scenario: buying | current_message: I'm looking for Rain &amp; Anoraks Anoraks. A key requirement is: cotton. | profile_soft_tags: material | fit</x:v>
      </x:c>
      <x:c r="F111" s="17" t="str">
        <x:f>'Intent Cards'!D111&amp;IF('Intent Cards'!F111&lt;&gt;""," | "&amp;'Intent Cards'!F111,"")</x:f>
        <x:v>cotton | Shell 100% Cotton Lining 100% Polyester</x:v>
      </x:c>
      <x:c r="G111" s="17" t="str">
        <x:f>'Sessions'!I111</x:f>
        <x:v>material | fit</x:v>
      </x:c>
      <x:c r="H111" s="77" t="n">
        <x:f>LEN(C111)</x:f>
        <x:v>1017</x:v>
      </x:c>
      <x:c r="I111" s="77" t="n">
        <x:f>IF(H111&gt;2400,3,IF(H111&gt;1200,2,1))</x:f>
        <x:v>1</x:v>
      </x:c>
      <x:c r="J111" s="17" t="str">
        <x:f>IF('Sessions'!B111="intent_override","Drop superseded values before query embedding",IF('Sessions'!B111="boundary","Do not invent a value for no-preference attributes","Keep profile tags soft; current message wins"))</x:f>
        <x:v>Keep profile tags soft; current message wins</x:v>
      </x:c>
    </x:row>
    <x:row r="112" ht="72" customHeight="1">
      <x:c r="A112" t="str">
        <x:f>'Sessions'!A112</x:f>
        <x:v>public_0108</x:v>
      </x:c>
      <x:c r="B112" t="str">
        <x:f>'Target Products'!B112</x:f>
        <x:v>B01I21CI7G</x:v>
      </x:c>
      <x:c r="C112" s="17" t="str">
        <x:f>"title: "&amp;'Target Products'!C112&amp;" | categories: "&amp;'Target Products'!D112&amp;" | features: "&amp;'Target Products'!F112&amp;" | details: "&amp;'Target Products'!G112&amp;" | description: "&amp;'Target Products'!H112</x:f>
        <x:v>title: Hanes Women's Stretch Jersey Bike Shorts, Women’s Cotton Bike Shorts, Women’s Athletic Shorts, 7" Inseam | categories: Clothing, Shoes &amp; Jewelry | Sport Specific Clothing | Cycling | Women | Tights, Pants &amp; Shorts | Shorts | features: 54% Cotton, 36% Polyester, 10% Spandex | Imported | Elastic closure | Machine Wash | QUALITY FABRIC – A touch of spandex adds the perfect amount of stretch to these jersey bike shorts. They are crafted from soft cotton for move-with-you comfort. (90% Cotton/ 10% Spandex, Charcoal Heather 54% Cotton/36% Polyester/10% Spandex) | NO-SHOW – Hanes stretch jersey bike shorts are made from a heavier cotton fabric to prevent show-through. | ELASTIC WAISTBAND – Easy on-and-off, these cotton jersey bike shorts are detailed with a slim elastic waistband. | MULTIPLE OPTIONS – Hanes cotton jersey shorts are available in an assortment of neutral shades. | A COMFORTABLE FIT – These athletic shorts feature a 7" inseam. | PULL-ON STYLE – These sporty bike shorts feature a classic pull-on style for easy on-and-off. | COLD WATER WASH – Hanes recommends machine washing these women's shorts in cold water to help reduce energy consumption. | COLD WATER WASH – Hanes recommends machine washing these women's shorts in cold water to help reduce energy consumption. | details: Package Dimensions: 1 x 1 x 1 inches; 1 Pounds | Item model number: O9291 | Department: womens | Date First Available: July 10, 2016 | Manufacturer: Hanes Women's Activewear | description: Hanes® stretch jersey bike shorts pair perfectly with your favorite tee or tunic. The flattering women’s bike shorts are crafted from soft cotton with a hint of spandex. These women's bike shorts are designed with a heavier cotton fabric that prevents show-through. And Hanes® elastic waistband adds even more comfort to this sporty design. The women’s stretch-jersey bike shorts are available in an assortment of neutral shades.</x:v>
      </x:c>
      <x:c r="D112" s="17" t="str">
        <x:f>"title: "&amp;'Target Products'!C112&amp;" | leaf_category: "&amp;'Target Products'!E112&amp;" | store: "&amp;'Target Products'!L112&amp;" | details: "&amp;'Target Products'!G112</x:f>
        <x:v>title: Hanes Women's Stretch Jersey Bike Shorts, Women’s Cotton Bike Shorts, Women’s Athletic Shorts, 7" Inseam | leaf_category: Shorts | store: Hanes | details: Package Dimensions: 1 x 1 x 1 inches; 1 Pounds | Item model number: O9291 | Department: womens | Date First Available: July 10, 2016 | Manufacturer: Hanes Women's Activewear</x:v>
      </x:c>
      <x:c r="E112" s="17" t="str">
        <x:f>"scenario: "&amp;'Sessions'!B112&amp;" | current_message: "&amp;'Sessions'!M112&amp;" | profile_soft_tags: "&amp;'Sessions'!I112</x:f>
        <x:v>scenario: buying | current_message: I'm looking for Pants &amp; Shorts Shorts. A key requirement is: cotton. | profile_soft_tags: material | comfort | fit | style</x:v>
      </x:c>
      <x:c r="F112" s="17" t="str">
        <x:f>'Intent Cards'!D112&amp;IF('Intent Cards'!F112&lt;&gt;""," | "&amp;'Intent Cards'!F112,"")</x:f>
        <x:v>cotton | 54% Cotton, 36% Polyester, 10% Spandex</x:v>
      </x:c>
      <x:c r="G112" s="17" t="str">
        <x:f>'Sessions'!I112</x:f>
        <x:v>material | comfort | fit | style</x:v>
      </x:c>
      <x:c r="H112" s="77" t="n">
        <x:f>LEN(C112)</x:f>
        <x:v>1926</x:v>
      </x:c>
      <x:c r="I112" s="77" t="n">
        <x:f>IF(H112&gt;2400,3,IF(H112&gt;1200,2,1))</x:f>
        <x:v>2</x:v>
      </x:c>
      <x:c r="J112" s="17" t="str">
        <x:f>IF('Sessions'!B112="intent_override","Drop superseded values before query embedding",IF('Sessions'!B112="boundary","Do not invent a value for no-preference attributes","Keep profile tags soft; current message wins"))</x:f>
        <x:v>Keep profile tags soft; current message wins</x:v>
      </x:c>
    </x:row>
    <x:row r="113" ht="72" customHeight="1">
      <x:c r="A113" t="str">
        <x:f>'Sessions'!A113</x:f>
        <x:v>public_0109</x:v>
      </x:c>
      <x:c r="B113" t="str">
        <x:f>'Target Products'!B113</x:f>
        <x:v>B016OT9D3K</x:v>
      </x:c>
      <x:c r="C113" s="17" t="str">
        <x:f>"title: "&amp;'Target Products'!C113&amp;" | categories: "&amp;'Target Products'!D113&amp;" | features: "&amp;'Target Products'!F113&amp;" | details: "&amp;'Target Products'!G113&amp;" | description: "&amp;'Target Products'!H113</x:f>
        <x:v>title: Hanes Men’s Short Sleeve Graphic T-shirt Collection | categories: Clothing, Shoes &amp; Jewelry | Men | Clothing | Shirts | T-Shirts | features: 100% Other Fibers | Imported | No Closure closure | Machine Wash | SOFT &amp; LIGHTWEIGHT - Super-soft and lightweight fabric feels great up against your skin. | SHORT-SLEEVES - Sporty short-sleeve design keeps you feeling cool and comfortable. | CLASSIC STYLING - Features a timeless crew neckline, ideal for layering or wearing alone. | QUALITY FABRIC - Made from 100% open-end cotton for ultimate all-day comfort. | EASY MACHINE WASHING - Just throw this men’s tee in the washing machine for a quick re-fresh, tumble dry low. | details: Package Dimensions: 1 x 1 x 1 inches; 1 Pounds | Item model number: GT49A | Department: Mens | Date First Available: November 23, 2015 | Manufacturer: Hanes Men's Athletic Child Code | description: Hanes men's lightweight graphic tee is provide the fit and comfort you expect with stylish vintage cali-themed prints. Check out each of the graphic collections available from Hanes.</x:v>
      </x:c>
      <x:c r="D113" s="17" t="str">
        <x:f>"title: "&amp;'Target Products'!C113&amp;" | leaf_category: "&amp;'Target Products'!E113&amp;" | store: "&amp;'Target Products'!L113&amp;" | details: "&amp;'Target Products'!G113</x:f>
        <x:v>title: Hanes Men’s Short Sleeve Graphic T-shirt Collection | leaf_category: T-Shirts | store: Hanes | details: Package Dimensions: 1 x 1 x 1 inches; 1 Pounds | Item model number: GT49A | Department: Mens | Date First Available: November 23, 2015 | Manufacturer: Hanes Men's Athletic Child Code</x:v>
      </x:c>
      <x:c r="E113" s="17" t="str">
        <x:f>"scenario: "&amp;'Sessions'!B113&amp;" | current_message: "&amp;'Sessions'!M113&amp;" | profile_soft_tags: "&amp;'Sessions'!I113</x:f>
        <x:v>scenario: buying | current_message: I'm looking for Shirts T-Shirts. A key requirement is: fabric. | profile_soft_tags: material | fit</x:v>
      </x:c>
      <x:c r="F113" s="17" t="str">
        <x:f>'Intent Cards'!D113&amp;IF('Intent Cards'!F113&lt;&gt;""," | "&amp;'Intent Cards'!F113,"")</x:f>
        <x:v>fabric | 100% Other Fibers</x:v>
      </x:c>
      <x:c r="G113" s="17" t="str">
        <x:f>'Sessions'!I113</x:f>
        <x:v>material | fit</x:v>
      </x:c>
      <x:c r="H113" s="77" t="n">
        <x:f>LEN(C113)</x:f>
        <x:v>1064</x:v>
      </x:c>
      <x:c r="I113" s="77" t="n">
        <x:f>IF(H113&gt;2400,3,IF(H113&gt;1200,2,1))</x:f>
        <x:v>1</x:v>
      </x:c>
      <x:c r="J113" s="17" t="str">
        <x:f>IF('Sessions'!B113="intent_override","Drop superseded values before query embedding",IF('Sessions'!B113="boundary","Do not invent a value for no-preference attributes","Keep profile tags soft; current message wins"))</x:f>
        <x:v>Keep profile tags soft; current message wins</x:v>
      </x:c>
    </x:row>
    <x:row r="114" ht="72" customHeight="1">
      <x:c r="A114" t="str">
        <x:f>'Sessions'!A114</x:f>
        <x:v>public_0110</x:v>
      </x:c>
      <x:c r="B114" t="str">
        <x:f>'Target Products'!B114</x:f>
        <x:v>B0C277G9FW</x:v>
      </x:c>
      <x:c r="C114" s="17" t="str">
        <x:f>"title: "&amp;'Target Products'!C114&amp;" | categories: "&amp;'Target Products'!D114&amp;" | features: "&amp;'Target Products'!F114&amp;" | details: "&amp;'Target Products'!G114&amp;" | description: "&amp;'Target Products'!H114</x:f>
        <x:v>title: Loritta 5 Pairs Womens Wool Socks Thick Knit Vintage Winter Warm Cozy Crew Socks Gifts | categories: Clothing, Shoes &amp; Jewelry | Women | Clothing | Active | Athletic Socks | features: 35% wool, 29% cotton, 36% polyester | Machine Wash,Hand Wash | Material: Womens winter warm socks made of 35% wool, 29% cotton, 36% polyester. These cabin socks are super soft, breathable and wearable. Elegant, classic wool socks hosiery, colorful and comfy. | Size: Our wool socks women are free size 23 to 25cm, suitable for women US shoe size 5 to 9, the women socks are elastic and perfectly make it suitable for your feet. | Design: Vintage and trendy design thick warm socks for women that will coordinate with whatever you're wearing. Brighten up those cold winter mornings with these wool cozy socks to keep your toes warm. Ladies socks are good matching for all your sneakers, boots, snow boots, and sport shoes. | Gifts Ideas: A mix of bright prints makes these colorful winter socks women cool and fun. Womens wool socks can as stocking stuffers gifts for women, mom, grandma, wife, sister, girlfriend. As a birthdays, christmas, thanksgiving, fall gifts. Come with 5 pairs knit thick socks, various colors of womens socks can easily follow your daily collocation. | Athletic Wool Socks: Each pack of the winter women wool socks includes a various of colors, so you'll have soft boot socks that will coordinate with whatever you're wearing the womens crew socks are suit for hiking, walking, sleeping or during any outdoor activities. | details: Department: Women | Date First Available: April 12, 2023 | description: Loritta 5 Pairs Womens Vintage Style Winter Thick Knitting Warm Wool Crew Socks | About the product | - Color: As showned (mixed colors). Photos are taken under bright sunlight, colors may look darker indoors. - Material: 35% wool + 29% cotton + 36% polyester. - Cute standard winter socks that will make your feet pop! - Each pack of our women's vintage socks includes five pairs with a different combination of colors. - These wool socks feature stylish patterns and vibrant colors that will put a fun finishing touch on your outfits. - Comfort and soft! Perfect for winter everyday wear. - Size: Free size 23 to 25cm, is suitable for women US shoe size 5 to 9. | Package Include: | 5 pairs of winter wool socks | Note Please: | - Machine wash/hand wash. - Due to differences between monitor displays, actual color may vary slightly from image. - Because of the different measurement methods, pls allow 0-1/2inch difference due to manual measurement. | About Loritta | We promise offer good quality products to make sure you satisfied.</x:v>
      </x:c>
      <x:c r="D114" s="17" t="str">
        <x:f>"title: "&amp;'Target Products'!C114&amp;" | leaf_category: "&amp;'Target Products'!E114&amp;" | store: "&amp;'Target Products'!L114&amp;" | details: "&amp;'Target Products'!G114</x:f>
        <x:v>title: Loritta 5 Pairs Womens Wool Socks Thick Knit Vintage Winter Warm Cozy Crew Socks Gifts | leaf_category: Athletic Socks | store: Loritta | details: Department: Women | Date First Available: April 12, 2023</x:v>
      </x:c>
      <x:c r="E114" s="17" t="str">
        <x:f>"scenario: "&amp;'Sessions'!B114&amp;" | current_message: "&amp;'Sessions'!M114&amp;" | profile_soft_tags: "&amp;'Sessions'!I114</x:f>
        <x:v>scenario: browsing | current_message: I'm looking for Active Athletic Socks, but I'm still exploring. | profile_soft_tags: fit | comfort | style</x:v>
      </x:c>
      <x:c r="F114" s="17" t="str">
        <x:f>'Intent Cards'!D114&amp;IF('Intent Cards'!F114&lt;&gt;""," | "&amp;'Intent Cards'!F114,"")</x:f>
        <x:v>wool | 35% wool, 29% cotton, 36% polyester</x:v>
      </x:c>
      <x:c r="G114" s="17" t="str">
        <x:f>'Sessions'!I114</x:f>
        <x:v>fit | comfort | style</x:v>
      </x:c>
      <x:c r="H114" s="77" t="n">
        <x:f>LEN(C114)</x:f>
        <x:v>2657</x:v>
      </x:c>
      <x:c r="I114" s="77" t="n">
        <x:f>IF(H114&gt;2400,3,IF(H114&gt;1200,2,1))</x:f>
        <x:v>3</x:v>
      </x:c>
      <x:c r="J114" s="17" t="str">
        <x:f>IF('Sessions'!B114="intent_override","Drop superseded values before query embedding",IF('Sessions'!B114="boundary","Do not invent a value for no-preference attributes","Keep profile tags soft; current message wins"))</x:f>
        <x:v>Keep profile tags soft; current message wins</x:v>
      </x:c>
    </x:row>
    <x:row r="115" ht="72" customHeight="1">
      <x:c r="A115" t="str">
        <x:f>'Sessions'!A115</x:f>
        <x:v>public_0111</x:v>
      </x:c>
      <x:c r="B115" t="str">
        <x:f>'Target Products'!B115</x:f>
        <x:v>B07H7BWMQF</x:v>
      </x:c>
      <x:c r="C115" s="17" t="str">
        <x:f>"title: "&amp;'Target Products'!C115&amp;" | categories: "&amp;'Target Products'!D115&amp;" | features: "&amp;'Target Products'!F115&amp;" | details: "&amp;'Target Products'!G115&amp;" | description: "&amp;'Target Products'!H115</x:f>
        <x:v>title: Lacozy Women's Off Shoulder Long Sleeve Oversized Pullover Sweater Knit Jumper Loose Tunic Tops | categories: Clothing, Shoes &amp; Jewelry | Women | Clothing | Sweaters | Pullovers | features: 60% Polyester, 35% Cotton, 5% Spandex | Imported | Pull On closure | Hand Wash Only | Our off shoulder tops oversized long sleeve blouses for women are made of lightweight stretchy material, comfortable and easy to wear. It is a casual tops but not lacking sexy, the one shoulder top and batwing blouses design will give you a charming look. | Feature: Off the shoulder tops, long sleeve blouses, casual tops for women, womens fall clothes, dress shirts for women, womens tops and blouses, crop tops for women, off the shoulder dress, sweatshirt, womens tunic tops, loose strapless t shirts, knit tops, sexy shirts for women, batwing blouses, loose blouse tops, plus size shirts, flowy tops, trendy tops, elegant blouses for women. | The long sleeve pullovers for women stylish is extremely suitable for dressing as a womens fall tops. The solid colour and plain style for this dressy tops for women is simple but not boring. | Dressing this off shoulder tops up with jeans, leggings or shorts, to have a stylish and sexy look. Simple trendy design right for summer or fall vibe, also great for a casual night out, off duty functions, or a business day event. | Size: Small(US 4-6), Medium(US 8-10), Large(US 12-14), X-Large(US 16-18), 2X-Large(US 20) | details: Item Weight: 7.04 Ounces | Department: Womens | Date First Available: July 24, 2019 | description: </x:v>
      </x:c>
      <x:c r="D115" s="17" t="str">
        <x:f>"title: "&amp;'Target Products'!C115&amp;" | leaf_category: "&amp;'Target Products'!E115&amp;" | store: "&amp;'Target Products'!L115&amp;" | details: "&amp;'Target Products'!G115</x:f>
        <x:v>title: Lacozy Women's Off Shoulder Long Sleeve Oversized Pullover Sweater Knit Jumper Loose Tunic Tops | leaf_category: Pullovers | store: Lacozy | details: Item Weight: 7.04 Ounces | Department: Womens | Date First Available: July 24, 2019</x:v>
      </x:c>
      <x:c r="E115" s="17" t="str">
        <x:f>"scenario: "&amp;'Sessions'!B115&amp;" | current_message: "&amp;'Sessions'!M115&amp;" | profile_soft_tags: "&amp;'Sessions'!I115</x:f>
        <x:v>scenario: buying | current_message: I'm looking for Sweaters Pullovers. A key requirement is: polyester. | profile_soft_tags: style | durability | material</x:v>
      </x:c>
      <x:c r="F115" s="17" t="str">
        <x:f>'Intent Cards'!D115&amp;IF('Intent Cards'!F115&lt;&gt;""," | "&amp;'Intent Cards'!F115,"")</x:f>
        <x:v>polyester | 60% Polyester, 35% Cotton, 5% Spandex</x:v>
      </x:c>
      <x:c r="G115" s="17" t="str">
        <x:f>'Sessions'!I115</x:f>
        <x:v>style | durability | material</x:v>
      </x:c>
      <x:c r="H115" s="77" t="n">
        <x:f>LEN(C115)</x:f>
        <x:v>1559</x:v>
      </x:c>
      <x:c r="I115" s="77" t="n">
        <x:f>IF(H115&gt;2400,3,IF(H115&gt;1200,2,1))</x:f>
        <x:v>2</x:v>
      </x:c>
      <x:c r="J115" s="17" t="str">
        <x:f>IF('Sessions'!B115="intent_override","Drop superseded values before query embedding",IF('Sessions'!B115="boundary","Do not invent a value for no-preference attributes","Keep profile tags soft; current message wins"))</x:f>
        <x:v>Keep profile tags soft; current message wins</x:v>
      </x:c>
    </x:row>
    <x:row r="116" ht="72" customHeight="1">
      <x:c r="A116" t="str">
        <x:f>'Sessions'!A116</x:f>
        <x:v>public_0112</x:v>
      </x:c>
      <x:c r="B116" t="str">
        <x:f>'Target Products'!B116</x:f>
        <x:v>B086ZNJY8K</x:v>
      </x:c>
      <x:c r="C116" s="17" t="str">
        <x:f>"title: "&amp;'Target Products'!C116&amp;" | categories: "&amp;'Target Products'!D116&amp;" | features: "&amp;'Target Products'!F116&amp;" | details: "&amp;'Target Products'!G116&amp;" | description: "&amp;'Target Products'!H116</x:f>
        <x:v>title: Nautica Men's Casual Slip-On Fashion Sneakers-Walking Shoes-Lightweight Joggers | categories: Clothing, Shoes &amp; Jewelry | Men | Shoes | Athletic | Walking | features: Leather sole | A Lightweight Sneaker, Which Is Suitable For Running, Sports, Hiking, Walking, Tourism And Climbing. | Slip-on For Easy On And Off. | Enjoy The Comfort And Performance Of Sockliner; Rubber Outsole Provides Secure Traction | Cushioned Insole With Fabric. | Lightweight, Flexible and Comfort | details: Department: mens | Date First Available: April 11, 2020 | Manufacturer: Nautica | description: </x:v>
      </x:c>
      <x:c r="D116" s="17" t="str">
        <x:f>"title: "&amp;'Target Products'!C116&amp;" | leaf_category: "&amp;'Target Products'!E116&amp;" | store: "&amp;'Target Products'!L116&amp;" | details: "&amp;'Target Products'!G116</x:f>
        <x:v>title: Nautica Men's Casual Slip-On Fashion Sneakers-Walking Shoes-Lightweight Joggers | leaf_category: Walking | store: Nautica | details: Department: mens | Date First Available: April 11, 2020 | Manufacturer: Nautica</x:v>
      </x:c>
      <x:c r="E116" s="17" t="str">
        <x:f>"scenario: "&amp;'Sessions'!B116&amp;" | current_message: "&amp;'Sessions'!M116&amp;" | profile_soft_tags: "&amp;'Sessions'!I116</x:f>
        <x:v>scenario: boundary | current_message: I'm looking for Athletic Walking, but I'm still exploring. | profile_soft_tags: warmth | weather | comfort | performance</x:v>
      </x:c>
      <x:c r="F116" s="17" t="str">
        <x:f>'Intent Cards'!D116&amp;IF('Intent Cards'!F116&lt;&gt;""," | "&amp;'Intent Cards'!F116,"")</x:f>
        <x:v>leather | Leather sole</x:v>
      </x:c>
      <x:c r="G116" s="17" t="str">
        <x:f>'Sessions'!I116</x:f>
        <x:v>warmth | weather | comfort | performance</x:v>
      </x:c>
      <x:c r="H116" s="77" t="n">
        <x:f>LEN(C116)</x:f>
        <x:v>585</x:v>
      </x:c>
      <x:c r="I116" s="77" t="n">
        <x:f>IF(H116&gt;2400,3,IF(H116&gt;1200,2,1))</x:f>
        <x:v>1</x:v>
      </x:c>
      <x:c r="J116" s="17" t="str">
        <x:f>IF('Sessions'!B116="intent_override","Drop superseded values before query embedding",IF('Sessions'!B116="boundary","Do not invent a value for no-preference attributes","Keep profile tags soft; current message wins"))</x:f>
        <x:v>Do not invent a value for no-preference attributes</x:v>
      </x:c>
    </x:row>
    <x:row r="117" ht="72" customHeight="1">
      <x:c r="A117" t="str">
        <x:f>'Sessions'!A117</x:f>
        <x:v>public_0113</x:v>
      </x:c>
      <x:c r="B117" t="str">
        <x:f>'Target Products'!B117</x:f>
        <x:v>B08CTFPBN5</x:v>
      </x:c>
      <x:c r="C117" s="17" t="str">
        <x:f>"title: "&amp;'Target Products'!C117&amp;" | categories: "&amp;'Target Products'!D117&amp;" | features: "&amp;'Target Products'!F117&amp;" | details: "&amp;'Target Products'!G117&amp;" | description: "&amp;'Target Products'!H117</x:f>
        <x:v>title: RockDove Women's Nomad Slipper with Memory Foam | categories: Clothing, Shoes &amp; Jewelry | Women | Shoes | Slippers | features: Sherpa Fleece | Rubber sole | CLOSED HEEL - These slippers hug your feet entirely so they won't fly off when walking, especially on stairs. Made of soft uppers, you can also step over the back and wear them as slip-ons, for times when you need to quickly slip them on and go. | TOASTY WARM - Covered in plush sherpa fleece from inside to outside, this slipper will wrap your feet in a cocoon of warmth so they'll never feel cold. | CLOUDLIKE - Midsole padded with high-density memory foam and two support foams for extra cushioning; conforms to the curves of your underfoot to evenly distribute stress. Once worn you'll never want to take them off - they're that comfortable. | VERSATILE - Rubber outsole lets you step anywhere from bedroom to outdoors without switching shoes, useful for times when you need to step out for quick errands; also makes a great camp or dorm slipper that's easy to pack up (no need to ever worry about damaging or creasing the material). | DURABLE - Sole is joined to the upper via sewn side seams (not glued on), greatly improving the durability of the slipper; they're also machine washable so simply throw them in the wash and they'll come out as good as new; 100% vegan-friendly: contains no animal parts. | details: Product Dimensions: 9.8 x 7.87 x 3.5 inches | Department: Womens | Date First Available: July 12, 2020 | description: </x:v>
      </x:c>
      <x:c r="D117" s="17" t="str">
        <x:f>"title: "&amp;'Target Products'!C117&amp;" | leaf_category: "&amp;'Target Products'!E117&amp;" | store: "&amp;'Target Products'!L117&amp;" | details: "&amp;'Target Products'!G117</x:f>
        <x:v>title: RockDove Women's Nomad Slipper with Memory Foam | leaf_category: Slippers | store: RockDove | details: Product Dimensions: 9.8 x 7.87 x 3.5 inches | Department: Womens | Date First Available: July 12, 2020</x:v>
      </x:c>
      <x:c r="E117" s="17" t="str">
        <x:f>"scenario: "&amp;'Sessions'!B117&amp;" | current_message: "&amp;'Sessions'!M117&amp;" | profile_soft_tags: "&amp;'Sessions'!I117</x:f>
        <x:v>scenario: browsing | current_message: I'm looking for Shoes Slippers, but I'm still exploring. | profile_soft_tags: material | fit</x:v>
      </x:c>
      <x:c r="F117" s="17" t="str">
        <x:f>'Intent Cards'!D117&amp;IF('Intent Cards'!F117&lt;&gt;""," | "&amp;'Intent Cards'!F117,"")</x:f>
        <x:v>Sherpa Fleece | Rubber sole</x:v>
      </x:c>
      <x:c r="G117" s="17" t="str">
        <x:f>'Sessions'!I117</x:f>
        <x:v>material | fit</x:v>
      </x:c>
      <x:c r="H117" s="77" t="n">
        <x:f>LEN(C117)</x:f>
        <x:v>1503</x:v>
      </x:c>
      <x:c r="I117" s="77" t="n">
        <x:f>IF(H117&gt;2400,3,IF(H117&gt;1200,2,1))</x:f>
        <x:v>2</x:v>
      </x:c>
      <x:c r="J117" s="17" t="str">
        <x:f>IF('Sessions'!B117="intent_override","Drop superseded values before query embedding",IF('Sessions'!B117="boundary","Do not invent a value for no-preference attributes","Keep profile tags soft; current message wins"))</x:f>
        <x:v>Keep profile tags soft; current message wins</x:v>
      </x:c>
    </x:row>
    <x:row r="118" ht="72" customHeight="1">
      <x:c r="A118" t="str">
        <x:f>'Sessions'!A118</x:f>
        <x:v>public_0114</x:v>
      </x:c>
      <x:c r="B118" t="str">
        <x:f>'Target Products'!B118</x:f>
        <x:v>B07H34Z5V6</x:v>
      </x:c>
      <x:c r="C118" s="17" t="str">
        <x:f>"title: "&amp;'Target Products'!C118&amp;" | categories: "&amp;'Target Products'!D118&amp;" | features: "&amp;'Target Products'!F118&amp;" | details: "&amp;'Target Products'!G118&amp;" | description: "&amp;'Target Products'!H118</x:f>
        <x:v>title: Athlefit Women's Wedge Sneakers Hidden Heel Platform Wedge Booties Hidden Wedgie Sneakers | categories: Clothing, Shoes &amp; Jewelry | Women | Shoes | Fashion Sneakers | features: Rubber sole | Great go-to shoes with multicolor choice and steady design suitable for all age | Take a natural step forward with a clean look, for sure go with your daily t-shirt and jeans, jackets,casual midi dress,any outfit you have | Anti slip and durable rubber sole and cushioned insole keeps your balance at all time so you can enjoy any type of activity,walking,playing | Design bask in comfort, fashion and durability, the versatile wedge sneakers finished with breathable soft upper,mid wegde heel to makes you look good and feel good | Take a natural step forward with a clean look, for sure go with your daily t-shirt and jeans, jackets,casual midi dress,any outfit you have | details: Is Discontinued By Manufacturer: No | Product Dimensions: 10 x 6 x 4 inches | Department: Womens | Date First Available: September 4, 2018 | description: </x:v>
      </x:c>
      <x:c r="D118" s="17" t="str">
        <x:f>"title: "&amp;'Target Products'!C118&amp;" | leaf_category: "&amp;'Target Products'!E118&amp;" | store: "&amp;'Target Products'!L118&amp;" | details: "&amp;'Target Products'!G118</x:f>
        <x:v>title: Athlefit Women's Wedge Sneakers Hidden Heel Platform Wedge Booties Hidden Wedgie Sneakers | leaf_category: Fashion Sneakers | store: Athlefit | details: Is Discontinued By Manufacturer: No | Product Dimensions: 10 x 6 x 4 inches | Department: Womens | Date First Available: September 4, 2018</x:v>
      </x:c>
      <x:c r="E118" s="17" t="str">
        <x:f>"scenario: "&amp;'Sessions'!B118&amp;" | current_message: "&amp;'Sessions'!M118&amp;" | profile_soft_tags: "&amp;'Sessions'!I118</x:f>
        <x:v>scenario: buying | current_message: I'm looking for Shoes Fashion Sneakers. A key requirement is: Rubber sole. | profile_soft_tags: fit | style | comfort | material</x:v>
      </x:c>
      <x:c r="F118" s="17" t="str">
        <x:f>'Intent Cards'!D118&amp;IF('Intent Cards'!F118&lt;&gt;""," | "&amp;'Intent Cards'!F118,"")</x:f>
        <x:v>Rubber sole | Great go-to shoes with multicolor choice and steady design suitable for all age</x:v>
      </x:c>
      <x:c r="G118" s="17" t="str">
        <x:f>'Sessions'!I118</x:f>
        <x:v>fit | style | comfort | material</x:v>
      </x:c>
      <x:c r="H118" s="77" t="n">
        <x:f>LEN(C118)</x:f>
        <x:v>1036</x:v>
      </x:c>
      <x:c r="I118" s="77" t="n">
        <x:f>IF(H118&gt;2400,3,IF(H118&gt;1200,2,1))</x:f>
        <x:v>1</x:v>
      </x:c>
      <x:c r="J118" s="17" t="str">
        <x:f>IF('Sessions'!B118="intent_override","Drop superseded values before query embedding",IF('Sessions'!B118="boundary","Do not invent a value for no-preference attributes","Keep profile tags soft; current message wins"))</x:f>
        <x:v>Keep profile tags soft; current message wins</x:v>
      </x:c>
    </x:row>
    <x:row r="119" ht="72" customHeight="1">
      <x:c r="A119" t="str">
        <x:f>'Sessions'!A119</x:f>
        <x:v>public_0115</x:v>
      </x:c>
      <x:c r="B119" t="str">
        <x:f>'Target Products'!B119</x:f>
        <x:v>B08VWZBYPY</x:v>
      </x:c>
      <x:c r="C119" s="17" t="str">
        <x:f>"title: "&amp;'Target Products'!C119&amp;" | categories: "&amp;'Target Products'!D119&amp;" | features: "&amp;'Target Products'!F119&amp;" | details: "&amp;'Target Products'!G119&amp;" | description: "&amp;'Target Products'!H119</x:f>
        <x:v>title: PrinStory Womens Sleepwear Short Sleeve Nightgown Soft Sleepshirt Pleated Nightshirt Scoopneck Casual Loungewear | categories: Clothing, Shoes &amp; Jewelry | Women | Clothing | Lingerie, Sleep &amp; Lounge | Sleep &amp; Lounge | Nightgowns &amp; Sleepshirts | features: 95% Rayon, 5% Spandex | Imported | Machine Wash | 【Material】：95% Rayon + 5% Spandex, soft and lightweight to wear. | 【US SIZE】: Small=(US 4-6), Medium=(US 8-10), Large=(US 12-14), X-Large=(US 16-18), XX-Large=(US 20), This is true to size, please purchase according to your normal size. | 【Features】:This cute nightdress is composed of stretchy and soft knit fabric that has a rounded neckline, short sleeves, and a loose hem.This nightgown has front pleats and contrast color trimmed at the neck, cuff. It's very classic and the fit is perfectly relaxed and comfy! Leg-baring length allows you to fall into a flirty. | 【Feelings】:It's so cute and feminine! This nightshirt is just what you need for lounging around the house. Loose and light material gives you a easy and relaxed fit. Stretchy nightshirt be provided with good adaptability that makes you think about all the events you could wear this cutie to! | 【Occasions】:This sleep dress is such a versatile staple piece.This easy, relaxed fit dress is a perfect go to option for an instant outfit. Our nightgown is suitable for sleeping, lounging, reading and daily wear. And the nightdress is a good idea as a gift for your friends, mother and sister. | details: Package Dimensions: 10.99 x 8.29 x 0.27 inches; 5.6 Ounces | Department: womens | Date First Available: February 4, 2021 | description: </x:v>
      </x:c>
      <x:c r="D119" s="17" t="str">
        <x:f>"title: "&amp;'Target Products'!C119&amp;" | leaf_category: "&amp;'Target Products'!E119&amp;" | store: "&amp;'Target Products'!L119&amp;" | details: "&amp;'Target Products'!G119</x:f>
        <x:v>title: PrinStory Womens Sleepwear Short Sleeve Nightgown Soft Sleepshirt Pleated Nightshirt Scoopneck Casual Loungewear | leaf_category: Nightgowns &amp; Sleepshirts | store: PrinStory | details: Package Dimensions: 10.99 x 8.29 x 0.27 inches; 5.6 Ounces | Department: womens | Date First Available: February 4, 2021</x:v>
      </x:c>
      <x:c r="E119" s="17" t="str">
        <x:f>"scenario: "&amp;'Sessions'!B119&amp;" | current_message: "&amp;'Sessions'!M119&amp;" | profile_soft_tags: "&amp;'Sessions'!I119</x:f>
        <x:v>scenario: browsing | current_message: I'm looking for Sleep &amp; Lounge Nightgowns &amp; Sleepshirts, but I'm still exploring. | profile_soft_tags: comfort | fit | durability | style</x:v>
      </x:c>
      <x:c r="F119" s="17" t="str">
        <x:f>'Intent Cards'!D119&amp;IF('Intent Cards'!F119&lt;&gt;""," | "&amp;'Intent Cards'!F119,"")</x:f>
        <x:v>rayon | 95% Rayon, 5% Spandex</x:v>
      </x:c>
      <x:c r="G119" s="17" t="str">
        <x:f>'Sessions'!I119</x:f>
        <x:v>comfort | fit | durability | style</x:v>
      </x:c>
      <x:c r="H119" s="77" t="n">
        <x:f>LEN(C119)</x:f>
        <x:v>1619</x:v>
      </x:c>
      <x:c r="I119" s="77" t="n">
        <x:f>IF(H119&gt;2400,3,IF(H119&gt;1200,2,1))</x:f>
        <x:v>2</x:v>
      </x:c>
      <x:c r="J119" s="17" t="str">
        <x:f>IF('Sessions'!B119="intent_override","Drop superseded values before query embedding",IF('Sessions'!B119="boundary","Do not invent a value for no-preference attributes","Keep profile tags soft; current message wins"))</x:f>
        <x:v>Keep profile tags soft; current message wins</x:v>
      </x:c>
    </x:row>
    <x:row r="120" ht="72" customHeight="1">
      <x:c r="A120" t="str">
        <x:f>'Sessions'!A120</x:f>
        <x:v>public_0116</x:v>
      </x:c>
      <x:c r="B120" t="str">
        <x:f>'Target Products'!B120</x:f>
        <x:v>B07S2Y3THP</x:v>
      </x:c>
      <x:c r="C120" s="17" t="str">
        <x:f>"title: "&amp;'Target Products'!C120&amp;" | categories: "&amp;'Target Products'!D120&amp;" | features: "&amp;'Target Products'!F120&amp;" | details: "&amp;'Target Products'!G120&amp;" | description: "&amp;'Target Products'!H120</x:f>
        <x:v>title: Lugz Men's Clipper Sneaker | categories: Clothing, Shoes &amp; Jewelry | Men | Shoes | Fashion Sneakers | features: 100% Canvas | Rubber sole | Cushioned Insole for added comfort | Canvas Upper | Rubber outsole, vulcanized | Classic slip-on style with side gore panels that stretch for easy on/off | Padded collar for a comfortable fit | details: Product Dimensions: 11.9 x 7.2 x 4.1 inches; 11.6 Ounces | Item model number: MCLIPRTC-3110 | Department: Mens | Date First Available: September 21, 2015 | Manufacturer: Lugz | description: Slip these fashionable oxford sneakers on and go! The slip-on Clipper features a breathable canvas upper for superior comfort and a durable rubber outsole for excellent traction. The Clipper is that versatile sneaker you can wear anywhere!</x:v>
      </x:c>
      <x:c r="D120" s="17" t="str">
        <x:f>"title: "&amp;'Target Products'!C120&amp;" | leaf_category: "&amp;'Target Products'!E120&amp;" | store: "&amp;'Target Products'!L120&amp;" | details: "&amp;'Target Products'!G120</x:f>
        <x:v>title: Lugz Men's Clipper Sneaker | leaf_category: Fashion Sneakers | store: Lugz | details: Product Dimensions: 11.9 x 7.2 x 4.1 inches; 11.6 Ounces | Item model number: MCLIPRTC-3110 | Department: Mens | Date First Available: September 21, 2015 | Manufacturer: Lugz</x:v>
      </x:c>
      <x:c r="E120" s="17" t="str">
        <x:f>"scenario: "&amp;'Sessions'!B120&amp;" | current_message: "&amp;'Sessions'!M120&amp;" | profile_soft_tags: "&amp;'Sessions'!I120</x:f>
        <x:v>scenario: buying | current_message: I'm looking for Shoes Fashion Sneakers. A key requirement is: 100% Canvas. | profile_soft_tags: material | comfort</x:v>
      </x:c>
      <x:c r="F120" s="17" t="str">
        <x:f>'Intent Cards'!D120&amp;IF('Intent Cards'!F120&lt;&gt;""," | "&amp;'Intent Cards'!F120,"")</x:f>
        <x:v>100% Canvas | Rubber sole</x:v>
      </x:c>
      <x:c r="G120" s="17" t="str">
        <x:f>'Sessions'!I120</x:f>
        <x:v>material | comfort</x:v>
      </x:c>
      <x:c r="H120" s="77" t="n">
        <x:f>LEN(C120)</x:f>
        <x:v>779</x:v>
      </x:c>
      <x:c r="I120" s="77" t="n">
        <x:f>IF(H120&gt;2400,3,IF(H120&gt;1200,2,1))</x:f>
        <x:v>1</x:v>
      </x:c>
      <x:c r="J120" s="17" t="str">
        <x:f>IF('Sessions'!B120="intent_override","Drop superseded values before query embedding",IF('Sessions'!B120="boundary","Do not invent a value for no-preference attributes","Keep profile tags soft; current message wins"))</x:f>
        <x:v>Keep profile tags soft; current message wins</x:v>
      </x:c>
    </x:row>
    <x:row r="121" ht="72" customHeight="1">
      <x:c r="A121" t="str">
        <x:f>'Sessions'!A121</x:f>
        <x:v>public_0117</x:v>
      </x:c>
      <x:c r="B121" t="str">
        <x:f>'Target Products'!B121</x:f>
        <x:v>B07HJ18QRQ</x:v>
      </x:c>
      <x:c r="C121" s="17" t="str">
        <x:f>"title: "&amp;'Target Products'!C121&amp;" | categories: "&amp;'Target Products'!D121&amp;" | features: "&amp;'Target Products'!F121&amp;" | details: "&amp;'Target Products'!G121&amp;" | description: "&amp;'Target Products'!H121</x:f>
        <x:v>title: Vionic Sadie Women's Adjustable Strap Orthotic Slippers | categories: Clothing, Shoes &amp; Jewelry | Women | Shoes | Slippers | features: Synthetic Rubber sole | Mule-style slipper, adjustable strap with hook-and-loop closure, silvertone button detail. | Terrycloth-covered EVA midsole absorbs shock, helping reduce stress on feet, ankles, and knees. | Podiatrist-designed, biomechanical orthotic footbed with Orthaheel technology and a deep heel cup helps stabilize, support, and realign feet back to their natural position while wearing. | Available in medium width sizes: 5-11. If you are a half size, please go down a size. | Durable rubber outsole resists moisture and wave-patterned tread offers good traction on a variety of surfaces | details: Department: womens | Date First Available: September 11, 2018 | Manufacturer: Vionic | description: Vionic Sadie Slipper features podiatristdesigned orthotic footbed with a soft terrycloth lining. Wear them around the house or even outdoors as it has a sturdy outsole. The Sadie slipper is not only cozy and comfortable, it has an adjustable strap for a perfect fit and feel. The slippers that will provide comfort when you need it the most. The Sadie slipper can help provide relief for plantar fasciitis while also keeping the chill out kicking back around the house. Research supports Orthaheel Technology success in reducing overpronation, which can help relieve associated common aches and pains, such as heel pain plantar fasciitis, knee pain and lower back pain by keeping your body and feet in natural alignment.</x:v>
      </x:c>
      <x:c r="D121" s="17" t="str">
        <x:f>"title: "&amp;'Target Products'!C121&amp;" | leaf_category: "&amp;'Target Products'!E121&amp;" | store: "&amp;'Target Products'!L121&amp;" | details: "&amp;'Target Products'!G121</x:f>
        <x:v>title: Vionic Sadie Women's Adjustable Strap Orthotic Slippers | leaf_category: Slippers | store: Vionic | details: Department: womens | Date First Available: September 11, 2018 | Manufacturer: Vionic</x:v>
      </x:c>
      <x:c r="E121" s="17" t="str">
        <x:f>"scenario: "&amp;'Sessions'!B121&amp;" | current_message: "&amp;'Sessions'!M121&amp;" | profile_soft_tags: "&amp;'Sessions'!I121</x:f>
        <x:v>scenario: buying | current_message: I'm looking for Shoes Slippers. A key requirement is: Synthetic Rubber sole. | profile_soft_tags: style | comfort | durability</x:v>
      </x:c>
      <x:c r="F121" s="17" t="str">
        <x:f>'Intent Cards'!D121&amp;IF('Intent Cards'!F121&lt;&gt;""," | "&amp;'Intent Cards'!F121,"")</x:f>
        <x:v>Synthetic Rubber sole | Mule-style slipper, adjustable strap with hook-and-loop closure, silvertone button detail</x:v>
      </x:c>
      <x:c r="G121" s="17" t="str">
        <x:f>'Sessions'!I121</x:f>
        <x:v>style | comfort | durability</x:v>
      </x:c>
      <x:c r="H121" s="77" t="n">
        <x:f>LEN(C121)</x:f>
        <x:v>1576</x:v>
      </x:c>
      <x:c r="I121" s="77" t="n">
        <x:f>IF(H121&gt;2400,3,IF(H121&gt;1200,2,1))</x:f>
        <x:v>2</x:v>
      </x:c>
      <x:c r="J121" s="17" t="str">
        <x:f>IF('Sessions'!B121="intent_override","Drop superseded values before query embedding",IF('Sessions'!B121="boundary","Do not invent a value for no-preference attributes","Keep profile tags soft; current message wins"))</x:f>
        <x:v>Keep profile tags soft; current message wins</x:v>
      </x:c>
    </x:row>
    <x:row r="122" ht="72" customHeight="1">
      <x:c r="A122" t="str">
        <x:f>'Sessions'!A122</x:f>
        <x:v>public_0118</x:v>
      </x:c>
      <x:c r="B122" t="str">
        <x:f>'Target Products'!B122</x:f>
        <x:v>B09M72C8PG</x:v>
      </x:c>
      <x:c r="C122" s="17" t="str">
        <x:f>"title: "&amp;'Target Products'!C122&amp;" | categories: "&amp;'Target Products'!D122&amp;" | features: "&amp;'Target Products'!F122&amp;" | details: "&amp;'Target Products'!G122&amp;" | description: "&amp;'Target Products'!H122</x:f>
        <x:v>title: Angerella Women Vintage Polka Dot High Waisted Bathing Suits Bikini Set | categories: Clothing, Shoes &amp; Jewelry | Women | Clothing | Swimsuits &amp; Cover Ups | Bikinis | Sets | features: Nylon,Spandex | Imported | Straps closure | ♥MATERIALS: imported 82%Nylon+18%Spandex. Smooth fabric, stretchy, durable, quick-drying, pro-skin, make it easy to full on and very comfortable to wear. | ♥VARIOUS STYLE FOR YOU SELECTED:This bathing suit top with thick, soft&amp; adjustable halter straps/shoulder straps,underwired cups,Make you sexy,fashion and sute. | ♥HIGH WASITED RUCHED BIKINI BOTTOMS :Vintage printed swim bottom has tummy control effect for better curves. High waisted ruched bikini bottoms also bring a retro glamour. Multiple US sizes for you to choose from: S (US 4-6), M (US 8-10), L (US 12-14), XL (US 16-18), XXL(US 20-22). | ♥Retro Vintage High Waisted Collection was designed to exaggerate every girl's figure and waistline | ♥Package Includes:Bikini Set (top &amp; bottom).Note: color differences allowed for light effects | details: Package Dimensions: 3.15 x 2.76 x 0.39 inches; 5.29 Ounces | Item model number: AG-BKI119 | Department: Womens | Date First Available: December 17, 2020 | Manufacturer: Angerella | description: </x:v>
      </x:c>
      <x:c r="D122" s="17" t="str">
        <x:f>"title: "&amp;'Target Products'!C122&amp;" | leaf_category: "&amp;'Target Products'!E122&amp;" | store: "&amp;'Target Products'!L122&amp;" | details: "&amp;'Target Products'!G122</x:f>
        <x:v>title: Angerella Women Vintage Polka Dot High Waisted Bathing Suits Bikini Set | leaf_category: Sets | store: Angerella | details: Package Dimensions: 3.15 x 2.76 x 0.39 inches; 5.29 Ounces | Item model number: AG-BKI119 | Department: Womens | Date First Available: December 17, 2020 | Manufacturer: Angerella</x:v>
      </x:c>
      <x:c r="E122" s="17" t="str">
        <x:f>"scenario: "&amp;'Sessions'!B122&amp;" | current_message: "&amp;'Sessions'!M122&amp;" | profile_soft_tags: "&amp;'Sessions'!I122</x:f>
        <x:v>scenario: buying | current_message: I'm looking for Bikinis Sets. A key requirement is: nylon. | profile_soft_tags: comfort | fit | material | style</x:v>
      </x:c>
      <x:c r="F122" s="17" t="str">
        <x:f>'Intent Cards'!D122&amp;IF('Intent Cards'!F122&lt;&gt;""," | "&amp;'Intent Cards'!F122,"")</x:f>
        <x:v>nylon | Nylon,Spandex</x:v>
      </x:c>
      <x:c r="G122" s="17" t="str">
        <x:f>'Sessions'!I122</x:f>
        <x:v>comfort | fit | material | style</x:v>
      </x:c>
      <x:c r="H122" s="77" t="n">
        <x:f>LEN(C122)</x:f>
        <x:v>1240</x:v>
      </x:c>
      <x:c r="I122" s="77" t="n">
        <x:f>IF(H122&gt;2400,3,IF(H122&gt;1200,2,1))</x:f>
        <x:v>2</x:v>
      </x:c>
      <x:c r="J122" s="17" t="str">
        <x:f>IF('Sessions'!B122="intent_override","Drop superseded values before query embedding",IF('Sessions'!B122="boundary","Do not invent a value for no-preference attributes","Keep profile tags soft; current message wins"))</x:f>
        <x:v>Keep profile tags soft; current message wins</x:v>
      </x:c>
    </x:row>
    <x:row r="123" ht="72" customHeight="1">
      <x:c r="A123" t="str">
        <x:f>'Sessions'!A123</x:f>
        <x:v>public_0119</x:v>
      </x:c>
      <x:c r="B123" t="str">
        <x:f>'Target Products'!B123</x:f>
        <x:v>B0BBLR3QB2</x:v>
      </x:c>
      <x:c r="C123" s="17" t="str">
        <x:f>"title: "&amp;'Target Products'!C123&amp;" | categories: "&amp;'Target Products'!D123&amp;" | features: "&amp;'Target Products'!F123&amp;" | details: "&amp;'Target Products'!G123&amp;" | description: "&amp;'Target Products'!H123</x:f>
        <x:v>title: MIFORINES Ladies Summer Jelly Pillow-shaped Top Handle Handbag Candy Color Transparent Crystal Purse | categories: Clothing, Shoes &amp; Jewelry | Women | Handbags &amp; Wallets | Top-Handle Bags | features: Pvc,Resin | Imported | Material: High Quality PVC Material. Made from Natural resin, not plastic. | Size: &lt;1&gt;Big handbag:26*15*18cm/10.2"*7"*5.9"(Length*Width*Height), handle height:4.3" &lt;2&gt;Mini handbag :6.7’’(L) x 3.9’’(W) x4.7” (H), handle height :3.15”. | Closure : Double zipper lock closure for big handbag .Pay attention ,there is no lock for mini handbag. | External Design: this candy bag features fashionable runway bag style, briefcase shape, it fits different inner items; and suitable for you to go to the beach, cause it's waterproof; and Smooth and Convenient closure, practical and looks high-class. It has a cute shiny appearance and candy color, it’s perfect for daily use, especially in summer | Waterproof and fireproof ;If the bag was crushed out of shape, please soak it into the warm water of 60-70 degrees Celsius, then it will recover the original shape. | details: Is Discontinued By Manufacturer: No | Product Dimensions: 10.2 x 7 x 5.9 inches; 1.88 Pounds | Department: Womens | Date First Available: October 12, 2017 | Country of Origin: China | description: New Arrival Summer Jelly Handbag Candy Color Transparent Crystal Bag | Size: 26*15*18cm/10.2"*7"*5.9"(Length*Width*Height), handle height:4.3" ,Please pay attention ,there is no shoulder strap for this style ,if you’d like shoulder strap ,please buy it for another style in our store. This bag can accompany you to attend a lot of occasions, you can carry it for your party, shopping and dating. great birthday gift, Christmas gift for women, ladies, girls.</x:v>
      </x:c>
      <x:c r="D123" s="17" t="str">
        <x:f>"title: "&amp;'Target Products'!C123&amp;" | leaf_category: "&amp;'Target Products'!E123&amp;" | store: "&amp;'Target Products'!L123&amp;" | details: "&amp;'Target Products'!G123</x:f>
        <x:v>title: MIFORINES Ladies Summer Jelly Pillow-shaped Top Handle Handbag Candy Color Transparent Crystal Purse | leaf_category: Top-Handle Bags | store: MIFORINES | details: Is Discontinued By Manufacturer: No | Product Dimensions: 10.2 x 7 x 5.9 inches; 1.88 Pounds | Department: Womens | Date First Available: October 12, 2017 | Country of Origin: China</x:v>
      </x:c>
      <x:c r="E123" s="17" t="str">
        <x:f>"scenario: "&amp;'Sessions'!B123&amp;" | current_message: "&amp;'Sessions'!M123&amp;" | profile_soft_tags: "&amp;'Sessions'!I123</x:f>
        <x:v>scenario: buying | current_message: I'm looking for Handbags &amp; Wallets Top-Handle Bags. A key requirement is: Pvc,Resin. | profile_soft_tags: comfort | fit | style</x:v>
      </x:c>
      <x:c r="F123" s="17" t="str">
        <x:f>'Intent Cards'!D123&amp;IF('Intent Cards'!F123&lt;&gt;""," | "&amp;'Intent Cards'!F123,"")</x:f>
        <x:v>Pvc,Resin | Imported</x:v>
      </x:c>
      <x:c r="G123" s="17" t="str">
        <x:f>'Sessions'!I123</x:f>
        <x:v>comfort | fit | style</x:v>
      </x:c>
      <x:c r="H123" s="77" t="n">
        <x:f>LEN(C123)</x:f>
        <x:v>1751</x:v>
      </x:c>
      <x:c r="I123" s="77" t="n">
        <x:f>IF(H123&gt;2400,3,IF(H123&gt;1200,2,1))</x:f>
        <x:v>2</x:v>
      </x:c>
      <x:c r="J123" s="17" t="str">
        <x:f>IF('Sessions'!B123="intent_override","Drop superseded values before query embedding",IF('Sessions'!B123="boundary","Do not invent a value for no-preference attributes","Keep profile tags soft; current message wins"))</x:f>
        <x:v>Keep profile tags soft; current message wins</x:v>
      </x:c>
    </x:row>
    <x:row r="124" ht="72" customHeight="1">
      <x:c r="A124" t="str">
        <x:f>'Sessions'!A124</x:f>
        <x:v>public_0120</x:v>
      </x:c>
      <x:c r="B124" t="str">
        <x:f>'Target Products'!B124</x:f>
        <x:v>B08GPGX2QG</x:v>
      </x:c>
      <x:c r="C124" s="17" t="str">
        <x:f>"title: "&amp;'Target Products'!C124&amp;" | categories: "&amp;'Target Products'!D124&amp;" | features: "&amp;'Target Products'!F124&amp;" | details: "&amp;'Target Products'!G124&amp;" | description: "&amp;'Target Products'!H124</x:f>
        <x:v>title: SENDEFN Wallets for Women Genuine Leather Credit Card Holder with RFID Blocking Large Capacity Wristlet | categories: Clothing, Shoes &amp; Jewelry | Women | Accessories | Wallets, Card Cases &amp; Money Organizers | Wallets | features: Leather lining | Snap closure | Dry Cloth Clean | ▶[Large Capacity]◀ This women's wallet has 24 card slots and 2 ID windows, 4 receipt slots, 2 cash compartments, and 1 zipper pocket. Lots of room to carry our phones, cash, coins, cards and receipts, ID cards, driver's licenses, or families' photos. It will be a good size to hold your cards &amp; everything else you need to carry. | ▶[Well Made]◀ Our genuine leather is sturdy but very soft to the touch. Awesome stitching and quality metal on the snap, zipper, and handle. This ensures that the wallet continues to serve you. | ▶[RFID Blocking]◀ The need to secure your most crucial information keeps increasing each day. We make this possible for you by fitting each one of our purses with an RFID blocking feature. This ensures that no unauthorized persons can sniff around your purse. | ▶[Wrist Strap]◀ Are you tired of holding your wallet all the time as you move around? Would you like an easier way of handling it? Then here you have it. Each of our wallets comes with a wristlet that allows you to conveniently carry your wallet without any inconveniences whatsoever. | ▶[A Nice Gift]◀ Heavy gift box, carefully wrapped, spacious design, solid construction, stylish and lovely colors... These make our wallets a magnificent gift idea for anniversaries, birthdays, Christmas, and any other important date. | details: Brand: SENDEFN | Color: 1-Wax-Red-2 | Material: Leather | Style: Rfid Wallet | Pattern: Solid | Product Dimensions: 7.6 x 4.1 x 1.6 inches; 9.03 Ounces | Item model number: 5162 | Department: womens | Date First Available: August 26, 2020 | description: </x:v>
      </x:c>
      <x:c r="D124" s="17" t="str">
        <x:f>"title: "&amp;'Target Products'!C124&amp;" | leaf_category: "&amp;'Target Products'!E124&amp;" | store: "&amp;'Target Products'!L124&amp;" | details: "&amp;'Target Products'!G124</x:f>
        <x:v>title: SENDEFN Wallets for Women Genuine Leather Credit Card Holder with RFID Blocking Large Capacity Wristlet | leaf_category: Wallets | store: SENDEFN | details: Brand: SENDEFN | Color: 1-Wax-Red-2 | Material: Leather | Style: Rfid Wallet | Pattern: Solid | Product Dimensions: 7.6 x 4.1 x 1.6 inches; 9.03 Ounces | Item model number: 5162 | Department: womens | Date First Available: August 26, 2020</x:v>
      </x:c>
      <x:c r="E124" s="17" t="str">
        <x:f>"scenario: "&amp;'Sessions'!B124&amp;" | current_message: "&amp;'Sessions'!M124&amp;" | profile_soft_tags: "&amp;'Sessions'!I124</x:f>
        <x:v>scenario: browsing | current_message: I'm looking for Card Cases &amp; Money Organizers Wallets, but I'm still exploring. | profile_soft_tags: comfort</x:v>
      </x:c>
      <x:c r="F124" s="17" t="str">
        <x:f>'Intent Cards'!D124&amp;IF('Intent Cards'!F124&lt;&gt;""," | "&amp;'Intent Cards'!F124,"")</x:f>
        <x:v>leather | color: red</x:v>
      </x:c>
      <x:c r="G124" s="17" t="str">
        <x:f>'Sessions'!I124</x:f>
        <x:v>comfort</x:v>
      </x:c>
      <x:c r="H124" s="77" t="n">
        <x:f>LEN(C124)</x:f>
        <x:v>1863</x:v>
      </x:c>
      <x:c r="I124" s="77" t="n">
        <x:f>IF(H124&gt;2400,3,IF(H124&gt;1200,2,1))</x:f>
        <x:v>2</x:v>
      </x:c>
      <x:c r="J124" s="17" t="str">
        <x:f>IF('Sessions'!B124="intent_override","Drop superseded values before query embedding",IF('Sessions'!B124="boundary","Do not invent a value for no-preference attributes","Keep profile tags soft; current message wins"))</x:f>
        <x:v>Keep profile tags soft; current message wins</x:v>
      </x:c>
    </x:row>
    <x:row r="125" ht="72" customHeight="1">
      <x:c r="A125" t="str">
        <x:f>'Sessions'!A125</x:f>
        <x:v>public_0121</x:v>
      </x:c>
      <x:c r="B125" t="str">
        <x:f>'Target Products'!B125</x:f>
        <x:v>B08HS712ZB</x:v>
      </x:c>
      <x:c r="C125" s="17" t="str">
        <x:f>"title: "&amp;'Target Products'!C125&amp;" | categories: "&amp;'Target Products'!D125&amp;" | features: "&amp;'Target Products'!F125&amp;" | details: "&amp;'Target Products'!G125&amp;" | description: "&amp;'Target Products'!H125</x:f>
        <x:v>title: Duufin 5 Pcs Lace Bralettes for Women Bralette Padded Lace Bandeau Bra | categories: Clothing, Shoes &amp; Jewelry | Women | Clothing | Lingerie, Sleep &amp; Lounge | Lingerie | Bras | Everyday Bras | features: 91.6%Nylon, 8.4%Spandex | Classic color: package include 5 pieces lace bralettes for women in 3 classic colors, black, beige and white bralettes are available, you can free to match with different color clothes | Appropriate size: Duufin provide S-M, L-XL lace bralette, suitable for most of woman and girls in different ages, the detail parameter please refer to the picture(Notice: please check the size table carefully before place order.) | Bralette material: the woman bralettes are made of lace and modal material, insertted with curved sponge padded, which is removable, the lace bralette is soft, breathable, stretchy and comfortable to wear | Delicate design: 3 solid colors lace bralette with soft straps and insert pads, and you can remove or insert the pads according to your personal requirements | Well match: the simple and elegant bralettes are suitable for woman and girls daily wear, which are well matched with different clothes, such as skirt, T-shirt, dress, sweater and so on, you can wear the lace bralette while attending parties, doing yoga or relaxing | details: Department: Womens | Date First Available: September 10, 2020 | Manufacturer: Duufin | description: </x:v>
      </x:c>
      <x:c r="D125" s="17" t="str">
        <x:f>"title: "&amp;'Target Products'!C125&amp;" | leaf_category: "&amp;'Target Products'!E125&amp;" | store: "&amp;'Target Products'!L125&amp;" | details: "&amp;'Target Products'!G125</x:f>
        <x:v>title: Duufin 5 Pcs Lace Bralettes for Women Bralette Padded Lace Bandeau Bra | leaf_category: Everyday Bras | store: Duufin | details: Department: Womens | Date First Available: September 10, 2020 | Manufacturer: Duufin</x:v>
      </x:c>
      <x:c r="E125" s="17" t="str">
        <x:f>"scenario: "&amp;'Sessions'!B125&amp;" | current_message: "&amp;'Sessions'!M125&amp;" | profile_soft_tags: "&amp;'Sessions'!I125</x:f>
        <x:v>scenario: browsing | current_message: I'm looking for Bras Everyday Bras, but I'm still exploring. | profile_soft_tags: material | fit</x:v>
      </x:c>
      <x:c r="F125" s="17" t="str">
        <x:f>'Intent Cards'!D125&amp;IF('Intent Cards'!F125&lt;&gt;""," | "&amp;'Intent Cards'!F125,"")</x:f>
        <x:v>nylon | color: black</x:v>
      </x:c>
      <x:c r="G125" s="17" t="str">
        <x:f>'Sessions'!I125</x:f>
        <x:v>material | fit</x:v>
      </x:c>
      <x:c r="H125" s="77" t="n">
        <x:f>LEN(C125)</x:f>
        <x:v>1399</x:v>
      </x:c>
      <x:c r="I125" s="77" t="n">
        <x:f>IF(H125&gt;2400,3,IF(H125&gt;1200,2,1))</x:f>
        <x:v>2</x:v>
      </x:c>
      <x:c r="J125" s="17" t="str">
        <x:f>IF('Sessions'!B125="intent_override","Drop superseded values before query embedding",IF('Sessions'!B125="boundary","Do not invent a value for no-preference attributes","Keep profile tags soft; current message wins"))</x:f>
        <x:v>Keep profile tags soft; current message wins</x:v>
      </x:c>
    </x:row>
    <x:row r="126" ht="72" customHeight="1">
      <x:c r="A126" t="str">
        <x:f>'Sessions'!A126</x:f>
        <x:v>public_0122</x:v>
      </x:c>
      <x:c r="B126" t="str">
        <x:f>'Target Products'!B126</x:f>
        <x:v>B074KJ49F2</x:v>
      </x:c>
      <x:c r="C126" s="17" t="str">
        <x:f>"title: "&amp;'Target Products'!C126&amp;" | categories: "&amp;'Target Products'!D126&amp;" | features: "&amp;'Target Products'!F126&amp;" | details: "&amp;'Target Products'!G126&amp;" | description: "&amp;'Target Products'!H126</x:f>
        <x:v>title: Leggings Depot Premium Quality Women's Cotton Blend Stretch Pull-on Jeggings with Pockets | categories: Clothing, Shoes &amp; Jewelry | Women | Clothing | Leggings | features: 75% Cotton, 17% Polyester, 8% Spandex | Imported | Pull On closure | Machine Wash | [QUALITY FABRIC] Our jeggings pants are made of ultra-soft cotton, polyester, and spandex combination (75% cotton, 17% polyester, 8% spandex). Warm on the inside, a little heavier than regular leggings, and not overly thick. You can wear these pair of jeggings in all seasons. | [PREMIUM STRETCH &amp; COMFORT] These high-quality denim-like jeggings are a must-have for your everyday outfit. It is quite comfortable and fits like a second skin. It features the ideal amount of elasticity for comfortable pants. | [ON-TREND] This ideal women's work pants style will stand out and shape your figure. These premium jeggings dress pants with pockets offer a breathable fabric to give freedom of movement and are 4-way stretch gives your curves flexibility and gentle compression without being see-through. | [MULTI-PURPOSE] These high waisted elastic pull-on jeggings are suitable for almost any occasions. It is essential pair of jeggings great for outdoor, work, casual, and streetwear. | [Care &amp; Satisfaction] Machine washable with cold water (like colors) and tumble dry low. Satisfaction guaranteed! Free Returns in 30 days if you're not satisfied with your order! | details: Is Discontinued By Manufacturer: No | Department: Womens | Date First Available: February 7, 2017 | description: Leggings Depot keeps making efforts to offer the largest selection of high quality pants in different colors, prints and sizes including plus sizes at the most affordable prices.  One Size (Size 2-10): Waist: 26" (34" Stretched) / Front Rise: 10.5" / Back Rise: 12" / Inseam: 28"  Plus Size (Size 1X-2X): Waist: 30" (42" Stretched) / Front Rise: 10.5" / Back Rise: 12" / Inseam: 28.5"  Plus Size (Size 2X-3X): Waist: 34" (46" Stretched) / Front Rise: 11" / Back Rise: 12" / Inseam: 29"</x:v>
      </x:c>
      <x:c r="D126" s="17" t="str">
        <x:f>"title: "&amp;'Target Products'!C126&amp;" | leaf_category: "&amp;'Target Products'!E126&amp;" | store: "&amp;'Target Products'!L126&amp;" | details: "&amp;'Target Products'!G126</x:f>
        <x:v>title: Leggings Depot Premium Quality Women's Cotton Blend Stretch Pull-on Jeggings with Pockets | leaf_category: Leggings | store: LEGGINGS DEPOT | details: Is Discontinued By Manufacturer: No | Department: Womens | Date First Available: February 7, 2017</x:v>
      </x:c>
      <x:c r="E126" s="17" t="str">
        <x:f>"scenario: "&amp;'Sessions'!B126&amp;" | current_message: "&amp;'Sessions'!M126&amp;" | profile_soft_tags: "&amp;'Sessions'!I126</x:f>
        <x:v>scenario: browsing | current_message: I'm looking for Women Leggings, but I'm still exploring. | profile_soft_tags: fit | comfort | style | material</x:v>
      </x:c>
      <x:c r="F126" s="17" t="str">
        <x:f>'Intent Cards'!D126&amp;IF('Intent Cards'!F126&lt;&gt;""," | "&amp;'Intent Cards'!F126,"")</x:f>
        <x:v>cotton | 75% Cotton, 17% Polyester, 8% Spandex</x:v>
      </x:c>
      <x:c r="G126" s="17" t="str">
        <x:f>'Sessions'!I126</x:f>
        <x:v>fit | comfort | style | material</x:v>
      </x:c>
      <x:c r="H126" s="77" t="n">
        <x:f>LEN(C126)</x:f>
        <x:v>2034</x:v>
      </x:c>
      <x:c r="I126" s="77" t="n">
        <x:f>IF(H126&gt;2400,3,IF(H126&gt;1200,2,1))</x:f>
        <x:v>2</x:v>
      </x:c>
      <x:c r="J126" s="17" t="str">
        <x:f>IF('Sessions'!B126="intent_override","Drop superseded values before query embedding",IF('Sessions'!B126="boundary","Do not invent a value for no-preference attributes","Keep profile tags soft; current message wins"))</x:f>
        <x:v>Keep profile tags soft; current message wins</x:v>
      </x:c>
    </x:row>
    <x:row r="127" ht="72" customHeight="1">
      <x:c r="A127" t="str">
        <x:f>'Sessions'!A127</x:f>
        <x:v>public_0123</x:v>
      </x:c>
      <x:c r="B127" t="str">
        <x:f>'Target Products'!B127</x:f>
        <x:v>B07CZ84YFJ</x:v>
      </x:c>
      <x:c r="C127" s="17" t="str">
        <x:f>"title: "&amp;'Target Products'!C127&amp;" | categories: "&amp;'Target Products'!D127&amp;" | features: "&amp;'Target Products'!F127&amp;" | details: "&amp;'Target Products'!G127&amp;" | description: "&amp;'Target Products'!H127</x:f>
        <x:v>title: Lanzom Womens Classic Wide Brim Floppy Panama Hat Belt Buckle Wool Fedora Hat | categories: Clothing, Shoes &amp; Jewelry | Women | Accessories | Hats &amp; Caps | Fedoras | features: 65% Polyester, 35% Wool | Imported | Buckle closure | Hand Wash Only | Material:65% polyester, 35% wool,soft and comfortable to wear. | Size:One size fit all most women. Hat circumference 22.6''，fit 22"-22.8" 7 1/8-7 1/4 size; Brim 2.9" 。 | Fashion design: The uppers simple belt buckle design, add how much woman flavour | Practical:breathable, lightweight, and comfortable for all-day wear. | Occasion:A wonderful hat for wearing while gardening, at the beach, pool, park, camping, hiking, church functions, race day events, even out in your own back yard or any outdoor activities. Dress up with this elegant floppy Hat,let's go out for fun. | details: Is Discontinued By Manufacturer: No | Department: Womens | Date First Available: May 9, 2018 | description: </x:v>
      </x:c>
      <x:c r="D127" s="17" t="str">
        <x:f>"title: "&amp;'Target Products'!C127&amp;" | leaf_category: "&amp;'Target Products'!E127&amp;" | store: "&amp;'Target Products'!L127&amp;" | details: "&amp;'Target Products'!G127</x:f>
        <x:v>title: Lanzom Womens Classic Wide Brim Floppy Panama Hat Belt Buckle Wool Fedora Hat | leaf_category: Fedoras | store: Lanzom | details: Is Discontinued By Manufacturer: No | Department: Womens | Date First Available: May 9, 2018</x:v>
      </x:c>
      <x:c r="E127" s="17" t="str">
        <x:f>"scenario: "&amp;'Sessions'!B127&amp;" | current_message: "&amp;'Sessions'!M127&amp;" | profile_soft_tags: "&amp;'Sessions'!I127</x:f>
        <x:v>scenario: intent_override | current_message: I'm looking for Hats &amp; Caps Fedoras. Buckle closure | profile_soft_tags: style | fit | material | comfort</x:v>
      </x:c>
      <x:c r="F127" s="17" t="str">
        <x:f>'Intent Cards'!D127&amp;IF('Intent Cards'!F127&lt;&gt;""," | "&amp;'Intent Cards'!F127,"")</x:f>
        <x:v>wool | 65% Polyester, 35% Wool</x:v>
      </x:c>
      <x:c r="G127" s="17" t="str">
        <x:f>'Sessions'!I127</x:f>
        <x:v>style | fit | material | comfort</x:v>
      </x:c>
      <x:c r="H127" s="77" t="n">
        <x:f>LEN(C127)</x:f>
        <x:v>947</x:v>
      </x:c>
      <x:c r="I127" s="77" t="n">
        <x:f>IF(H127&gt;2400,3,IF(H127&gt;1200,2,1))</x:f>
        <x:v>1</x:v>
      </x:c>
      <x:c r="J127" s="17" t="str">
        <x:f>IF('Sessions'!B127="intent_override","Drop superseded values before query embedding",IF('Sessions'!B127="boundary","Do not invent a value for no-preference attributes","Keep profile tags soft; current message wins"))</x:f>
        <x:v>Drop superseded values before query embedding</x:v>
      </x:c>
    </x:row>
    <x:row r="128" ht="72" customHeight="1">
      <x:c r="A128" t="str">
        <x:f>'Sessions'!A128</x:f>
        <x:v>public_0124</x:v>
      </x:c>
      <x:c r="B128" t="str">
        <x:f>'Target Products'!B128</x:f>
        <x:v>B07TN1845M</x:v>
      </x:c>
      <x:c r="C128" s="17" t="str">
        <x:f>"title: "&amp;'Target Products'!C128&amp;" | categories: "&amp;'Target Products'!D128&amp;" | features: "&amp;'Target Products'!F128&amp;" | details: "&amp;'Target Products'!G128&amp;" | description: "&amp;'Target Products'!H128</x:f>
        <x:v>title: Arctic Air Adjustable Sports Cap, Beige, Hat | categories: Clothing, Shoes &amp; Jewelry | Men | Accessories | Hats &amp; Caps | Baseball Caps | features: 52% Polyester, 32% Nylon, 10% EVA, 2% POM, 2% Cotton, 2% Metal | Made in the USA | Buckle closure | Hand Wash Only | ARCTIC AIR HAT: Stay cool &amp; protected with The Arctic Air Hat. This evaporative cooling sports cap has a built-in barrier that reflects the sun's heat &amp; harmful UV rays. Wet first for the ultimate cooling effect. | STAY COOL: Features hydro-chill technology—an evaporative lining that holds &amp; gradually releases water for continuous cooling. It's breathable &amp; lightweight with ventilated panels that allow air to flow freely. | GREAT FOR TRAVEL: Perfect for the beach, travel &amp; vacation. The Arctic Hat will help you keep cool for hours while hiking, boating, golfing, fishing, walking &amp; camping. Adjustable. One size fits all. | AS SEEN ON TV: Explore our variety of fun &amp; helpful products for everyday life including: Inkjet Refill Kit, Microfiber Cloths, Dryer Balls, Swivel Sweeper, Iron Gym, Pillow Pets, Arctic Air &amp; Turbo Pump. | CONSUMER DRIVEN: Ontel offers some of the most innovative consumer products on the market including toys, hand tools, home fitness equipment, health &amp; beauty products, household items &amp; accessories. | details: Product Dimensions: 8.2 x 7.1 x 4.35 inches; 1.45 Ounces | Item model number: ACAP-CD6 | Department: Men's | Date First Available: January 2, 2020 | Manufacturer: Arctic Air | description: Beat by the heat? Tired of the harsh rays from the sun beating down on you? Ordinary hats don’t keep you cool or protect you from the sun’s harmful UV rays. Introducing Arctic Cap , the evaporative cooling hat with UV protection Arctic Cap's evaporative cooling liner retains cool water and slowly evaporates to keep you 20° F cooler than the outside temperature Simply wet the inner liner and put on Arctic Cap for instant cooling relief. Arctic Cap also has a built-in UV barrier to deflect and block over 99% of the sun’s harmful UV rays. Keeping you cool and comfortable for hours on even the hottest days</x:v>
      </x:c>
      <x:c r="D128" s="17" t="str">
        <x:f>"title: "&amp;'Target Products'!C128&amp;" | leaf_category: "&amp;'Target Products'!E128&amp;" | store: "&amp;'Target Products'!L128&amp;" | details: "&amp;'Target Products'!G128</x:f>
        <x:v>title: Arctic Air Adjustable Sports Cap, Beige, Hat | leaf_category: Baseball Caps | store: Arctic Air | details: Product Dimensions: 8.2 x 7.1 x 4.35 inches; 1.45 Ounces | Item model number: ACAP-CD6 | Department: Men's | Date First Available: January 2, 2020 | Manufacturer: Arctic Air</x:v>
      </x:c>
      <x:c r="E128" s="17" t="str">
        <x:f>"scenario: "&amp;'Sessions'!B128&amp;" | current_message: "&amp;'Sessions'!M128&amp;" | profile_soft_tags: "&amp;'Sessions'!I128</x:f>
        <x:v>scenario: buying | current_message: I'm looking for Hats &amp; Caps Baseball Caps. A key requirement is: polyester. | profile_soft_tags: fit | weather | durability | comfort</x:v>
      </x:c>
      <x:c r="F128" s="17" t="str">
        <x:f>'Intent Cards'!D128&amp;IF('Intent Cards'!F128&lt;&gt;""," | "&amp;'Intent Cards'!F128,"")</x:f>
        <x:v>polyester | 52% Polyester, 32% Nylon, 10% EVA, 2% POM, 2% Cotton, 2% Metal</x:v>
      </x:c>
      <x:c r="G128" s="17" t="str">
        <x:f>'Sessions'!I128</x:f>
        <x:v>fit | weather | durability | comfort</x:v>
      </x:c>
      <x:c r="H128" s="77" t="n">
        <x:f>LEN(C128)</x:f>
        <x:v>2116</x:v>
      </x:c>
      <x:c r="I128" s="77" t="n">
        <x:f>IF(H128&gt;2400,3,IF(H128&gt;1200,2,1))</x:f>
        <x:v>2</x:v>
      </x:c>
      <x:c r="J128" s="17" t="str">
        <x:f>IF('Sessions'!B128="intent_override","Drop superseded values before query embedding",IF('Sessions'!B128="boundary","Do not invent a value for no-preference attributes","Keep profile tags soft; current message wins"))</x:f>
        <x:v>Keep profile tags soft; current message wins</x:v>
      </x:c>
    </x:row>
    <x:row r="129" ht="72" customHeight="1">
      <x:c r="A129" t="str">
        <x:f>'Sessions'!A129</x:f>
        <x:v>public_0125</x:v>
      </x:c>
      <x:c r="B129" t="str">
        <x:f>'Target Products'!B129</x:f>
        <x:v>B07VCYFB5D</x:v>
      </x:c>
      <x:c r="C129" s="17" t="str">
        <x:f>"title: "&amp;'Target Products'!C129&amp;" | categories: "&amp;'Target Products'!D129&amp;" | features: "&amp;'Target Products'!F129&amp;" | details: "&amp;'Target Products'!G129&amp;" | description: "&amp;'Target Products'!H129</x:f>
        <x:v>title: Baseball Cap Custom Personalized Text Dad Hats for Men &amp; Women Strap Closure | categories: Clothing, Shoes &amp; Jewelry | Novelty &amp; More | Clothing | Novelty | Women | Accessories | Hats &amp; Caps | Baseball Caps | features: 100% Acrylic | Hook and Loop closure | PREMIUM QUALITY: Take your outfit to the next level with our 100% acrylic 6 panels mid-profile structured baseball hat that provides maximum comfort. Fits men and women! | HOOK &amp; LOOP CLOSURE: Our hats for women and men feature a strap closure in the back letting you easily adjust the size for a perfect fit. | PRE-CURVED BILL: Our mens hat and womens hats feature a well-made pre-curved bill to protect you from the sun and prevent dazzle. You can now play your favorite sport without being bothered by the sun! | ANTI-SWEAT BAND: Stay fresh and dry with our golf hat featuring an anti-sweat band. Exercise and play your favorite sports without having sweat running consistently into your eyes anymore! | AMERICAN CUSTOM EMBROIDERY: We take proud on being an American company and we bring you the best of custom and personalized embroidery. Simply select the color of your sun hat, and then customize it with your own text and words. Choose among a wide range of fonts and colors! | details: Item model number: CUST_CAP_001 | Department: mens | Date First Available: April 22, 2018 | Manufacturer: Speedy Pros | description: </x:v>
      </x:c>
      <x:c r="D129" s="17" t="str">
        <x:f>"title: "&amp;'Target Products'!C129&amp;" | leaf_category: "&amp;'Target Products'!E129&amp;" | store: "&amp;'Target Products'!L129&amp;" | details: "&amp;'Target Products'!G129</x:f>
        <x:v>title: Baseball Cap Custom Personalized Text Dad Hats for Men &amp; Women Strap Closure | leaf_category: Baseball Caps | store: Speedy Pros | details: Item model number: CUST_CAP_001 | Department: mens | Date First Available: April 22, 2018 | Manufacturer: Speedy Pros</x:v>
      </x:c>
      <x:c r="E129" s="17" t="str">
        <x:f>"scenario: "&amp;'Sessions'!B129&amp;" | current_message: "&amp;'Sessions'!M129&amp;" | profile_soft_tags: "&amp;'Sessions'!I129</x:f>
        <x:v>scenario: intent_override | current_message: I'm looking for Hats &amp; Caps Baseball Caps. HOOK &amp; LOOP CLOSURE: Our hats for women and men feature a strap closure in the back letting you easily adjust the size for a perfect fit | profile_soft_tags: material | fit</x:v>
      </x:c>
      <x:c r="F129" s="17" t="str">
        <x:f>'Intent Cards'!D129&amp;IF('Intent Cards'!F129&lt;&gt;""," | "&amp;'Intent Cards'!F129,"")</x:f>
        <x:v>100% Acrylic | Hook and Loop closure</x:v>
      </x:c>
      <x:c r="G129" s="17" t="str">
        <x:f>'Sessions'!I129</x:f>
        <x:v>material | fit</x:v>
      </x:c>
      <x:c r="H129" s="77" t="n">
        <x:f>LEN(C129)</x:f>
        <x:v>1392</x:v>
      </x:c>
      <x:c r="I129" s="77" t="n">
        <x:f>IF(H129&gt;2400,3,IF(H129&gt;1200,2,1))</x:f>
        <x:v>2</x:v>
      </x:c>
      <x:c r="J129" s="17" t="str">
        <x:f>IF('Sessions'!B129="intent_override","Drop superseded values before query embedding",IF('Sessions'!B129="boundary","Do not invent a value for no-preference attributes","Keep profile tags soft; current message wins"))</x:f>
        <x:v>Drop superseded values before query embedding</x:v>
      </x:c>
    </x:row>
    <x:row r="130" ht="72" customHeight="1">
      <x:c r="A130" t="str">
        <x:f>'Sessions'!A130</x:f>
        <x:v>public_0126</x:v>
      </x:c>
      <x:c r="B130" t="str">
        <x:f>'Target Products'!B130</x:f>
        <x:v>B09M84R91V</x:v>
      </x:c>
      <x:c r="C130" s="17" t="str">
        <x:f>"title: "&amp;'Target Products'!C130&amp;" | categories: "&amp;'Target Products'!D130&amp;" | features: "&amp;'Target Products'!F130&amp;" | details: "&amp;'Target Products'!G130&amp;" | description: "&amp;'Target Products'!H130</x:f>
        <x:v>title: Asvivid Womens Casual Boho Floral Print 3/4 Flare Sleeve Blouses Summer Off The Shoulder Tops Tie Knot Shirts | categories: Clothing, Shoes &amp; Jewelry | Women | Clothing | Tops, Tees &amp; Blouses | Blouses &amp; Button-Down Shirts | features: 95% Polyester, 5% Spandex | Imported | Pull On closure | Machine Washable (Recommended Hand Wash) | Item Type:Off the shoulder tops for women /blouses for women dressy casual/womens tops/shirts for women/summer tops for women/womens blouses and tops dressy/striped tops for women 3/4 sleeve/floral tops for women 3/4 sleeve /floral blouses for women business casual /going out tops for women | Elegant Womens Tops with self Tie Knot Front ,Fashion Boho Floral Shirts for Women Summer Casual. Sexy Off Shoulder,Bell sleeve top for women,Casual loose fit womens tops.Unique desigan meet your need,you will never out of style for our floral printed summer shirt,a perfect gift for your friends,roomate and yourself | Floral Bell Sleeve Chiffon Summer Blouses,suitable for dating,shopping,school,office,club,work,vacation,holiday,party ,daily life wear | Casual Loose Fit summer off the shoulder tops for women are suitable for juniors,ladies,womens;pair well with skinny leggings,jeans,pants,skirt etc for fashion look | Size: S/M/L/XL/XXL for Choice. US SIZE: S=(US 4-6), M=(US 8-10), L=(US 12-14), XL=(US 16-18), 2XL=(US 18-20). We use American standard size. Please rest assured to purchase. | details: Item model number: AF252111-P-T03 | Department: Womens | Date First Available: November 19, 2021 | description: </x:v>
      </x:c>
      <x:c r="D130" s="17" t="str">
        <x:f>"title: "&amp;'Target Products'!C130&amp;" | leaf_category: "&amp;'Target Products'!E130&amp;" | store: "&amp;'Target Products'!L130&amp;" | details: "&amp;'Target Products'!G130</x:f>
        <x:v>title: Asvivid Womens Casual Boho Floral Print 3/4 Flare Sleeve Blouses Summer Off The Shoulder Tops Tie Knot Shirts | leaf_category: Blouses &amp; Button-Down Shirts | store: Asvivid | details: Item model number: AF252111-P-T03 | Department: Womens | Date First Available: November 19, 2021</x:v>
      </x:c>
      <x:c r="E130" s="17" t="str">
        <x:f>"scenario: "&amp;'Sessions'!B130&amp;" | current_message: "&amp;'Sessions'!M130&amp;" | profile_soft_tags: "&amp;'Sessions'!I130</x:f>
        <x:v>scenario: browsing | current_message: I'm looking for Tees &amp; Blouses Blouses &amp; Button-Down Shirts, but I'm still exploring. | profile_soft_tags: material | fit</x:v>
      </x:c>
      <x:c r="F130" s="17" t="str">
        <x:f>'Intent Cards'!D130&amp;IF('Intent Cards'!F130&lt;&gt;""," | "&amp;'Intent Cards'!F130,"")</x:f>
        <x:v>polyester | 95% Polyester, 5% Spandex</x:v>
      </x:c>
      <x:c r="G130" s="17" t="str">
        <x:f>'Sessions'!I130</x:f>
        <x:v>material | fit</x:v>
      </x:c>
      <x:c r="H130" s="77" t="n">
        <x:f>LEN(C130)</x:f>
        <x:v>1557</x:v>
      </x:c>
      <x:c r="I130" s="77" t="n">
        <x:f>IF(H130&gt;2400,3,IF(H130&gt;1200,2,1))</x:f>
        <x:v>2</x:v>
      </x:c>
      <x:c r="J130" s="17" t="str">
        <x:f>IF('Sessions'!B130="intent_override","Drop superseded values before query embedding",IF('Sessions'!B130="boundary","Do not invent a value for no-preference attributes","Keep profile tags soft; current message wins"))</x:f>
        <x:v>Keep profile tags soft; current message wins</x:v>
      </x:c>
    </x:row>
    <x:row r="131" ht="72" customHeight="1">
      <x:c r="A131" t="str">
        <x:f>'Sessions'!A131</x:f>
        <x:v>public_0127</x:v>
      </x:c>
      <x:c r="B131" t="str">
        <x:f>'Target Products'!B131</x:f>
        <x:v>B0B8DX189T</x:v>
      </x:c>
      <x:c r="C131" s="17" t="str">
        <x:f>"title: "&amp;'Target Products'!C131&amp;" | categories: "&amp;'Target Products'!D131&amp;" | features: "&amp;'Target Products'!F131&amp;" | details: "&amp;'Target Products'!G131&amp;" | description: "&amp;'Target Products'!H131</x:f>
        <x:v>title: Under Armour Storm Fleece Gloves | categories: Clothing, Shoes &amp; Jewelry | Men | Accessories | Gloves &amp; Mittens | Cold Weather Gloves | features: 100% Polyester | Imported | UA Storm technology repels water without sacrificing breathability | Soft sweater-fleece exterior fabric with heathered look | Brushed Armour Fleece interior lining traps heat to keep you warm &amp; comfortable | Conductive suede tips on thumb &amp; index finger so you can use devices without taking your gloves off | Extra soft Speedwipe fleece placed on back of thumb | details: Brand: Under Armour | Material: Suede | Size: Medium | Age Range (Description): Adult | Color: Black (001)/Pitch Gray | Hand Orientation: Ambidextrous | Item Package Quantity: 1 | Product Care Instructions: Hand Wash | Item Weight: 0.1 Pounds | Closure Type: Pull On | Style: Storm Fleece Gloves | Item Package Dimensions L x W x H: 13.39 x 5.39 x 2.05 inches | Package Weight: 0.09 Kilograms | Brand Name: Under Armour | Model Name: Storm Fleece Gloves | Suggested Users: mens | Manufacturer: Under Armour Accessories | Part Number: 1365958 | Model Year: 2022 | Best Sellers Rank: [object Object] | Date First Available: October 21, 2020 | description: The Under Armour Storm Fleece Gloves are ready for those harsh chilly months. Pull on construction. Soft sweater fleece knit exterior features a heathered look. UA Storm technology repels water to keep your hands dry and comfortable. Brushed Armour Fleece interior lining traps heat to keep you warm. Conductive suede tips on thumb &amp; index finger to allow use for devices. 100% polyester.</x:v>
      </x:c>
      <x:c r="D131" s="17" t="str">
        <x:f>"title: "&amp;'Target Products'!C131&amp;" | leaf_category: "&amp;'Target Products'!E131&amp;" | store: "&amp;'Target Products'!L131&amp;" | details: "&amp;'Target Products'!G131</x:f>
        <x:v>title: Under Armour Storm Fleece Gloves | leaf_category: Cold Weather Gloves | store: Under Armour | details: Brand: Under Armour | Material: Suede | Size: Medium | Age Range (Description): Adult | Color: Black (001)/Pitch Gray | Hand Orientation: Ambidextrous | Item Package Quantity: 1 | Product Care Instructions: Hand Wash | Item Weight: 0.1 Pounds | Closure Type: Pull On | Style: Storm Fleece Gloves | Item Package Dimensions L x W x H: 13.39 x 5.39 x 2.05 inches | Package Weight: 0.09 Kilograms | Brand Name: Under Armour | Model Name: Storm Fleece Gloves | Suggested Users: mens | Manufacturer: Under Armour Accessories | Part Number: 1365958 | Model Year: 2022 | Best Sellers Rank: [object Object] | Date First Available: October 21, 2020</x:v>
      </x:c>
      <x:c r="E131" s="17" t="str">
        <x:f>"scenario: "&amp;'Sessions'!B131&amp;" | current_message: "&amp;'Sessions'!M131&amp;" | profile_soft_tags: "&amp;'Sessions'!I131</x:f>
        <x:v>scenario: browsing | current_message: I'm looking for Gloves &amp; Mittens Cold Weather Gloves, but I'm still exploring. | profile_soft_tags: material | fit | comfort | warmth</x:v>
      </x:c>
      <x:c r="F131" s="17" t="str">
        <x:f>'Intent Cards'!D131&amp;IF('Intent Cards'!F131&lt;&gt;""," | "&amp;'Intent Cards'!F131,"")</x:f>
        <x:v>polyester | color: black</x:v>
      </x:c>
      <x:c r="G131" s="17" t="str">
        <x:f>'Sessions'!I131</x:f>
        <x:v>material | fit | comfort | warmth</x:v>
      </x:c>
      <x:c r="H131" s="77" t="n">
        <x:f>LEN(C131)</x:f>
        <x:v>1597</x:v>
      </x:c>
      <x:c r="I131" s="77" t="n">
        <x:f>IF(H131&gt;2400,3,IF(H131&gt;1200,2,1))</x:f>
        <x:v>2</x:v>
      </x:c>
      <x:c r="J131" s="17" t="str">
        <x:f>IF('Sessions'!B131="intent_override","Drop superseded values before query embedding",IF('Sessions'!B131="boundary","Do not invent a value for no-preference attributes","Keep profile tags soft; current message wins"))</x:f>
        <x:v>Keep profile tags soft; current message wins</x:v>
      </x:c>
    </x:row>
    <x:row r="132" ht="72" customHeight="1">
      <x:c r="A132" t="str">
        <x:f>'Sessions'!A132</x:f>
        <x:v>public_0128</x:v>
      </x:c>
      <x:c r="B132" t="str">
        <x:f>'Target Products'!B132</x:f>
        <x:v>B0BNP1RZ2W</x:v>
      </x:c>
      <x:c r="C132" s="17" t="str">
        <x:f>"title: "&amp;'Target Products'!C132&amp;" | categories: "&amp;'Target Products'!D132&amp;" | features: "&amp;'Target Products'!F132&amp;" | details: "&amp;'Target Products'!G132&amp;" | description: "&amp;'Target Products'!H132</x:f>
        <x:v>title: PAVOI 14K Gold Plated Lightweight Chunky Open Hoops | Gold Hoop Earrings for Women | categories: Clothing, Shoes &amp; Jewelry | Women | Jewelry | Earrings | Hoop | features: ✦18K GOLD VERMEIL✦ A premium offering of our best selling styles, our vermeil jewelry is made with a solid s925 sterling silver base and plated in 18K gold that is 10x thicker than the industry standard 'plated gold'. Vermeil is a very durable, hypoallergenic material, made to last. | PAVOI 4.5mm Thick 40mm Diameter Yellow Gold Earrings for Women | ✦ 60-DAY GUARANTEE ✦ Your happiness is our number one priority. To ensure your complete satisfaction, we offer a hassle-free 60-Day money-back guarantee. To get in touch, email or chat with us - a member of our team will be happy to help you. | ✦ SUSTAINABILITY ✦ PAVOI is dedicated to sustainability throughout our entire product cycle. Our jewelry is made from 100% recycled materials and we package in 99% recycled and compostable materials. We work to reduce our carbon emissions and offset plastic consumption by removing 275,000 bottles from oceans annually. We are committed to maintain a balanced and eco-friendly business that minimizes our environmental impact. Trust that PAVOI is continuously working towards a greener future. | ✦ PROUDLY AMERICAN-OWNED ✦ | details: Department: womens | Date First Available: January 2, 2019 | Manufacturer: PAVOI | description: </x:v>
      </x:c>
      <x:c r="D132" s="17" t="str">
        <x:f>"title: "&amp;'Target Products'!C132&amp;" | leaf_category: "&amp;'Target Products'!E132&amp;" | store: "&amp;'Target Products'!L132&amp;" | details: "&amp;'Target Products'!G132</x:f>
        <x:v>title: PAVOI 14K Gold Plated Lightweight Chunky Open Hoops | Gold Hoop Earrings for Women | leaf_category: Hoop | store: PAVOI | details: Department: womens | Date First Available: January 2, 2019 | Manufacturer: PAVOI</x:v>
      </x:c>
      <x:c r="E132" s="17" t="str">
        <x:f>"scenario: "&amp;'Sessions'!B132&amp;" | current_message: "&amp;'Sessions'!M132&amp;" | profile_soft_tags: "&amp;'Sessions'!I132</x:f>
        <x:v>scenario: browsing | current_message: I'm looking for Earrings Hoop, but I'm still exploring. | profile_soft_tags: material | fit</x:v>
      </x:c>
      <x:c r="F132" s="17" t="str">
        <x:f>'Intent Cards'!D132&amp;IF('Intent Cards'!F132&lt;&gt;""," | "&amp;'Intent Cards'!F132,"")</x:f>
        <x:v>✦18K GOLD VERMEIL✦ A premium offering of our best selling styles, our vermeil jewelry is made with a solid s925 sterling silver base and plated in 18K gold that is 10x thicker than | color: yellow</x:v>
      </x:c>
      <x:c r="G132" s="17" t="str">
        <x:f>'Sessions'!I132</x:f>
        <x:v>material | fit</x:v>
      </x:c>
      <x:c r="H132" s="77" t="n">
        <x:f>LEN(C132)</x:f>
        <x:v>1404</x:v>
      </x:c>
      <x:c r="I132" s="77" t="n">
        <x:f>IF(H132&gt;2400,3,IF(H132&gt;1200,2,1))</x:f>
        <x:v>2</x:v>
      </x:c>
      <x:c r="J132" s="17" t="str">
        <x:f>IF('Sessions'!B132="intent_override","Drop superseded values before query embedding",IF('Sessions'!B132="boundary","Do not invent a value for no-preference attributes","Keep profile tags soft; current message wins"))</x:f>
        <x:v>Keep profile tags soft; current message wins</x:v>
      </x:c>
    </x:row>
    <x:row r="133" ht="72" customHeight="1">
      <x:c r="A133" t="str">
        <x:f>'Sessions'!A133</x:f>
        <x:v>public_0129</x:v>
      </x:c>
      <x:c r="B133" t="str">
        <x:f>'Target Products'!B133</x:f>
        <x:v>B0936ZJJ68</x:v>
      </x:c>
      <x:c r="C133" s="17" t="str">
        <x:f>"title: "&amp;'Target Products'!C133&amp;" | categories: "&amp;'Target Products'!D133&amp;" | features: "&amp;'Target Products'!F133&amp;" | details: "&amp;'Target Products'!G133&amp;" | description: "&amp;'Target Products'!H133</x:f>
        <x:v>title: MANGOPOP Women's Square Neck Short Sleeve Long Sleeve Tops Bodysuit Jumpsuit | categories: Clothing, Shoes &amp; Jewelry | Women | Clothing | Bodysuits | features: Stretchy fabric: 95% gossypium, 5% spandex | Imported | Snap closure | Hand wash recommended (Use a laundry bag if machine wash) | Please select your size according to size chart in the last image before ordering | Bodysuits featuring square neck, short sleeve / long sleeve | Bodysuit for women with tanga bottom, 2 snap buttons butt closure | Package content:1* Bodysuit | details: Package Dimensions: 7.87 x 7.87 x 0.39 inches; 4.94 Ounces | Department: Womens | Date First Available: April 22, 2021 | Manufacturer: MANGOPOP | description: </x:v>
      </x:c>
      <x:c r="D133" s="17" t="str">
        <x:f>"title: "&amp;'Target Products'!C133&amp;" | leaf_category: "&amp;'Target Products'!E133&amp;" | store: "&amp;'Target Products'!L133&amp;" | details: "&amp;'Target Products'!G133</x:f>
        <x:v>title: MANGOPOP Women's Square Neck Short Sleeve Long Sleeve Tops Bodysuit Jumpsuit | leaf_category: Bodysuits | store: MANGOPOP | details: Package Dimensions: 7.87 x 7.87 x 0.39 inches; 4.94 Ounces | Department: Womens | Date First Available: April 22, 2021 | Manufacturer: MANGOPOP</x:v>
      </x:c>
      <x:c r="E133" s="17" t="str">
        <x:f>"scenario: "&amp;'Sessions'!B133&amp;" | current_message: "&amp;'Sessions'!M133&amp;" | profile_soft_tags: "&amp;'Sessions'!I133</x:f>
        <x:v>scenario: buying | current_message: I'm looking for Women Bodysuits. A key requirement is: fabric. | profile_soft_tags: fit | material</x:v>
      </x:c>
      <x:c r="F133" s="17" t="str">
        <x:f>'Intent Cards'!D133&amp;IF('Intent Cards'!F133&lt;&gt;""," | "&amp;'Intent Cards'!F133,"")</x:f>
        <x:v>fabric | Stretchy fabric: 95% gossypium, 5% spandex</x:v>
      </x:c>
      <x:c r="G133" s="17" t="str">
        <x:f>'Sessions'!I133</x:f>
        <x:v>fit | material</x:v>
      </x:c>
      <x:c r="H133" s="77" t="n">
        <x:f>LEN(C133)</x:f>
        <x:v>710</x:v>
      </x:c>
      <x:c r="I133" s="77" t="n">
        <x:f>IF(H133&gt;2400,3,IF(H133&gt;1200,2,1))</x:f>
        <x:v>1</x:v>
      </x:c>
      <x:c r="J133" s="17" t="str">
        <x:f>IF('Sessions'!B133="intent_override","Drop superseded values before query embedding",IF('Sessions'!B133="boundary","Do not invent a value for no-preference attributes","Keep profile tags soft; current message wins"))</x:f>
        <x:v>Keep profile tags soft; current message wins</x:v>
      </x:c>
    </x:row>
    <x:row r="134" ht="72" customHeight="1">
      <x:c r="A134" t="str">
        <x:f>'Sessions'!A134</x:f>
        <x:v>public_0130</x:v>
      </x:c>
      <x:c r="B134" t="str">
        <x:f>'Target Products'!B134</x:f>
        <x:v>B07X9V6HZX</x:v>
      </x:c>
      <x:c r="C134" s="17" t="str">
        <x:f>"title: "&amp;'Target Products'!C134&amp;" | categories: "&amp;'Target Products'!D134&amp;" | features: "&amp;'Target Products'!F134&amp;" | details: "&amp;'Target Products'!G134&amp;" | description: "&amp;'Target Products'!H134</x:f>
        <x:v>title: POKARLA Women's High Waisted Cotton Underwear Soft Breathable Panties Stretch Briefs Regular &amp; Plus Size 5-Pack | categories: Clothing, Shoes &amp; Jewelry | Women | Clothing | Lingerie, Sleep &amp; Lounge | Lingerie | Panties | Briefs | features: 95% Cotton, 5% Spandex | Imported | Hand Wash or Machine Wash with laundry bag (30°C Max) | Pre-Shrinking Treatment - Adopting the most advanced technology (Steam Pre-shrinking) eliminates the potential of fabric shrinkage in advance to ensure that the underwear will last fit. | Lovely Color - Comfy full back coverage brief panties with wide crotch,Stretchy fabric covered waistband,softer elastic at leg opennings for all day comfortable. | Soft Hispter Panties - Cotton briefs with excellent workmanship,flat seams and edges,Fits legs snugly without cutting, waist elasticity does not cut or dig. Best choice of female friends/mothers/grandmas. | Cotton stretch panties, No Pilling,No Rolling or Bunching,Bind-proof leg openings, stays In place all day,Cotton has Fine Permeability Which Keeps you Cool and Dry. | POKARLA insists on high quality, using only high-quality cotton of origin, and the industry-leading weaving process.If you receive the defective product/wrong size/wrong items, please contact us for refund/replacement.Your suggestion will help us to improve products and provide better service. | details: Item model number: P601 | Department: womens | Date First Available: September 3, 2019 | Manufacturer: POKARLA | description: </x:v>
      </x:c>
      <x:c r="D134" s="17" t="str">
        <x:f>"title: "&amp;'Target Products'!C134&amp;" | leaf_category: "&amp;'Target Products'!E134&amp;" | store: "&amp;'Target Products'!L134&amp;" | details: "&amp;'Target Products'!G134</x:f>
        <x:v>title: POKARLA Women's High Waisted Cotton Underwear Soft Breathable Panties Stretch Briefs Regular &amp; Plus Size 5-Pack | leaf_category: Briefs | store: POKARLA | details: Item model number: P601 | Department: womens | Date First Available: September 3, 2019 | Manufacturer: POKARLA</x:v>
      </x:c>
      <x:c r="E134" s="17" t="str">
        <x:f>"scenario: "&amp;'Sessions'!B134&amp;" | current_message: "&amp;'Sessions'!M134&amp;" | profile_soft_tags: "&amp;'Sessions'!I134</x:f>
        <x:v>scenario: intent_override | current_message: I'm looking for Panties Briefs. Hand Wash or Machine Wash with laundry bag (30°C Max) | profile_soft_tags: material | fit</x:v>
      </x:c>
      <x:c r="F134" s="17" t="str">
        <x:f>'Intent Cards'!D134&amp;IF('Intent Cards'!F134&lt;&gt;""," | "&amp;'Intent Cards'!F134,"")</x:f>
        <x:v>cotton | 95% Cotton, 5% Spandex</x:v>
      </x:c>
      <x:c r="G134" s="17" t="str">
        <x:f>'Sessions'!I134</x:f>
        <x:v>material | fit</x:v>
      </x:c>
      <x:c r="H134" s="77" t="n">
        <x:f>LEN(C134)</x:f>
        <x:v>1497</x:v>
      </x:c>
      <x:c r="I134" s="77" t="n">
        <x:f>IF(H134&gt;2400,3,IF(H134&gt;1200,2,1))</x:f>
        <x:v>2</x:v>
      </x:c>
      <x:c r="J134" s="17" t="str">
        <x:f>IF('Sessions'!B134="intent_override","Drop superseded values before query embedding",IF('Sessions'!B134="boundary","Do not invent a value for no-preference attributes","Keep profile tags soft; current message wins"))</x:f>
        <x:v>Drop superseded values before query embedding</x:v>
      </x:c>
    </x:row>
    <x:row r="135" ht="72" customHeight="1">
      <x:c r="A135" t="str">
        <x:f>'Sessions'!A135</x:f>
        <x:v>public_0131</x:v>
      </x:c>
      <x:c r="B135" t="str">
        <x:f>'Target Products'!B135</x:f>
        <x:v>B07PQQQ8ZL</x:v>
      </x:c>
      <x:c r="C135" s="17" t="str">
        <x:f>"title: "&amp;'Target Products'!C135&amp;" | categories: "&amp;'Target Products'!D135&amp;" | features: "&amp;'Target Products'!F135&amp;" | details: "&amp;'Target Products'!G135&amp;" | description: "&amp;'Target Products'!H135</x:f>
        <x:v>title: Women Thigh High Socks Extra Long Cotton Knit Warm Thick Tall Long Boot Stockings Leg Warmers | categories: Clothing, Shoes &amp; Jewelry | Women | Clothing | Socks &amp; Hosiery | Leg Warmers | features: Thigh high socks: 20% Stretchy Yarn, 80% cotton | Hand Wash Only | ◆ Soft &amp; Breathable: Being knitted by cotton and stretchy yarn, the mid thigh high socks for women are comfortable, soft, lightweight and breathable. ( 80% Cotton, 20% Stretchy Yarn autumn/ winter thigh highs) | ◆ Different Wear Ways: The long socks for women are tall enough to be as the thigh socks or can be folded as over knee stockings, what is more, the knit cotton socks can be as slouch socks as well. Different wear ways, different styles! Best choice for cool/ cold weather! | ◆ Keep Warm &amp; Stylish Looks: The knee high socks are knitted with fashion cable knit pattern construction which is classic and stylish, not too thin nor too thick, not only helps keep legs warm, but also looks stylish! Fashionable to wear with boots, booties, over stockings, jeans, leggings or pants. | ◆ One Size Fit Most: Tile Size: Toe to Heel Length: about 8.3”, Heel to Top Length: about 25.6”, Suggested Women Shoe Size: 6.5 - 10. As the thigh socks for women keep elastic, so they are one size fit most, fit most figures! | ◆ Best Gift &amp; Money Guaranteed: The womens knee-high socks is the best gift for your women, and we offer 100% money guaranteed. Please feel free to contact us if you have any question about Moon Wood thigh high socks for women! | details: Is Discontinued By Manufacturer: No | Package Dimensions: 9 x 5 x 2 inches; 4.64 Ounces | Department: womens | Date First Available: November 11, 2017 | Manufacturer: Moon Wood | description: </x:v>
      </x:c>
      <x:c r="D135" s="17" t="str">
        <x:f>"title: "&amp;'Target Products'!C135&amp;" | leaf_category: "&amp;'Target Products'!E135&amp;" | store: "&amp;'Target Products'!L135&amp;" | details: "&amp;'Target Products'!G135</x:f>
        <x:v>title: Women Thigh High Socks Extra Long Cotton Knit Warm Thick Tall Long Boot Stockings Leg Warmers | leaf_category: Leg Warmers | store: Moon Wood | details: Is Discontinued By Manufacturer: No | Package Dimensions: 9 x 5 x 2 inches; 4.64 Ounces | Department: womens | Date First Available: November 11, 2017 | Manufacturer: Moon Wood</x:v>
      </x:c>
      <x:c r="E135" s="17" t="str">
        <x:f>"scenario: "&amp;'Sessions'!B135&amp;" | current_message: "&amp;'Sessions'!M135&amp;" | profile_soft_tags: "&amp;'Sessions'!I135</x:f>
        <x:v>scenario: boundary | current_message: I'm looking for Socks &amp; Hosiery Leg Warmers, but I'm still exploring. | profile_soft_tags: weather | comfort | style</x:v>
      </x:c>
      <x:c r="F135" s="17" t="str">
        <x:f>'Intent Cards'!D135&amp;IF('Intent Cards'!F135&lt;&gt;""," | "&amp;'Intent Cards'!F135,"")</x:f>
        <x:v>cotton | Thigh high socks: 20% Stretchy Yarn, 80% cotton</x:v>
      </x:c>
      <x:c r="G135" s="17" t="str">
        <x:f>'Sessions'!I135</x:f>
        <x:v>weather | comfort | style</x:v>
      </x:c>
      <x:c r="H135" s="77" t="n">
        <x:f>LEN(C135)</x:f>
        <x:v>1721</x:v>
      </x:c>
      <x:c r="I135" s="77" t="n">
        <x:f>IF(H135&gt;2400,3,IF(H135&gt;1200,2,1))</x:f>
        <x:v>2</x:v>
      </x:c>
      <x:c r="J135" s="17" t="str">
        <x:f>IF('Sessions'!B135="intent_override","Drop superseded values before query embedding",IF('Sessions'!B135="boundary","Do not invent a value for no-preference attributes","Keep profile tags soft; current message wins"))</x:f>
        <x:v>Do not invent a value for no-preference attributes</x:v>
      </x:c>
    </x:row>
    <x:row r="136" ht="72" customHeight="1">
      <x:c r="A136" t="str">
        <x:f>'Sessions'!A136</x:f>
        <x:v>public_0132</x:v>
      </x:c>
      <x:c r="B136" t="str">
        <x:f>'Target Products'!B136</x:f>
        <x:v>B08X2X83DW</x:v>
      </x:c>
      <x:c r="C136" s="17" t="str">
        <x:f>"title: "&amp;'Target Products'!C136&amp;" | categories: "&amp;'Target Products'!D136&amp;" | features: "&amp;'Target Products'!F136&amp;" | details: "&amp;'Target Products'!G136&amp;" | description: "&amp;'Target Products'!H136</x:f>
        <x:v>title: isotoner Women's Terry Slip on Clog Slipper with Memory Foam for Indoor/Outdoor Comfort | categories: Clothing, Shoes &amp; Jewelry | Women | Shoes | Slippers | features: 80% Cotton, 20% Polyester | Imported | Rubber sole | SIZING TIPS: This slipper runs small; We recommend ordering the next size up for the most comfortable and flexible fit. Available sizes: 5.5-6; 6.5-7; 7.5-8; 8.5-9; 9.5-10 | PREMIUM SOFT TERRY UPPER: Slip-on low back clog style house shoe designed with durable and luxuriously plush cotton-blend terry material for all around comfort. Indoor and outdoor sole with memory foam provide warmth and cushioned support | ARCH SUPPORT: Secret Sole technology provides arch support and extra stability providing relief to tired feet and those with plantar fasciitis | MEMORY FOAM CUSHIONING: Memory foam insole absorbs impact and provides comfort indoors and out in this sturdy slipper | VERSATILE: AND DURABLE Versatile clog styling transitions from sofa to store to bedroom and is perfect for women of all ages and lifestyles. Durable rubber outsole for traction indoor and outdoor; with skid resistant traction | PERFECT GIFT IDEA: Great present for Christmas, Easter, Mother’s Day, Birthdays, back-to-school, or Valentine's Day for your friend, wife, mother, grandma, or daughter | MACHINE WASHABLE: Crafted out of long-lasting materials, these slippers can be cleaned to help decrease the spread of germs and keep them feeling brand new. For best results, machine wash in cold water and air dry | details: Package Dimensions: 9.5 x 8 x 3.3 inches; 11.2 Ounces | Item model number: A96005 | Department: womens | Date First Available: May 4, 2015 | Manufacturer: isotoner | description: Find your happy place with Zenz. Ultra-soft; flexible; supportive; and 30% lighter than traditional slippers; the secret of Zenz lies in the revolutionary sole made with patent-pending Everywear technology. This better-than-memory-foam technology is weightless; wearproof; and resists compression for life; providing your feet with life-long comfort. The comfort of Zenz is so addictive; you will never want to take them off.</x:v>
      </x:c>
      <x:c r="D136" s="17" t="str">
        <x:f>"title: "&amp;'Target Products'!C136&amp;" | leaf_category: "&amp;'Target Products'!E136&amp;" | store: "&amp;'Target Products'!L136&amp;" | details: "&amp;'Target Products'!G136</x:f>
        <x:v>title: isotoner Women's Terry Slip on Clog Slipper with Memory Foam for Indoor/Outdoor Comfort | leaf_category: Slippers | store: isotoner | details: Package Dimensions: 9.5 x 8 x 3.3 inches; 11.2 Ounces | Item model number: A96005 | Department: womens | Date First Available: May 4, 2015 | Manufacturer: isotoner</x:v>
      </x:c>
      <x:c r="E136" s="17" t="str">
        <x:f>"scenario: "&amp;'Sessions'!B136&amp;" | current_message: "&amp;'Sessions'!M136&amp;" | profile_soft_tags: "&amp;'Sessions'!I136</x:f>
        <x:v>scenario: buying | current_message: I'm looking for Shoes Slippers. A key requirement is: cotton. | profile_soft_tags: comfort | warmth | style</x:v>
      </x:c>
      <x:c r="F136" s="17" t="str">
        <x:f>'Intent Cards'!D136&amp;IF('Intent Cards'!F136&lt;&gt;""," | "&amp;'Intent Cards'!F136,"")</x:f>
        <x:v>cotton | 80% Cotton, 20% Polyester</x:v>
      </x:c>
      <x:c r="G136" s="17" t="str">
        <x:f>'Sessions'!I136</x:f>
        <x:v>comfort | warmth | style</x:v>
      </x:c>
      <x:c r="H136" s="77" t="n">
        <x:f>LEN(C136)</x:f>
        <x:v>2134</x:v>
      </x:c>
      <x:c r="I136" s="77" t="n">
        <x:f>IF(H136&gt;2400,3,IF(H136&gt;1200,2,1))</x:f>
        <x:v>2</x:v>
      </x:c>
      <x:c r="J136" s="17" t="str">
        <x:f>IF('Sessions'!B136="intent_override","Drop superseded values before query embedding",IF('Sessions'!B136="boundary","Do not invent a value for no-preference attributes","Keep profile tags soft; current message wins"))</x:f>
        <x:v>Keep profile tags soft; current message wins</x:v>
      </x:c>
    </x:row>
    <x:row r="137" ht="72" customHeight="1">
      <x:c r="A137" t="str">
        <x:f>'Sessions'!A137</x:f>
        <x:v>public_0133</x:v>
      </x:c>
      <x:c r="B137" t="str">
        <x:f>'Target Products'!B137</x:f>
        <x:v>B01KILT64Q</x:v>
      </x:c>
      <x:c r="C137" s="17" t="str">
        <x:f>"title: "&amp;'Target Products'!C137&amp;" | categories: "&amp;'Target Products'!D137&amp;" | features: "&amp;'Target Products'!F137&amp;" | details: "&amp;'Target Products'!G137&amp;" | description: "&amp;'Target Products'!H137</x:f>
        <x:v>title: Flying Fisherman womens 7719cs sunglasses, Camo Frames/Smoke Lenses, Medium US | categories: Clothing, Shoes &amp; Jewelry | Men | Accessories | Sunglasses &amp; Eyewear Accessories | Sunglasses | features: Imported | Polycarbonate frame | Polycarbonate lens | Polarized | Scratch Resistant Coating coating | Lens width: 62 millimeters | Lens height: 38 millimeters | Bridge: 12 millimeters | Arm: 120 millimeters | BUCHANAN STYLE - FRAMES: Polycarbonate Matte Camo | LENSES: Polarized Triacetate with AcuTint | SMOKE TINT: A gray tint best for bright, sunny conditions like fishing deep water, lakes and offshore. The most natural lens color that doesn't distort colors. | BUCHANAN SIZE – LENS HEIGHT: 38MM | LENS WIDTH: 62MM | TEMPLE LENGTH: 120MM | NOSE BRIDGE: 12MM | MEDIUM FIT. | POLARIZED SUNGLASSES FOR MEN &amp; WOMEN - Flying Fisherman provides quality, affordable polarized sunglasses that are stylish and fully functional for all fishing and outdoor enthusiasts. Our sunglasses provide maximum protection from UV rays and meet or exceed FDA, ANSI and European (CE) standards. | BY FISHERMEN, FOR FISHERMEN - Maximize your outdoor experience with sunglasses developed and field tested in the Florida Keys. They offer unbeatable comfort, clarity and performance both on and off the water, and for any outdoor sport or hobby. | EXTREMELY DURABLE – Flying Fisherman Polarized Triacetate lenses are impact &amp; scratch resistant, lightweight &amp; durable. Our AcuTint polarized lens coloring system uses a select blend of pigment to enhance color contrast without distorting natural color, reducing eye strain &amp; eliminating glare. | details: Product Dimensions: 6 x 3 x 3 inches; 0.63 Ounces | Item model number: 7719CS | Department: womens | Date First Available: August 16, 2016 | Manufacturer: Flying Fisherman | description: PREMIERE COASTAL GEAR – ACTION ANGLER SERIES These sporty two-tone frames feature a full coverage, wrap around styling with vented, rubber nose pads and extended temple pads for all day comfort. Scratch resistant polarized lenses sharpen optics, reduce eye fatigue. Polarized Triacetate Lenses are Impact and Scratch Resistant, Lightweight and Durable. Flying Fisherman’s AcuTint lens coloring system offer crystal clear polarized optics, making it easier to see beneath the surface of the water, to spot fish and other structures. This a unisex design that beautifully frames both men's and women's faces. They are sure to be the perfect addition to your on-the-water accessories. THE ULTIMATE UV BLOCKER Flying Fisherman’s AcuTint lens coloring system eliminates glare and adds contrast without distorting natural colors, reducing eye strain and sharpening visual perception. AcuTint helps you play all day, whether you’re running a trail, hiking a mountain, out on the boat, deep sea fishing, floating a river, playing volleyball on the beach or any other summer trips you have planned.</x:v>
      </x:c>
      <x:c r="D137" s="17" t="str">
        <x:f>"title: "&amp;'Target Products'!C137&amp;" | leaf_category: "&amp;'Target Products'!E137&amp;" | store: "&amp;'Target Products'!L137&amp;" | details: "&amp;'Target Products'!G137</x:f>
        <x:v>title: Flying Fisherman womens 7719cs sunglasses, Camo Frames/Smoke Lenses, Medium US | leaf_category: Sunglasses | store: Flying Fisherman | details: Product Dimensions: 6 x 3 x 3 inches; 0.63 Ounces | Item model number: 7719CS | Department: womens | Date First Available: August 16, 2016 | Manufacturer: Flying Fisherman</x:v>
      </x:c>
      <x:c r="E137" s="17" t="str">
        <x:f>"scenario: "&amp;'Sessions'!B137&amp;" | current_message: "&amp;'Sessions'!M137&amp;" | profile_soft_tags: "&amp;'Sessions'!I137</x:f>
        <x:v>scenario: buying | current_message: I'm looking for Sunglasses &amp; Eyewear Accessories Sunglasses. A key requirement is: Imported. | profile_soft_tags: material | fit | style</x:v>
      </x:c>
      <x:c r="F137" s="17" t="str">
        <x:f>'Intent Cards'!D137&amp;IF('Intent Cards'!F137&lt;&gt;""," | "&amp;'Intent Cards'!F137,"")</x:f>
        <x:v>Imported | color: gray</x:v>
      </x:c>
      <x:c r="G137" s="17" t="str">
        <x:f>'Sessions'!I137</x:f>
        <x:v>material | fit | style</x:v>
      </x:c>
      <x:c r="H137" s="77" t="n">
        <x:f>LEN(C137)</x:f>
        <x:v>2914</x:v>
      </x:c>
      <x:c r="I137" s="77" t="n">
        <x:f>IF(H137&gt;2400,3,IF(H137&gt;1200,2,1))</x:f>
        <x:v>3</x:v>
      </x:c>
      <x:c r="J137" s="17" t="str">
        <x:f>IF('Sessions'!B137="intent_override","Drop superseded values before query embedding",IF('Sessions'!B137="boundary","Do not invent a value for no-preference attributes","Keep profile tags soft; current message wins"))</x:f>
        <x:v>Keep profile tags soft; current message wins</x:v>
      </x:c>
    </x:row>
    <x:row r="138" ht="72" customHeight="1">
      <x:c r="A138" t="str">
        <x:f>'Sessions'!A138</x:f>
        <x:v>public_0134</x:v>
      </x:c>
      <x:c r="B138" t="str">
        <x:f>'Target Products'!B138</x:f>
        <x:v>B081SF3QRL</x:v>
      </x:c>
      <x:c r="C138" s="17" t="str">
        <x:f>"title: "&amp;'Target Products'!C138&amp;" | categories: "&amp;'Target Products'!D138&amp;" | features: "&amp;'Target Products'!F138&amp;" | details: "&amp;'Target Products'!G138&amp;" | description: "&amp;'Target Products'!H138</x:f>
        <x:v>title: YOFANST 2pcs-12pcs Double Flare Stainless Steel Tunnels Gauges Screwed Gem Rhinestones Tunnels Plugs Stretcher Jewelry | categories: Clothing, Shoes &amp; Jewelry | Women | Jewelry | Body Jewelry | Piercing Jewelry | Tunnels | features: Gauge in Choice: 8g(3mm), 6g(4mm), 4g(5mm), 2g(6mm), 0g(8mm), 00g(10mm), 1/2"(12mm), 9/16"(14mm) | You will get 3 pairs fashion gem double flare screw-fit tunnels in same size, in same color. | Material: Stainless Steel With Rhinestones, Look Nice, Light Weight, Smooth Polish Surface and Long Lasting Color. | The screw-on method tunnels are pretty, you can twist on from one head, very easy to wear and take off. Fashion party and wedding body piercing jewelry. | Satisfaction Guarantee: All items are new. We provide no-risk refund service, just hope you have a pleasant shopping! More piercing rings / plugs / tunnels / expander in various styles can be found in our shop. | details: Item model number: Yofa17300 | Department: Boys | Date First Available: November 20, 2019 | Manufacturer: Yingrunshangmao Co.Ltd | description: </x:v>
      </x:c>
      <x:c r="D138" s="17" t="str">
        <x:f>"title: "&amp;'Target Products'!C138&amp;" | leaf_category: "&amp;'Target Products'!E138&amp;" | store: "&amp;'Target Products'!L138&amp;" | details: "&amp;'Target Products'!G138</x:f>
        <x:v>title: YOFANST 2pcs-12pcs Double Flare Stainless Steel Tunnels Gauges Screwed Gem Rhinestones Tunnels Plugs Stretcher Jewelry | leaf_category: Tunnels | store: YOFANST | details: Item model number: Yofa17300 | Department: Boys | Date First Available: November 20, 2019 | Manufacturer: Yingrunshangmao Co.Ltd</x:v>
      </x:c>
      <x:c r="E138" s="17" t="str">
        <x:f>"scenario: "&amp;'Sessions'!B138&amp;" | current_message: "&amp;'Sessions'!M138&amp;" | profile_soft_tags: "&amp;'Sessions'!I138</x:f>
        <x:v>scenario: browsing | current_message: I'm looking for Piercing Jewelry Tunnels, but I'm still exploring. | profile_soft_tags: style | fit | comfort</x:v>
      </x:c>
      <x:c r="F138" s="17" t="str">
        <x:f>'Intent Cards'!D138&amp;IF('Intent Cards'!F138&lt;&gt;""," | "&amp;'Intent Cards'!F138,"")</x:f>
        <x:v>Gauge in Choice: 8g(3mm), 6g(4mm), 4g(5mm), 2g(6mm), 0g(8mm), 00g(10mm), 1/2"(12mm), 9/16"(14mm) | You will get 3 pairs fashion gem double flare screw-fit tunnels in same size, in same color</x:v>
      </x:c>
      <x:c r="G138" s="17" t="str">
        <x:f>'Sessions'!I138</x:f>
        <x:v>style | fit | comfort</x:v>
      </x:c>
      <x:c r="H138" s="77" t="n">
        <x:f>LEN(C138)</x:f>
        <x:v>1072</x:v>
      </x:c>
      <x:c r="I138" s="77" t="n">
        <x:f>IF(H138&gt;2400,3,IF(H138&gt;1200,2,1))</x:f>
        <x:v>1</x:v>
      </x:c>
      <x:c r="J138" s="17" t="str">
        <x:f>IF('Sessions'!B138="intent_override","Drop superseded values before query embedding",IF('Sessions'!B138="boundary","Do not invent a value for no-preference attributes","Keep profile tags soft; current message wins"))</x:f>
        <x:v>Keep profile tags soft; current message wins</x:v>
      </x:c>
    </x:row>
    <x:row r="139" ht="72" customHeight="1">
      <x:c r="A139" t="str">
        <x:f>'Sessions'!A139</x:f>
        <x:v>public_0135</x:v>
      </x:c>
      <x:c r="B139" t="str">
        <x:f>'Target Products'!B139</x:f>
        <x:v>B0C6BL4RNN</x:v>
      </x:c>
      <x:c r="C139" s="17" t="str">
        <x:f>"title: "&amp;'Target Products'!C139&amp;" | categories: "&amp;'Target Products'!D139&amp;" | features: "&amp;'Target Products'!F139&amp;" | details: "&amp;'Target Products'!G139&amp;" | description: "&amp;'Target Products'!H139</x:f>
        <x:v>title: Dearfoams Women's Rebecca Lightweight Cozy Memory Foam Closed Back Slipper with Wide Widths | categories: Clothing, Shoes &amp; Jewelry | Women | Shoes | Slippers | features: 100% Polyester | Imported | Thermoplastic Elastomers sole | Shaft measures approximately not_applicable from arch | PERFECT EVERYDAY SLIPPER: These Dearfoams slippers for women are the perfect pair to slip on and off for extra warmth. The closed back design makes it easy to wear these to and from the mailbox or to let the dog out. | MEMORY FOAM INSOLE: Each slipper is fitted with a multi-density cushioned insole and topped with cloudlike, gel-infused memory foam for the ultimate in comfort. | RUBBER OUTSOLE: The bottom of the slippers is durable for use indoors and outdoors. | LUXE MATERIAL: These slippers boast a luxurious and plush inner microfiber velour material and a beautiful chenille on the outside for comfort and style. Easy care for long lasting freshness – just throw them in your washing machine! | CHOOSE YOUR SIZE: These slippers feature inclusive ladies’ sizing from 5-12. Small fits 5-6, Medium fits 7-8, Large fits 9-10, and X-Large fits 11-12. | Air dry flat | details: Item model number: 51701 | Department: Womens | Date First Available: November 16, 2021 | Manufacturer: Dearfoams | description: Add a little luxury to your day-to-day lounging! Plush velour lining and cushioned memory foam insoles pamper your feet with every step. Durable indoor/outdoor outsoles ensure support no matter where relaxation takes you!.</x:v>
      </x:c>
      <x:c r="D139" s="17" t="str">
        <x:f>"title: "&amp;'Target Products'!C139&amp;" | leaf_category: "&amp;'Target Products'!E139&amp;" | store: "&amp;'Target Products'!L139&amp;" | details: "&amp;'Target Products'!G139</x:f>
        <x:v>title: Dearfoams Women's Rebecca Lightweight Cozy Memory Foam Closed Back Slipper with Wide Widths | leaf_category: Slippers | store: Dearfoams | details: Item model number: 51701 | Department: Womens | Date First Available: November 16, 2021 | Manufacturer: Dearfoams</x:v>
      </x:c>
      <x:c r="E139" s="17" t="str">
        <x:f>"scenario: "&amp;'Sessions'!B139&amp;" | current_message: "&amp;'Sessions'!M139&amp;" | profile_soft_tags: "&amp;'Sessions'!I139</x:f>
        <x:v>scenario: buying | current_message: I'm looking for Shoes Slippers. A key requirement is: polyester. | profile_soft_tags: fit | comfort | material</x:v>
      </x:c>
      <x:c r="F139" s="17" t="str">
        <x:f>'Intent Cards'!D139&amp;IF('Intent Cards'!F139&lt;&gt;""," | "&amp;'Intent Cards'!F139,"")</x:f>
        <x:v>polyester | 100% Polyester</x:v>
      </x:c>
      <x:c r="G139" s="17" t="str">
        <x:f>'Sessions'!I139</x:f>
        <x:v>fit | comfort | material</x:v>
      </x:c>
      <x:c r="H139" s="77" t="n">
        <x:f>LEN(C139)</x:f>
        <x:v>1526</x:v>
      </x:c>
      <x:c r="I139" s="77" t="n">
        <x:f>IF(H139&gt;2400,3,IF(H139&gt;1200,2,1))</x:f>
        <x:v>2</x:v>
      </x:c>
      <x:c r="J139" s="17" t="str">
        <x:f>IF('Sessions'!B139="intent_override","Drop superseded values before query embedding",IF('Sessions'!B139="boundary","Do not invent a value for no-preference attributes","Keep profile tags soft; current message wins"))</x:f>
        <x:v>Keep profile tags soft; current message wins</x:v>
      </x:c>
    </x:row>
    <x:row r="140" ht="72" customHeight="1">
      <x:c r="A140" t="str">
        <x:f>'Sessions'!A140</x:f>
        <x:v>public_0136</x:v>
      </x:c>
      <x:c r="B140" t="str">
        <x:f>'Target Products'!B140</x:f>
        <x:v>B091F54MWM</x:v>
      </x:c>
      <x:c r="C140" s="17" t="str">
        <x:f>"title: "&amp;'Target Products'!C140&amp;" | categories: "&amp;'Target Products'!D140&amp;" | features: "&amp;'Target Products'!F140&amp;" | details: "&amp;'Target Products'!G140&amp;" | description: "&amp;'Target Products'!H140</x:f>
        <x:v>title: CAMPSNAIL 4 Pack Biker Shorts for Women High Waist - 5" Soft Summer Womens Shorts Spandex Workout Shorts for Running Athletic | categories: Clothing, Shoes &amp; Jewelry | Women | Clothing | Active | Active Shorts | features: 92% Polyester, 8% Spandex | Imported | Elastic closure | Machine Wash | YOUR SHORTS SEASON - Instead of getting other 3 pack shorts for 20ish dollars you can pay extra 1 more dollars to get CAMPSNAIL 4 PACK BIKER SHORTS. Better price, Better quality, only for better you. | HIGH WAIST DESIGN - These high-waisted bike shorts have a 5.3 inches fold-over waistband which can help to provide more support and structure. | BUTTERY SOFT - If you like your shorts on the shorter size, the 5’’ high-waisted shorts is just right. The spandex and polyester material the shorts are made out of is as soft and comfortable as a “second skin” | ULTRA-STRETCH &amp; NON-SEE THROUGH – Made with 4-way stretch that moves with your body during any workout. The thickness of our shorts is moderate, which not only ensures non-see-through but also guarantees air permeability. Say goodbye to camel toe. | BREATHABLE &amp; DURABLE FOR MULTI-OCCASION - These athletic shorts for women fit like a second skin for maximum flexibility. Our workout shorts for women can make you move more freely and focus on your biking, running, gym, volleyball or other types of workout. | details: Department: Womens | Date First Available: March 31, 2021 | Manufacturer: CAMPSNAIL | description: </x:v>
      </x:c>
      <x:c r="D140" s="17" t="str">
        <x:f>"title: "&amp;'Target Products'!C140&amp;" | leaf_category: "&amp;'Target Products'!E140&amp;" | store: "&amp;'Target Products'!L140&amp;" | details: "&amp;'Target Products'!G140</x:f>
        <x:v>title: CAMPSNAIL 4 Pack Biker Shorts for Women High Waist - 5" Soft Summer Womens Shorts Spandex Workout Shorts for Running Athletic | leaf_category: Active Shorts | store: CAMPSNAIL | details: Department: Womens | Date First Available: March 31, 2021 | Manufacturer: CAMPSNAIL</x:v>
      </x:c>
      <x:c r="E140" s="17" t="str">
        <x:f>"scenario: "&amp;'Sessions'!B140&amp;" | current_message: "&amp;'Sessions'!M140&amp;" | profile_soft_tags: "&amp;'Sessions'!I140</x:f>
        <x:v>scenario: buying | current_message: I'm looking for Active Active Shorts. A key requirement is: spandex. | profile_soft_tags: comfort | style | material</x:v>
      </x:c>
      <x:c r="F140" s="17" t="str">
        <x:f>'Intent Cards'!D140&amp;IF('Intent Cards'!F140&lt;&gt;""," | "&amp;'Intent Cards'!F140,"")</x:f>
        <x:v>spandex | 92% Polyester, 8% Spandex</x:v>
      </x:c>
      <x:c r="G140" s="17" t="str">
        <x:f>'Sessions'!I140</x:f>
        <x:v>comfort | style | material</x:v>
      </x:c>
      <x:c r="H140" s="77" t="n">
        <x:f>LEN(C140)</x:f>
        <x:v>1480</x:v>
      </x:c>
      <x:c r="I140" s="77" t="n">
        <x:f>IF(H140&gt;2400,3,IF(H140&gt;1200,2,1))</x:f>
        <x:v>2</x:v>
      </x:c>
      <x:c r="J140" s="17" t="str">
        <x:f>IF('Sessions'!B140="intent_override","Drop superseded values before query embedding",IF('Sessions'!B140="boundary","Do not invent a value for no-preference attributes","Keep profile tags soft; current message wins"))</x:f>
        <x:v>Keep profile tags soft; current message wins</x:v>
      </x:c>
    </x:row>
    <x:row r="141" ht="72" customHeight="1">
      <x:c r="A141" t="str">
        <x:f>'Sessions'!A141</x:f>
        <x:v>public_0137</x:v>
      </x:c>
      <x:c r="B141" t="str">
        <x:f>'Target Products'!B141</x:f>
        <x:v>B01N67CJGX</x:v>
      </x:c>
      <x:c r="C141" s="17" t="str">
        <x:f>"title: "&amp;'Target Products'!C141&amp;" | categories: "&amp;'Target Products'!D141&amp;" | features: "&amp;'Target Products'!F141&amp;" | details: "&amp;'Target Products'!G141&amp;" | description: "&amp;'Target Products'!H141</x:f>
        <x:v>title: DOUBLJU Lightweight Thin Zip-Up Hoodie Jacket for Women Girls Kids with Plus Size | categories: Clothing, Shoes &amp; Jewelry | Women | Clothing | Fashion Hoodies &amp; Sweatshirts | features: 60% Cotton, 40% Polyester | Zipper closure | Machine Wash | Style Note – Women’s Long Sleeve Ribbed Cuffs Cotton jacket with classic front pockets and drawstring. A casual hoodie sweatshirt made with soft, lightweight material and also skin-friendly. Produced with high quality color &amp; fabric, an essential closet staple! | Size and Color – Please refer to the size table provided below prior to purchasing. We kindly ask you to order a single size larger if you are not expecting a slim fit. Also, due to monitor settings and respective pixel definitions, we cannot guarantee the color you see on your screen as the exact color of the product. | Any Occasion – Athletic, Uniform, Casual, Jogging, Workout, Gym, Maternity, Teen / Great to pair with your favorite shorts, jeans, pants or skirts on practically any indoor and outdoor occasions. Add a pleasant delight in your daily routine with our Premium Casual Hoodie. | Gift Ideas for Your Loved Ones – Doublju provides exceptional clothes at an affordable price. We guarantee that this will be a perfect outfit for your friends, families, and beloved ones. Surprise them with a memorable gift on any upcoming birthdays and special anniversaries. They will absolutely love it! | Customers Come First – We stand firmly behind the quality and authenticity of our products, and kindly acknowledge any failures to meet your expectations. Do not hesitate to reach out to us in our office hours about all unsatisfactory deficiencies and possible issues. | details: Item model number: AWOHOL085 | Department: Womens | Date First Available: November 23, 2016 | description: </x:v>
      </x:c>
      <x:c r="D141" s="17" t="str">
        <x:f>"title: "&amp;'Target Products'!C141&amp;" | leaf_category: "&amp;'Target Products'!E141&amp;" | store: "&amp;'Target Products'!L141&amp;" | details: "&amp;'Target Products'!G141</x:f>
        <x:v>title: DOUBLJU Lightweight Thin Zip-Up Hoodie Jacket for Women Girls Kids with Plus Size | leaf_category: Fashion Hoodies &amp; Sweatshirts | store: DOUBLJU | details: Item model number: AWOHOL085 | Department: Womens | Date First Available: November 23, 2016</x:v>
      </x:c>
      <x:c r="E141" s="17" t="str">
        <x:f>"scenario: "&amp;'Sessions'!B141&amp;" | current_message: "&amp;'Sessions'!M141&amp;" | profile_soft_tags: "&amp;'Sessions'!I141</x:f>
        <x:v>scenario: browsing | current_message: I'm looking for Women Fashion Hoodies &amp; Sweatshirts, but I'm still exploring. | profile_soft_tags: comfort | weather | material | durability</x:v>
      </x:c>
      <x:c r="F141" s="17" t="str">
        <x:f>'Intent Cards'!D141&amp;IF('Intent Cards'!F141&lt;&gt;""," | "&amp;'Intent Cards'!F141,"")</x:f>
        <x:v>cotton | 60% Cotton, 40% Polyester</x:v>
      </x:c>
      <x:c r="G141" s="17" t="str">
        <x:f>'Sessions'!I141</x:f>
        <x:v>comfort | weather | material | durability</x:v>
      </x:c>
      <x:c r="H141" s="77" t="n">
        <x:f>LEN(C141)</x:f>
        <x:v>1810</x:v>
      </x:c>
      <x:c r="I141" s="77" t="n">
        <x:f>IF(H141&gt;2400,3,IF(H141&gt;1200,2,1))</x:f>
        <x:v>2</x:v>
      </x:c>
      <x:c r="J141" s="17" t="str">
        <x:f>IF('Sessions'!B141="intent_override","Drop superseded values before query embedding",IF('Sessions'!B141="boundary","Do not invent a value for no-preference attributes","Keep profile tags soft; current message wins"))</x:f>
        <x:v>Keep profile tags soft; current message wins</x:v>
      </x:c>
    </x:row>
    <x:row r="142" ht="72" customHeight="1">
      <x:c r="A142" t="str">
        <x:f>'Sessions'!A142</x:f>
        <x:v>public_0138</x:v>
      </x:c>
      <x:c r="B142" t="str">
        <x:f>'Target Products'!B142</x:f>
        <x:v>B0B4BRW7JT</x:v>
      </x:c>
      <x:c r="C142" s="17" t="str">
        <x:f>"title: "&amp;'Target Products'!C142&amp;" | categories: "&amp;'Target Products'!D142&amp;" | features: "&amp;'Target Products'!F142&amp;" | details: "&amp;'Target Products'!G142&amp;" | description: "&amp;'Target Products'!H142</x:f>
        <x:v>title: KORSIS Summer Dresses For Women Casual T Shirt Dresses Swing Flowy Beach Vacation Sundress with Pockets | categories: Clothing, Shoes &amp; Jewelry | Women | Clothing | Tops, Tees &amp; Blouses | Tunics | features: 95% Rayon, 5% Spandex | Machine Wash | Standard US Size: S(US 4-6), M(US 8-10), L(US 12-14), XL(US 16-18), XXL(US 20-22), 3XL(US 24-26). This women's casual loose dress is available in a variety of solid colors and print colors to suit your personal style. | Material: The sleeveless dress is made of 95% Rayon and 5% Spandex, which makes it soft,comfortable,stretchy, lightweight and not see through. | Features: This above-the-knee tank summer dress is a swing style, loose enough to fit comfortably over large hips, and comes with pockets. It's not too baggy, and you don't need to wear leggings with it if you don't want to. | details: Department: Womens | Date First Available: June 16, 2022 | Manufacturer: KORSIS | description: In fashion, three words can change everything: "It has pockets." | The t-shirt dress is featuring round neck, pullover style, short sleeve, solid color, loose fit and mini length | Features:Lightweight, soft,sexy flowy and stretchy</x:v>
      </x:c>
      <x:c r="D142" s="17" t="str">
        <x:f>"title: "&amp;'Target Products'!C142&amp;" | leaf_category: "&amp;'Target Products'!E142&amp;" | store: "&amp;'Target Products'!L142&amp;" | details: "&amp;'Target Products'!G142</x:f>
        <x:v>title: KORSIS Summer Dresses For Women Casual T Shirt Dresses Swing Flowy Beach Vacation Sundress with Pockets | leaf_category: Tunics | store: KORSIS | details: Department: Womens | Date First Available: June 16, 2022 | Manufacturer: KORSIS</x:v>
      </x:c>
      <x:c r="E142" s="17" t="str">
        <x:f>"scenario: "&amp;'Sessions'!B142&amp;" | current_message: "&amp;'Sessions'!M142&amp;" | profile_soft_tags: "&amp;'Sessions'!I142</x:f>
        <x:v>scenario: browsing | current_message: I'm looking for Tees &amp; Blouses Tunics, but I'm still exploring. | profile_soft_tags: performance | comfort | material | durability</x:v>
      </x:c>
      <x:c r="F142" s="17" t="str">
        <x:f>'Intent Cards'!D142&amp;IF('Intent Cards'!F142&lt;&gt;""," | "&amp;'Intent Cards'!F142,"")</x:f>
        <x:v>rayon | 95% Rayon, 5% Spandex</x:v>
      </x:c>
      <x:c r="G142" s="17" t="str">
        <x:f>'Sessions'!I142</x:f>
        <x:v>performance | comfort | material | durability</x:v>
      </x:c>
      <x:c r="H142" s="77" t="n">
        <x:f>LEN(C142)</x:f>
        <x:v>1180</x:v>
      </x:c>
      <x:c r="I142" s="77" t="n">
        <x:f>IF(H142&gt;2400,3,IF(H142&gt;1200,2,1))</x:f>
        <x:v>1</x:v>
      </x:c>
      <x:c r="J142" s="17" t="str">
        <x:f>IF('Sessions'!B142="intent_override","Drop superseded values before query embedding",IF('Sessions'!B142="boundary","Do not invent a value for no-preference attributes","Keep profile tags soft; current message wins"))</x:f>
        <x:v>Keep profile tags soft; current message wins</x:v>
      </x:c>
    </x:row>
    <x:row r="143" ht="72" customHeight="1">
      <x:c r="A143" t="str">
        <x:f>'Sessions'!A143</x:f>
        <x:v>public_0139</x:v>
      </x:c>
      <x:c r="B143" t="str">
        <x:f>'Target Products'!B143</x:f>
        <x:v>B09SGYPW3M</x:v>
      </x:c>
      <x:c r="C143" s="17" t="str">
        <x:f>"title: "&amp;'Target Products'!C143&amp;" | categories: "&amp;'Target Products'!D143&amp;" | features: "&amp;'Target Products'!F143&amp;" | details: "&amp;'Target Products'!G143&amp;" | description: "&amp;'Target Products'!H143</x:f>
        <x:v>title: OFEEFAN Womens Tops Ruffle Short Sleeve V Neck T-Shirts Casual Loose Fit | categories: Clothing, Shoes &amp; Jewelry | Women | Clothing | Tops, Tees &amp; Blouses | T-Shirts | features: Fabric: 35%Rayon,60% Polyester and 5% Spandex,very soft and comfortable for spring and summer | Cute ruffle sleeve tops for spring summer and fall, pull on and down closure | Care: Machine or hand wash in cold water, no bleach, no dry clean, hang or line dry, low iron if need | Features: Sexy v-neck t-shirts with double ruffle sleeves, short sleeve tops, solid color, fashion and trendy, add beauty to your wardrobe | Match: Goes well with shorts, jeans, leggings, sweatpants or skirts. Fashion to pair with sunglass, necklace or belt. That's easy to love all seasons | Ocassion: Simple design makes it perfect for any occasions. Good for work, daily, office, travel, running, home wear, school, dating, beach. | Comfy Tshirts: These Tshirts are make of soft and comfortable fabaric,lightweight and very comfortabke to your skin | Size: S-3XL are available, If you want a looser fit look,you can choose 1 size up. Please reference to the size guide on "Product description" below before ordering. | details: Item model number: OFE-WTS2776-Parent | Department: womens | Date First Available: February 8, 2022 | description: </x:v>
      </x:c>
      <x:c r="D143" s="17" t="str">
        <x:f>"title: "&amp;'Target Products'!C143&amp;" | leaf_category: "&amp;'Target Products'!E143&amp;" | store: "&amp;'Target Products'!L143&amp;" | details: "&amp;'Target Products'!G143</x:f>
        <x:v>title: OFEEFAN Womens Tops Ruffle Short Sleeve V Neck T-Shirts Casual Loose Fit | leaf_category: T-Shirts | store: OFEEFAN | details: Item model number: OFE-WTS2776-Parent | Department: womens | Date First Available: February 8, 2022</x:v>
      </x:c>
      <x:c r="E143" s="17" t="str">
        <x:f>"scenario: "&amp;'Sessions'!B143&amp;" | current_message: "&amp;'Sessions'!M143&amp;" | profile_soft_tags: "&amp;'Sessions'!I143</x:f>
        <x:v>scenario: browsing | current_message: I'm looking for Tees &amp; Blouses T-Shirts, but I'm still exploring. | profile_soft_tags: material | fit | comfort | durability</x:v>
      </x:c>
      <x:c r="F143" s="17" t="str">
        <x:f>'Intent Cards'!D143&amp;IF('Intent Cards'!F143&lt;&gt;""," | "&amp;'Intent Cards'!F143,"")</x:f>
        <x:v>fabric | Fabric: 35%Rayon,60% Polyester and 5% Spandex,very soft and comfortable for spring and summer</x:v>
      </x:c>
      <x:c r="G143" s="17" t="str">
        <x:f>'Sessions'!I143</x:f>
        <x:v>material | fit | comfort | durability</x:v>
      </x:c>
      <x:c r="H143" s="77" t="n">
        <x:f>LEN(C143)</x:f>
        <x:v>1310</x:v>
      </x:c>
      <x:c r="I143" s="77" t="n">
        <x:f>IF(H143&gt;2400,3,IF(H143&gt;1200,2,1))</x:f>
        <x:v>2</x:v>
      </x:c>
      <x:c r="J143" s="17" t="str">
        <x:f>IF('Sessions'!B143="intent_override","Drop superseded values before query embedding",IF('Sessions'!B143="boundary","Do not invent a value for no-preference attributes","Keep profile tags soft; current message wins"))</x:f>
        <x:v>Keep profile tags soft; current message wins</x:v>
      </x:c>
    </x:row>
    <x:row r="144" ht="72" customHeight="1">
      <x:c r="A144" t="str">
        <x:f>'Sessions'!A144</x:f>
        <x:v>public_0140</x:v>
      </x:c>
      <x:c r="B144" t="str">
        <x:f>'Target Products'!B144</x:f>
        <x:v>B09BT6LSJV</x:v>
      </x:c>
      <x:c r="C144" s="17" t="str">
        <x:f>"title: "&amp;'Target Products'!C144&amp;" | categories: "&amp;'Target Products'!D144&amp;" | features: "&amp;'Target Products'!F144&amp;" | details: "&amp;'Target Products'!G144&amp;" | description: "&amp;'Target Products'!H144</x:f>
        <x:v>title: Grlasen Women's Casual Long Blazers Ruched 3/4 Sleeve Lapel Oversized Suit Jacket Elegant Work Office Blazer Jackets | categories: Clothing, Shoes &amp; Jewelry | Women | Clothing | Suiting &amp; Blazers | Blazers | features: Polyester,Spandex | Polyester lining | Button closure | Machine Wash | Material: Polyester&amp;Spandex. Soft fabric. This long blazer jackets comes with a full lining. Soft and Comfortable to Wear. | Features: Basic lapel collar oversized blazers for women, a single front button design, solid color,two functional pockets, perfectly carrying some necessity, or nailing a chic look. | Pair with: This casual blazer for women perfectly hug your chest and waist. Great with your favorite skinny jeans leggings or boots, and so on. | Occasions：Practical straight business casual blazer, suitable for both casual and formal wear. This womens suit jacket can be paired with a shirt, pumps and skinny pants, Soft and stretch fabric makes it breathable and comfortable. Great for casual, formal, business wear and other special events. | Garment Care: Machine Wash With Cold Water/ Line Dry/ Not Bleach. | details: Department: womens | Date First Available: August 3, 2021 | description: </x:v>
      </x:c>
      <x:c r="D144" s="17" t="str">
        <x:f>"title: "&amp;'Target Products'!C144&amp;" | leaf_category: "&amp;'Target Products'!E144&amp;" | store: "&amp;'Target Products'!L144&amp;" | details: "&amp;'Target Products'!G144</x:f>
        <x:v>title: Grlasen Women's Casual Long Blazers Ruched 3/4 Sleeve Lapel Oversized Suit Jacket Elegant Work Office Blazer Jackets | leaf_category: Blazers | store: Grlasen | details: Department: womens | Date First Available: August 3, 2021</x:v>
      </x:c>
      <x:c r="E144" s="17" t="str">
        <x:f>"scenario: "&amp;'Sessions'!B144&amp;" | current_message: "&amp;'Sessions'!M144&amp;" | profile_soft_tags: "&amp;'Sessions'!I144</x:f>
        <x:v>scenario: browsing | current_message: I'm looking for Suiting &amp; Blazers Blazers, but I'm still exploring. | profile_soft_tags: fit | comfort | material | style</x:v>
      </x:c>
      <x:c r="F144" s="17" t="str">
        <x:f>'Intent Cards'!D144&amp;IF('Intent Cards'!F144&lt;&gt;""," | "&amp;'Intent Cards'!F144,"")</x:f>
        <x:v>polyester | Polyester,Spandex</x:v>
      </x:c>
      <x:c r="G144" s="17" t="str">
        <x:f>'Sessions'!I144</x:f>
        <x:v>fit | comfort | material | style</x:v>
      </x:c>
      <x:c r="H144" s="77" t="n">
        <x:f>LEN(C144)</x:f>
        <x:v>1202</x:v>
      </x:c>
      <x:c r="I144" s="77" t="n">
        <x:f>IF(H144&gt;2400,3,IF(H144&gt;1200,2,1))</x:f>
        <x:v>2</x:v>
      </x:c>
      <x:c r="J144" s="17" t="str">
        <x:f>IF('Sessions'!B144="intent_override","Drop superseded values before query embedding",IF('Sessions'!B144="boundary","Do not invent a value for no-preference attributes","Keep profile tags soft; current message wins"))</x:f>
        <x:v>Keep profile tags soft; current message wins</x:v>
      </x:c>
    </x:row>
    <x:row r="145" ht="72" customHeight="1">
      <x:c r="A145" t="str">
        <x:f>'Sessions'!A145</x:f>
        <x:v>public_0141</x:v>
      </x:c>
      <x:c r="B145" t="str">
        <x:f>'Target Products'!B145</x:f>
        <x:v>B0BLH7JHG8</x:v>
      </x:c>
      <x:c r="C145" s="17" t="str">
        <x:f>"title: "&amp;'Target Products'!C145&amp;" | categories: "&amp;'Target Products'!D145&amp;" | features: "&amp;'Target Products'!F145&amp;" | details: "&amp;'Target Products'!G145&amp;" | description: "&amp;'Target Products'!H145</x:f>
        <x:v>title: Fzroezz 6Pcs Nose Studs L Shaped 20 Gauge Nose Piercings Nose Rings Studs Nose Piercing Jewelry Nose Piercing Stud Surgical Steel Nose Ring Nose Rings Studs Jewelry for Women Men 20G 2mm 2.5mm 3mm CZ Gold Silver Rose Gold | categories: Clothing, Shoes &amp; Jewelry | Women | Jewelry | Body Jewelry | Piercing Jewelry | Screws | features: You will receive 6 Pcs silver nose studs, coming with one free gift velvet bag. Can be used as nose rings, nose piercings, nose rings studs, nose piercing jewelry, nostril piercing jewelry, nose jewelry, stud nose rings etc. | Nose Rings Studs Size: 20 gauge (0.8mm), Pin Length: 7mm (9/32"), Round Cubic Zirconia Size: 2mm. Easy to Put In and Take Off, absolutely make you feel beautiful, comfortable, happier and unique. Definitely worth the try! | High quality 316L surgical stainless steel, hypoallergenic, nickel and lead free, never rust and tarnish resistance, lightweight. High-polished finishing and electroplating, super smooth and shiny. | The best gift for women men teens: perfect for daily using, best gift for Birthday, Graduation, Back to school, Halloween, Thanksgiving Day, Christmas Day, Valentine's Day, Mother's Day, Father's Day, Anniversary Day and more | 90 DAY GUARANTEE POLICY: If you are not satisfied with the multifunction nose rings studs nose piercing jewelry, We will give you Money Back or Exchange Guarantee. | details: Department: womens | Date First Available: November 4, 2022 | description: Fzroezz 6Pcs Nose Studs Nose Piercings Nose Rings Studs Nose Piercing Jewelry Nose Piercing Stud 20 Gauge Surgical Steel Nose Ring Nose Rings Studs Jewelry for Women Men 20G 2mm 2.5mm 3mm CZ Gold Silver Rose Gold  FEATURES: ⭐️ Our nose rings studs is made of high-quality 316L surgical stainless steel, hypoallergenic, lightweight, so your nose won't get red and irritated and itchy  ⭐️ The ends of our stud nose rings are round after polished, so they won’t scratch your skin  ⭐️ The 316L surgical steel never rust and tarnish resistance, high-polished finishing and electroplating, super smooth and shiny  Why Choose Us? A. One By One Quality Control, 100% Quality Inspection. B. Comfortable and Hyperallergic Nose Studs set, solid expensive-looking and Durable. C. We offer 90 days money back. Feel free to buy. Affordable price and high average review rating of jewelry collection. D. Fast shipping from US Amazon warehouse. Any problem can contact customer service.  Caring of Nose Studs Rings Jewelry for Women Girls Teens Men: 1. Avoid chemicals, avoid impact and scratches. 2. Wipe with a soft dry cloth after wearing. 3. Small parts.Not suitable for children under 10 years old.</x:v>
      </x:c>
      <x:c r="D145" s="17" t="str">
        <x:f>"title: "&amp;'Target Products'!C145&amp;" | leaf_category: "&amp;'Target Products'!E145&amp;" | store: "&amp;'Target Products'!L145&amp;" | details: "&amp;'Target Products'!G145</x:f>
        <x:v>title: Fzroezz 6Pcs Nose Studs L Shaped 20 Gauge Nose Piercings Nose Rings Studs Nose Piercing Jewelry Nose Piercing Stud Surgical Steel Nose Ring Nose Rings Studs Jewelry for Women Men 20G 2mm 2.5mm 3mm CZ Gold Silver Rose Gold | leaf_category: Screws | store: Fzroezz | details: Department: womens | Date First Available: November 4, 2022</x:v>
      </x:c>
      <x:c r="E145" s="17" t="str">
        <x:f>"scenario: "&amp;'Sessions'!B145&amp;" | current_message: "&amp;'Sessions'!M145&amp;" | profile_soft_tags: "&amp;'Sessions'!I145</x:f>
        <x:v>scenario: browsing | current_message: I'm looking for Piercing Jewelry Screws, but I'm still exploring. | profile_soft_tags: material | fit</x:v>
      </x:c>
      <x:c r="F145" s="17" t="str">
        <x:f>'Intent Cards'!D145&amp;IF('Intent Cards'!F145&lt;&gt;""," | "&amp;'Intent Cards'!F145,"")</x:f>
        <x:v>You will receive 6 Pcs silver nose studs, coming with one free gift velvet bag. Can be used as nose rings, nose piercings, nose rings studs, nose piercing jewelry, nostril piercing | color: red</x:v>
      </x:c>
      <x:c r="G145" s="17" t="str">
        <x:f>'Sessions'!I145</x:f>
        <x:v>material | fit</x:v>
      </x:c>
      <x:c r="H145" s="77" t="n">
        <x:f>LEN(C145)</x:f>
        <x:v>2658</x:v>
      </x:c>
      <x:c r="I145" s="77" t="n">
        <x:f>IF(H145&gt;2400,3,IF(H145&gt;1200,2,1))</x:f>
        <x:v>3</x:v>
      </x:c>
      <x:c r="J145" s="17" t="str">
        <x:f>IF('Sessions'!B145="intent_override","Drop superseded values before query embedding",IF('Sessions'!B145="boundary","Do not invent a value for no-preference attributes","Keep profile tags soft; current message wins"))</x:f>
        <x:v>Keep profile tags soft; current message wins</x:v>
      </x:c>
    </x:row>
    <x:row r="146" ht="72" customHeight="1">
      <x:c r="A146" t="str">
        <x:f>'Sessions'!A146</x:f>
        <x:v>public_0142</x:v>
      </x:c>
      <x:c r="B146" t="str">
        <x:f>'Target Products'!B146</x:f>
        <x:v>B07YRGC1Q1</x:v>
      </x:c>
      <x:c r="C146" s="17" t="str">
        <x:f>"title: "&amp;'Target Products'!C146&amp;" | categories: "&amp;'Target Products'!D146&amp;" | features: "&amp;'Target Products'!F146&amp;" | details: "&amp;'Target Products'!G146&amp;" | description: "&amp;'Target Products'!H146</x:f>
        <x:v>title: Feraco Mens Bikers Bracelet Stainless Steel Motorcycle Bike Chain Bracelets 8.4 Inch | categories: Clothing, Shoes &amp; Jewelry | Men | Jewelry | Bracelets | Link | features: Stainless Steel Bike Bracelet: Handcrafted with high quality material, 100% HYPOALLERGENIC, Lead &amp; Nickel Free, Stronger and very LOW MAINTENANCE Metal, long lasting IP vacuum Plating, Not Tarnish. | Unique Design: Inspire from Royal Knight, high polished bright chain links, with strong fold-over clasp, personalized colors match can highlights the low-key but noble quality and punk style. | Bracelet Size: Length-8.34 inch, width-0.4 inch, weight: 54g. smooth chain, lightweight and comfortable to wear, perfect for bike enthusiasts etc | Ideal Gifts: Cool bike chain bracelet packed with a delicate velvet gift bag, great for boys, boyfriend, dad, husband, friends, teens or other sport fan during Birthday, Anniversary. | Guarantee: 90-Day Money-back and 100% satisfaction, We promise nice price with good quality, the same as picture and description. If you have any not satisfy, pls feel free to contact us. | details: Material: Stainless Steel | Color: Black Red | Brand: Feraco | Style: Chain,Personalized | Age Range (Description): Adult | Item model number: USGE191006002 | Department: boys | Date First Available: October 6, 2019 | Manufacturer: Feraco | description: </x:v>
      </x:c>
      <x:c r="D146" s="17" t="str">
        <x:f>"title: "&amp;'Target Products'!C146&amp;" | leaf_category: "&amp;'Target Products'!E146&amp;" | store: "&amp;'Target Products'!L146&amp;" | details: "&amp;'Target Products'!G146</x:f>
        <x:v>title: Feraco Mens Bikers Bracelet Stainless Steel Motorcycle Bike Chain Bracelets 8.4 Inch | leaf_category: Link | store: Feraco | details: Material: Stainless Steel | Color: Black Red | Brand: Feraco | Style: Chain,Personalized | Age Range (Description): Adult | Item model number: USGE191006002 | Department: boys | Date First Available: October 6, 2019 | Manufacturer: Feraco</x:v>
      </x:c>
      <x:c r="E146" s="17" t="str">
        <x:f>"scenario: "&amp;'Sessions'!B146&amp;" | current_message: "&amp;'Sessions'!M146&amp;" | profile_soft_tags: "&amp;'Sessions'!I146</x:f>
        <x:v>scenario: intent_override | current_message: I'm looking for Bracelets Link. Bracelet Size: Length-8.34 inch, width-0.4 inch, weight: 54g. smooth chain, lightweight and comfortable to wear, perfect for bike enthusiasts etc | profile_soft_tags: warmth | performance | material | fit</x:v>
      </x:c>
      <x:c r="F146" s="17" t="str">
        <x:f>'Intent Cards'!D146&amp;IF('Intent Cards'!F146&lt;&gt;""," | "&amp;'Intent Cards'!F146,"")</x:f>
        <x:v>Stainless Steel Bike Bracelet: Handcrafted with high quality material, 100% HYPOALLERGENIC, Lead &amp; Nickel Free, Stronger and very LOW MAINTENANCE Metal, long lasting IP vacuum Plat | color: black</x:v>
      </x:c>
      <x:c r="G146" s="17" t="str">
        <x:f>'Sessions'!I146</x:f>
        <x:v>warmth | performance | material | fit</x:v>
      </x:c>
      <x:c r="H146" s="77" t="n">
        <x:f>LEN(C146)</x:f>
        <x:v>1359</x:v>
      </x:c>
      <x:c r="I146" s="77" t="n">
        <x:f>IF(H146&gt;2400,3,IF(H146&gt;1200,2,1))</x:f>
        <x:v>2</x:v>
      </x:c>
      <x:c r="J146" s="17" t="str">
        <x:f>IF('Sessions'!B146="intent_override","Drop superseded values before query embedding",IF('Sessions'!B146="boundary","Do not invent a value for no-preference attributes","Keep profile tags soft; current message wins"))</x:f>
        <x:v>Drop superseded values before query embedding</x:v>
      </x:c>
    </x:row>
    <x:row r="147" ht="72" customHeight="1">
      <x:c r="A147" t="str">
        <x:f>'Sessions'!A147</x:f>
        <x:v>public_0143</x:v>
      </x:c>
      <x:c r="B147" t="str">
        <x:f>'Target Products'!B147</x:f>
        <x:v>B01H54X6CM</x:v>
      </x:c>
      <x:c r="C147" s="17" t="str">
        <x:f>"title: "&amp;'Target Products'!C147&amp;" | categories: "&amp;'Target Products'!D147&amp;" | features: "&amp;'Target Products'!F147&amp;" | details: "&amp;'Target Products'!G147&amp;" | description: "&amp;'Target Products'!H147</x:f>
        <x:v>title: MUXXN Women's Retro 1950s Style Sleeveless Slim Business Pencil Dress | categories: Clothing, Shoes &amp; Jewelry | Women | Clothing | Dresses | Work | features: 65% Rayon, 30% Cotton, 5% Spandex | Imported | Zipper closure | Ultra form-fitting,extremely comfortable | Sleeveless,Classical Cutting | Pleated Detail Design,Below Knees | Perfect for the upcoming season | Do carefully read the size guide in the detailed pictures, not the ones by Amazon on the side of the item that you click | details: Department: womens | Date First Available: June 16, 2016 | description: </x:v>
      </x:c>
      <x:c r="D147" s="17" t="str">
        <x:f>"title: "&amp;'Target Products'!C147&amp;" | leaf_category: "&amp;'Target Products'!E147&amp;" | store: "&amp;'Target Products'!L147&amp;" | details: "&amp;'Target Products'!G147</x:f>
        <x:v>title: MUXXN Women's Retro 1950s Style Sleeveless Slim Business Pencil Dress | leaf_category: Work | store: MUXXN | details: Department: womens | Date First Available: June 16, 2016</x:v>
      </x:c>
      <x:c r="E147" s="17" t="str">
        <x:f>"scenario: "&amp;'Sessions'!B147&amp;" | current_message: "&amp;'Sessions'!M147&amp;" | profile_soft_tags: "&amp;'Sessions'!I147</x:f>
        <x:v>scenario: buying | current_message: I'm looking for Dresses Work. A key requirement is: rayon. | profile_soft_tags: material | style | fit | comfort</x:v>
      </x:c>
      <x:c r="F147" s="17" t="str">
        <x:f>'Intent Cards'!D147&amp;IF('Intent Cards'!F147&lt;&gt;""," | "&amp;'Intent Cards'!F147,"")</x:f>
        <x:v>rayon | 65% Rayon, 30% Cotton, 5% Spandex</x:v>
      </x:c>
      <x:c r="G147" s="17" t="str">
        <x:f>'Sessions'!I147</x:f>
        <x:v>material | style | fit | comfort</x:v>
      </x:c>
      <x:c r="H147" s="77" t="n">
        <x:f>LEN(C147)</x:f>
        <x:v>577</x:v>
      </x:c>
      <x:c r="I147" s="77" t="n">
        <x:f>IF(H147&gt;2400,3,IF(H147&gt;1200,2,1))</x:f>
        <x:v>1</x:v>
      </x:c>
      <x:c r="J147" s="17" t="str">
        <x:f>IF('Sessions'!B147="intent_override","Drop superseded values before query embedding",IF('Sessions'!B147="boundary","Do not invent a value for no-preference attributes","Keep profile tags soft; current message wins"))</x:f>
        <x:v>Keep profile tags soft; current message wins</x:v>
      </x:c>
    </x:row>
    <x:row r="148" ht="72" customHeight="1">
      <x:c r="A148" t="str">
        <x:f>'Sessions'!A148</x:f>
        <x:v>public_0144</x:v>
      </x:c>
      <x:c r="B148" t="str">
        <x:f>'Target Products'!B148</x:f>
        <x:v>B08LMMDYV7</x:v>
      </x:c>
      <x:c r="C148" s="17" t="str">
        <x:f>"title: "&amp;'Target Products'!C148&amp;" | categories: "&amp;'Target Products'!D148&amp;" | features: "&amp;'Target Products'!F148&amp;" | details: "&amp;'Target Products'!G148&amp;" | description: "&amp;'Target Products'!H148</x:f>
        <x:v>title: URBAN REPUBLIC Women's Winter Jacket - Heavyweight Water Resistant Expedition Faux-Fur Lined Parka Jacket | categories: Clothing, Shoes &amp; Jewelry | Women | Clothing | Coats, Jackets &amp; Vests | Down Jackets &amp; Parkas | features: 100% Polyester | Imported | Zipper closure | Machine Wash | High Quality Women's Winter Coat: We fashioned this heavyweight parka from wind and water resistant fabric; Perfect for winter sports and casual wear | Functional Benefits: Keep your neck warm in the faux-fur trimmed hood; Zip closure hip pockets cover chilly hands and keep your valuables safe | Style Benefits: Bundle up in fashion; The classic stadium length cut is complete with zipper chin storm guard; You’ll stand out in the crowd of basic bubble coats this season | Multipurpose: Use this jacket for skiing, snowboarding, sledding, hiking, skating, going to school and many other cold weather activities | Easy Care: Machine Wash, Tumble Dry; Please Reference the Product Description for More Details | details: Department: Women | Date First Available: October 21, 2020 | description: URBAN REPUBLIC Women's Winter Jacket - Heavyweight Water Resistant Expedition Faux-Fur Lined Parka Jacket | is the jacket to wear for women who like to spend time outdoors. You'll appreciate the warmth and convenience of the large zip pockets, the faux-fur trim and fleecee lined hood. The unique construction of our insulated jacket will help you conquer freezing temperatures without weighing you down. | Roomy for comfort over mid-weight layers, locking in your body's temperature without restricting movement. | Roomy | for comfort over mid-weight layers, locking in your body's temperature without restricting movement. | Classic Style earthy colors and tasteful embellishments result in a look that is tough enough for work and smart enough for play. | Classic Style | earthy colors and tasteful embellishments result in a look that is tough enough for work and smart enough for play. | Practical pockets shelter cold hands and secure belongings while the adjustable cuffs and water-resistant shell keep out the wind and snow. | Practical | pockets shelter cold hands and secure belongings while the adjustable cuffs and water-resistant shell keep out the wind and snow. | Faux Fur Lining promises to deliver softness where you need it. Surround your neck and head in this plush fabric for the ultimate luxury. | Faux Fur Lining | promises to deliver softness where you need it. Surround your neck and head in this plush fabric for the ultimate luxury. | Easy to Clean - Simple to machine wash and dry; Please Reference the Variations for all Available Sizes and Colors. | Easy to Clean | - Simple to machine wash and dry; | Please Reference the Variations for all Available Sizes and Colors. | URBAN REPUBLIC Offers Premium Clothing | at Affordable Prices | because we value every customer that visits our listings! | Stop by Our Storefront to See the Rest of Our Great Deals | ; we’re confident you’re going to find items that anyone who needs a gift will absolutely love and adore!</x:v>
      </x:c>
      <x:c r="D148" s="17" t="str">
        <x:f>"title: "&amp;'Target Products'!C148&amp;" | leaf_category: "&amp;'Target Products'!E148&amp;" | store: "&amp;'Target Products'!L148&amp;" | details: "&amp;'Target Products'!G148</x:f>
        <x:v>title: URBAN REPUBLIC Women's Winter Jacket - Heavyweight Water Resistant Expedition Faux-Fur Lined Parka Jacket | leaf_category: Down Jackets &amp; Parkas | store: URBAN REPUBLIC | details: Department: Women | Date First Available: October 21, 2020</x:v>
      </x:c>
      <x:c r="E148" s="17" t="str">
        <x:f>"scenario: "&amp;'Sessions'!B148&amp;" | current_message: "&amp;'Sessions'!M148&amp;" | profile_soft_tags: "&amp;'Sessions'!I148</x:f>
        <x:v>scenario: intent_override | current_message: I'm looking for Jackets &amp; Vests Down Jackets &amp; Parkas. Zipper closure | profile_soft_tags: comfort | material</x:v>
      </x:c>
      <x:c r="F148" s="17" t="str">
        <x:f>'Intent Cards'!D148&amp;IF('Intent Cards'!F148&lt;&gt;""," | "&amp;'Intent Cards'!F148,"")</x:f>
        <x:v>polyester | 100% Polyester</x:v>
      </x:c>
      <x:c r="G148" s="17" t="str">
        <x:f>'Sessions'!I148</x:f>
        <x:v>comfort | material</x:v>
      </x:c>
      <x:c r="H148" s="77" t="n">
        <x:f>LEN(C148)</x:f>
        <x:v>3077</x:v>
      </x:c>
      <x:c r="I148" s="77" t="n">
        <x:f>IF(H148&gt;2400,3,IF(H148&gt;1200,2,1))</x:f>
        <x:v>3</x:v>
      </x:c>
      <x:c r="J148" s="17" t="str">
        <x:f>IF('Sessions'!B148="intent_override","Drop superseded values before query embedding",IF('Sessions'!B148="boundary","Do not invent a value for no-preference attributes","Keep profile tags soft; current message wins"))</x:f>
        <x:v>Drop superseded values before query embedding</x:v>
      </x:c>
    </x:row>
    <x:row r="149" ht="72" customHeight="1">
      <x:c r="A149" t="str">
        <x:f>'Sessions'!A149</x:f>
        <x:v>public_0145</x:v>
      </x:c>
      <x:c r="B149" t="str">
        <x:f>'Target Products'!B149</x:f>
        <x:v>B00IJZZWGA</x:v>
      </x:c>
      <x:c r="C149" s="17" t="str">
        <x:f>"title: "&amp;'Target Products'!C149&amp;" | categories: "&amp;'Target Products'!D149&amp;" | features: "&amp;'Target Products'!F149&amp;" | details: "&amp;'Target Products'!G149&amp;" | description: "&amp;'Target Products'!H149</x:f>
        <x:v>title: BRIGHT STAR Low Cut Ankle Socks For Women - 30 Pairs of Athletic Socks For Running, Workout, Sports | categories: Clothing, Shoes &amp; Jewelry | Women | Clothing | Active | Athletic Socks | features: Cotton | Imported | Machine Wash | PREMIUM RUNNING SOCKS FOR WOMEN - Move comfortably with our thin and breathable sports socks, designed to suit your active lifestyle. Made with 97% polyester and 3% spandex, these women's athletic socks guarantee durability. These lightweight women ankle socks are built to last! | LOW-CUT, NO-SLIP SOCKS - The slim fit design provides comfort whether you're indoors or outdoors. Wear our thin ankle socks while lounging at home or while hanging out! With our quality women socks, you can work out comfortably, dance, and play sports freely! | SAFE FOR MACHINE WASH - Never worry about your ankle socks wearing out after tossing them in the washing machine. These short socks for women are safe for machine use. Our women's socks are durable and designed to last. Remember not to iron these sports socks for women. Simply fold neatly after drying. | DESIGNED TO FIT YOUR STYLE - With 30 pairs to choose from, you'll never run out of women socks! This pack comes in assorted colors and designs, from solid black, gray, and white to trendy print and patterns. You're sure to find a pair that complements OOTD or match a pair of our workout socks with your gym clothes to get your vibe on! | SOCKS FOR ALL SEASONS - Bright Stars socks for women offer a wide range of colorful designs, and fun patterns that will mix and match with every ensemble. Our women's socks are made from high-quality materials, including our comfortable, discreet ankle socks. Our women's socks provide the comfort and style to go with any outfit and any activity — and we'll help you match them to any season. | details: Is Discontinued By Manufacturer: No | Package Dimensions: 10 x 8 x 3 inches; 1 Pounds | Department: womens | Date First Available: February 19, 2014 | description: Say goodbye to old, boring socks and say hello to | Bright Star 30-Pack Women's Sport Socks | !Made from 97% polyester and 3% spandex, these running socks for women allow for comfortable movement. | Wear a pair for any occasion, whether you're just chilling at home or rocking your workout at the gym. | These low-cut, no-slip socks let you safely move with no worries -- perfect for playing sports, dancing, hiking, or traveling. | Upgrade your outfit with a burst of fun colors and designs to choose from, or keep it classy and simple with our women socks in plain colors white, black, and gray. | Look bright and vibrant with our comfy and stylish woman socks today! | Product Highlights | - 30 Pair Value Pack- Available in Assorted Colors- Thin and Breathable- Washing Machine Safe | FAQs | Will these women’s sports socks fit size 10-11? | Our running socks are recommended for sizes 5-9, but we also get orders from our size 10-11 customers and they still fit perfectly. | Do the black socks catch lint and fuzz balls? | No. Our plain-colored workout socks (black, gray, white) do not catch lint and fuzz balls. | What is the material used for these socks? | Each pair is 97% polyester and 3% spandex.</x:v>
      </x:c>
      <x:c r="D149" s="17" t="str">
        <x:f>"title: "&amp;'Target Products'!C149&amp;" | leaf_category: "&amp;'Target Products'!E149&amp;" | store: "&amp;'Target Products'!L149&amp;" | details: "&amp;'Target Products'!G149</x:f>
        <x:v>title: BRIGHT STAR Low Cut Ankle Socks For Women - 30 Pairs of Athletic Socks For Running, Workout, Sports | leaf_category: Athletic Socks | store: BRIGHT STAR | details: Is Discontinued By Manufacturer: No | Package Dimensions: 10 x 8 x 3 inches; 1 Pounds | Department: womens | Date First Available: February 19, 2014</x:v>
      </x:c>
      <x:c r="E149" s="17" t="str">
        <x:f>"scenario: "&amp;'Sessions'!B149&amp;" | current_message: "&amp;'Sessions'!M149&amp;" | profile_soft_tags: "&amp;'Sessions'!I149</x:f>
        <x:v>scenario: buying | current_message: I'm looking for Active Athletic Socks. A key requirement is: cotton. | profile_soft_tags: style | comfort | durability</x:v>
      </x:c>
      <x:c r="F149" s="17" t="str">
        <x:f>'Intent Cards'!D149&amp;IF('Intent Cards'!F149&lt;&gt;""," | "&amp;'Intent Cards'!F149,"")</x:f>
        <x:v>cotton | color: black</x:v>
      </x:c>
      <x:c r="G149" s="17" t="str">
        <x:f>'Sessions'!I149</x:f>
        <x:v>style | comfort | durability</x:v>
      </x:c>
      <x:c r="H149" s="77" t="n">
        <x:f>LEN(C149)</x:f>
        <x:v>3205</x:v>
      </x:c>
      <x:c r="I149" s="77" t="n">
        <x:f>IF(H149&gt;2400,3,IF(H149&gt;1200,2,1))</x:f>
        <x:v>3</x:v>
      </x:c>
      <x:c r="J149" s="17" t="str">
        <x:f>IF('Sessions'!B149="intent_override","Drop superseded values before query embedding",IF('Sessions'!B149="boundary","Do not invent a value for no-preference attributes","Keep profile tags soft; current message wins"))</x:f>
        <x:v>Keep profile tags soft; current message wins</x:v>
      </x:c>
    </x:row>
    <x:row r="150" ht="72" customHeight="1">
      <x:c r="A150" t="str">
        <x:f>'Sessions'!A150</x:f>
        <x:v>public_0146</x:v>
      </x:c>
      <x:c r="B150" t="str">
        <x:f>'Target Products'!B150</x:f>
        <x:v>B0BCQWYQLQ</x:v>
      </x:c>
      <x:c r="C150" s="17" t="str">
        <x:f>"title: "&amp;'Target Products'!C150&amp;" | categories: "&amp;'Target Products'!D150&amp;" | features: "&amp;'Target Products'!F150&amp;" | details: "&amp;'Target Products'!G150&amp;" | description: "&amp;'Target Products'!H150</x:f>
        <x:v>title: Sarin Mathews Womens One Shoulder Ruched Bodycon Dress Sexy Sleeveless Slit Midi Party Cocktail Wedding Guest Dresses | categories: Clothing, Shoes &amp; Jewelry | Women | Clothing | Dresses | features: 50%Rayon+45%Polyester+5%Spandex | Imported | Zipper closure | Material: This One Shoulder Dress Are Made of 50%Rayon, 45%Polyester, 5%Spandex. Excellent Elasticity, Soft To Feel, Comfortable To Wear. More Friendly To Skin, Bring You Silky Touching Experience. This Bodycon Cocktail Dress Never Let You Down. | Feature: One Shoulder Dress/ Ruched Dress/ Sexy High Split Dress/ Slim Fit Dress/ Bodycon Dress/ High Waist Dress/ Hidden Side Zipper Closure Dress/ Midi Dress/ Sleeveless Dress/ Solid Color Pencil Dresses/ Tight Midi Length Dress/ Elegant Cocktail Dresses/ Wedding Guest Dress/ Sexy Club Party Dress For Women/ Evening Dress For Women. | Design: This One Shoulder Design Of This Bodycon Midi Dress Greatly Show Off Your Pretty Shoulder And Reveal Your Delicate Collarbone. The Ruched Front Design Can Hide Your Belly Fat And Make You Look Slimmer. Make The Dress More Stylish And Not Monotonous. The Sexy Slit Dresses Is Designed For A Longer Leg Visual Effect, Helps You Show Your Beautiful Body Curve. | Occasion: This Sexy Sleeveless Dress Especially For Cocktail, Party, Wedding Guest, Prom, Club, Evening, Birthday, Homecoming, Graduation, Vacation, Dating, Night Out, Work, Hang-Out, Honeymoon, Picnic, Travel, Beach, Engagement, Dinner And Office Etc. The Fitted Midi Dress Suitable for All Semi-Formal, Formal Occasions, Daily Wear And For All Seasons. | Match: The Elegant Ruched Dress Can Be Dressed Up With Beautiful Accessories, Different Types Of Shoes And Handbag, Creating Trendy Looks. Perfect Midi Dress Can Wear It Alone In Spring And Summer, Can Also Look Great With Leggings, Tights, Coat, Jackets, Sweaters In Fall And Winter. This Ruched Midi Dress Is A Exquisite Clothing For Womens Wardrobes. | details: Department: womens | Date First Available: September 1, 2022 | description: </x:v>
      </x:c>
      <x:c r="D150" s="17" t="str">
        <x:f>"title: "&amp;'Target Products'!C150&amp;" | leaf_category: "&amp;'Target Products'!E150&amp;" | store: "&amp;'Target Products'!L150&amp;" | details: "&amp;'Target Products'!G150</x:f>
        <x:v>title: Sarin Mathews Womens One Shoulder Ruched Bodycon Dress Sexy Sleeveless Slit Midi Party Cocktail Wedding Guest Dresses | leaf_category: Dresses | store: Sarin Mathews | details: Department: womens | Date First Available: September 1, 2022</x:v>
      </x:c>
      <x:c r="E150" s="17" t="str">
        <x:f>"scenario: "&amp;'Sessions'!B150&amp;" | current_message: "&amp;'Sessions'!M150&amp;" | profile_soft_tags: "&amp;'Sessions'!I150</x:f>
        <x:v>scenario: buying | current_message: I'm looking for Women Dresses. A key requirement is: rayon. | profile_soft_tags: style | comfort | material | fit</x:v>
      </x:c>
      <x:c r="F150" s="17" t="str">
        <x:f>'Intent Cards'!D150&amp;IF('Intent Cards'!F150&lt;&gt;""," | "&amp;'Intent Cards'!F150,"")</x:f>
        <x:v>rayon | 50%Rayon+45%Polyester+5%Spandex</x:v>
      </x:c>
      <x:c r="G150" s="17" t="str">
        <x:f>'Sessions'!I150</x:f>
        <x:v>style | comfort | material | fit</x:v>
      </x:c>
      <x:c r="H150" s="77" t="n">
        <x:f>LEN(C150)</x:f>
        <x:v>2021</x:v>
      </x:c>
      <x:c r="I150" s="77" t="n">
        <x:f>IF(H150&gt;2400,3,IF(H150&gt;1200,2,1))</x:f>
        <x:v>2</x:v>
      </x:c>
      <x:c r="J150" s="17" t="str">
        <x:f>IF('Sessions'!B150="intent_override","Drop superseded values before query embedding",IF('Sessions'!B150="boundary","Do not invent a value for no-preference attributes","Keep profile tags soft; current message wins"))</x:f>
        <x:v>Keep profile tags soft; current message wins</x:v>
      </x:c>
    </x:row>
    <x:row r="151" ht="72" customHeight="1">
      <x:c r="A151" t="str">
        <x:f>'Sessions'!A151</x:f>
        <x:v>public_0147</x:v>
      </x:c>
      <x:c r="B151" t="str">
        <x:f>'Target Products'!B151</x:f>
        <x:v>B077276QGC</x:v>
      </x:c>
      <x:c r="C151" s="17" t="str">
        <x:f>"title: "&amp;'Target Products'!C151&amp;" | categories: "&amp;'Target Products'!D151&amp;" | features: "&amp;'Target Products'!F151&amp;" | details: "&amp;'Target Products'!G151&amp;" | description: "&amp;'Target Products'!H151</x:f>
        <x:v>title: wirarpa Women's High Waisted Cotton Underwear Ladies Soft Full Briefs Panties Multipack | categories: Clothing, Shoes &amp; Jewelry | Women | Clothing | Lingerie, Sleep &amp; Lounge | Lingerie | features: 95% Combed Cotton, 5% Spandex of Women's 4-PACK High Waisted Underwear. Machine Wash with laundry bag (30°C) . | Hand Wash Only | STRETCHY COVERED WAISTBAND: Soft stretchy DOUBLE-LAYER fabric covered waistband sits right at the waist. No rolling or bunching, with no compression but perfectly snuggish. The high rise underwear offers moderate tummy support and reduces the appearance of muffin top. | SOFT EASY ON EASY OFF UNDIES: Comfy full coverage brief panties, suitable for postpartum c-section and abdominal surgery recovery. Perfect for women's/female cotton panties because they're SUPER high rise with tiny bit of pressure on the tummy during that time which offers a nice soothing feeling. | DOUBLE-LAYER CROTCH: Women's underpants with wide breathable crotch for added protection, sweat wicking, breathable and healthy.Multiple color options brings lots of joy to your daily life. Suitable for home, bedtime and everyday use. | STAY IN PLACE UNDERPANTS: No ride up and stretchy enough to make you feel secure. Easy on and easy off undies, not too tight or loose but just comfortable. Nice alternative to "granny panty" type briefs. Wash well with less shrink. | We always expect your inquiry and support. Please let us know if there's any question. Your suggestion will help us to improve products and provide more great products. | details: Department: Womens | Date First Available: November 1, 2017 | description: </x:v>
      </x:c>
      <x:c r="D151" s="17" t="str">
        <x:f>"title: "&amp;'Target Products'!C151&amp;" | leaf_category: "&amp;'Target Products'!E151&amp;" | store: "&amp;'Target Products'!L151&amp;" | details: "&amp;'Target Products'!G151</x:f>
        <x:v>title: wirarpa Women's High Waisted Cotton Underwear Ladies Soft Full Briefs Panties Multipack | leaf_category: Lingerie | store: wirarpa | details: Department: Womens | Date First Available: November 1, 2017</x:v>
      </x:c>
      <x:c r="E151" s="17" t="str">
        <x:f>"scenario: "&amp;'Sessions'!B151&amp;" | current_message: "&amp;'Sessions'!M151&amp;" | profile_soft_tags: "&amp;'Sessions'!I151</x:f>
        <x:v>scenario: browsing | current_message: I'm looking for Sleep &amp; Lounge Lingerie, but I'm still exploring. | profile_soft_tags: material | comfort | fit | style</x:v>
      </x:c>
      <x:c r="F151" s="17" t="str">
        <x:f>'Intent Cards'!D151&amp;IF('Intent Cards'!F151&lt;&gt;""," | "&amp;'Intent Cards'!F151,"")</x:f>
        <x:v>cotton | 95% Combed Cotton, 5% Spandex of Women's 4-PACK High Waisted Underwear. Machine Wash with laundry bag (30°C)</x:v>
      </x:c>
      <x:c r="G151" s="17" t="str">
        <x:f>'Sessions'!I151</x:f>
        <x:v>material | comfort | fit | style</x:v>
      </x:c>
      <x:c r="H151" s="77" t="n">
        <x:f>LEN(C151)</x:f>
        <x:v>1632</x:v>
      </x:c>
      <x:c r="I151" s="77" t="n">
        <x:f>IF(H151&gt;2400,3,IF(H151&gt;1200,2,1))</x:f>
        <x:v>2</x:v>
      </x:c>
      <x:c r="J151" s="17" t="str">
        <x:f>IF('Sessions'!B151="intent_override","Drop superseded values before query embedding",IF('Sessions'!B151="boundary","Do not invent a value for no-preference attributes","Keep profile tags soft; current message wins"))</x:f>
        <x:v>Keep profile tags soft; current message wins</x:v>
      </x:c>
    </x:row>
    <x:row r="152" ht="72" customHeight="1">
      <x:c r="A152" t="str">
        <x:f>'Sessions'!A152</x:f>
        <x:v>public_0148</x:v>
      </x:c>
      <x:c r="B152" t="str">
        <x:f>'Target Products'!B152</x:f>
        <x:v>B0BQC2NRG2</x:v>
      </x:c>
      <x:c r="C152" s="17" t="str">
        <x:f>"title: "&amp;'Target Products'!C152&amp;" | categories: "&amp;'Target Products'!D152&amp;" | features: "&amp;'Target Products'!F152&amp;" | details: "&amp;'Target Products'!G152&amp;" | description: "&amp;'Target Products'!H152</x:f>
        <x:v>title: Fruit of the Loom Women's Eversoft Cotton Bikini Underwear, Tag Free &amp; Breathable | categories: Clothing, Shoes &amp; Jewelry | Women | Clothing | Lingerie, Sleep &amp; Lounge | Lingerie | Panties | Bikinis | features: 50% Cotton, 50% Polyester | Imported | Pull On closure | Machine wash cold with like colors. Use only non-chlorine bleach when needed. Tumble dry low. Do not iron. | This is an assorted color pack; This pack may contain all solids, all prints or a combination | Heather | 6 Pack | Bikini | Soft, Ravel Free Waistband | Woven with Fine Yarn for Added Softness | Tag Free | 100% Cotton Liner | Machine Wash | Satisfaction Guaranteed | details: Item model number: 6DBIKA1 | Department: womens | Date First Available: May 14, 2021 | Manufacturer: Fruit Of The Loom | description: Fruit of the Loom super soft heather bikinis come in the same classic colors you love, and we’ve rebuilt them from the bottom up. Now woven with finer yarn, they’re extra soft to the touch. For added comfort, we’ve added a plush-backed waistband that’s guaranteed to be ravel free wash after wash, and as always, our Fruit of the Loom panties are tag-free and made with a 100% cotton liner for extra softness. The classic bikini silhouette sits slightly above the hips and offers reliable coverage throughout the day.</x:v>
      </x:c>
      <x:c r="D152" s="17" t="str">
        <x:f>"title: "&amp;'Target Products'!C152&amp;" | leaf_category: "&amp;'Target Products'!E152&amp;" | store: "&amp;'Target Products'!L152&amp;" | details: "&amp;'Target Products'!G152</x:f>
        <x:v>title: Fruit of the Loom Women's Eversoft Cotton Bikini Underwear, Tag Free &amp; Breathable | leaf_category: Bikinis | store: Fruit of the Loom | details: Item model number: 6DBIKA1 | Department: womens | Date First Available: May 14, 2021 | Manufacturer: Fruit Of The Loom</x:v>
      </x:c>
      <x:c r="E152" s="17" t="str">
        <x:f>"scenario: "&amp;'Sessions'!B152&amp;" | current_message: "&amp;'Sessions'!M152&amp;" | profile_soft_tags: "&amp;'Sessions'!I152</x:f>
        <x:v>scenario: buying | current_message: I'm looking for Panties Bikinis. A key requirement is: cotton. | profile_soft_tags: fit | comfort | material | performance</x:v>
      </x:c>
      <x:c r="F152" s="17" t="str">
        <x:f>'Intent Cards'!D152&amp;IF('Intent Cards'!F152&lt;&gt;""," | "&amp;'Intent Cards'!F152,"")</x:f>
        <x:v>cotton | 50% Cotton, 50% Polyester</x:v>
      </x:c>
      <x:c r="G152" s="17" t="str">
        <x:f>'Sessions'!I152</x:f>
        <x:v>fit | comfort | material | performance</x:v>
      </x:c>
      <x:c r="H152" s="77" t="n">
        <x:f>LEN(C152)</x:f>
        <x:v>1311</x:v>
      </x:c>
      <x:c r="I152" s="77" t="n">
        <x:f>IF(H152&gt;2400,3,IF(H152&gt;1200,2,1))</x:f>
        <x:v>2</x:v>
      </x:c>
      <x:c r="J152" s="17" t="str">
        <x:f>IF('Sessions'!B152="intent_override","Drop superseded values before query embedding",IF('Sessions'!B152="boundary","Do not invent a value for no-preference attributes","Keep profile tags soft; current message wins"))</x:f>
        <x:v>Keep profile tags soft; current message wins</x:v>
      </x:c>
    </x:row>
    <x:row r="153" ht="72" customHeight="1">
      <x:c r="A153" t="str">
        <x:f>'Sessions'!A153</x:f>
        <x:v>public_0149</x:v>
      </x:c>
      <x:c r="B153" t="str">
        <x:f>'Target Products'!B153</x:f>
        <x:v>B07CBYYHTL</x:v>
      </x:c>
      <x:c r="C153" s="17" t="str">
        <x:f>"title: "&amp;'Target Products'!C153&amp;" | categories: "&amp;'Target Products'!D153&amp;" | features: "&amp;'Target Products'!F153&amp;" | details: "&amp;'Target Products'!G153&amp;" | description: "&amp;'Target Products'!H153</x:f>
        <x:v>title: SDIYABOLO Small Black Sling Crossbody Backpack Shoulder Bag for Men Women Vintage PU Leather Sling Backpack Cycling | categories: Clothing, Shoes &amp; Jewelry | Luggage &amp; Travel Gear | Backpacks | Casual Daypacks | features: PU | 进口 | 聚酯棉布 lining | Zipper closure | PREMIUM QUALITY LEATHER BAG: This bag is made of contemporary design with a feel Classic sling for modern people on the go. It is made with premium shining quality pu leather with waterproof ability. It is made to be durable over a long period of time. The material comes with ergonomic design to relieving back pressure | PERFECT SIZE FOR YOUR GADGETS: Our leather sling bag is spacious and it is design to perfectly hold can hold a lot of items. . It is designed to take different gadget at a time. Be it laptop, Ipads, tablet, phone, books, credit cards, jotter and many more. | WELL ORGANIZED COMPARTMENTS: Our bag is well compartmentalized. It has multiple pockets inside and outside with a zip around main compartment with a fully lined interior, one slip pocket, and one zippered pocket for organization. An exterior accessory pocket on the front offers added storage for items that you need to access quickly | USB CHARGE AND EARPHONE JACK: This sling bag comes with a charging port you can connect your phone to and easily charge during outdoors and travel. Place your power bank inside the bag and connect your phone to the outer port. You can as well listen to your favorite music by connecting the headphone directly to your backpack | EXTRA QUALITY AND COLOURFUL DESIGN: It is made in a way that mixes creativity with fashion. It is a pu leather bag with adequate durability. The sling is thick and cannot cut or break easily. The inner is well lined with soft material and breathable soft cushion belt | details: Is Discontinued By Manufacturer: No | Product Dimensions: 5 x 8 x 12 inches; 1.41 Pounds | Item model number: YF9909-Black | Department: mens | Date First Available: April 10, 2018 | Country of Origin: China | description: </x:v>
      </x:c>
      <x:c r="D153" s="17" t="str">
        <x:f>"title: "&amp;'Target Products'!C153&amp;" | leaf_category: "&amp;'Target Products'!E153&amp;" | store: "&amp;'Target Products'!L153&amp;" | details: "&amp;'Target Products'!G153</x:f>
        <x:v>title: SDIYABOLO Small Black Sling Crossbody Backpack Shoulder Bag for Men Women Vintage PU Leather Sling Backpack Cycling | leaf_category: Casual Daypacks | store: SDIYABOLO | details: Is Discontinued By Manufacturer: No | Product Dimensions: 5 x 8 x 12 inches; 1.41 Pounds | Item model number: YF9909-Black | Department: mens | Date First Available: April 10, 2018 | Country of Origin: China</x:v>
      </x:c>
      <x:c r="E153" s="17" t="str">
        <x:f>"scenario: "&amp;'Sessions'!B153&amp;" | current_message: "&amp;'Sessions'!M153&amp;" | profile_soft_tags: "&amp;'Sessions'!I153</x:f>
        <x:v>scenario: buying | current_message: I'm looking for Backpacks Casual Daypacks. A key requirement is: leather. | profile_soft_tags: fit | performance | material</x:v>
      </x:c>
      <x:c r="F153" s="17" t="str">
        <x:f>'Intent Cards'!D153&amp;IF('Intent Cards'!F153&lt;&gt;""," | "&amp;'Intent Cards'!F153,"")</x:f>
        <x:v>leather | color: black</x:v>
      </x:c>
      <x:c r="G153" s="17" t="str">
        <x:f>'Sessions'!I153</x:f>
        <x:v>fit | performance | material</x:v>
      </x:c>
      <x:c r="H153" s="77" t="n">
        <x:f>LEN(C153)</x:f>
        <x:v>2020</x:v>
      </x:c>
      <x:c r="I153" s="77" t="n">
        <x:f>IF(H153&gt;2400,3,IF(H153&gt;1200,2,1))</x:f>
        <x:v>2</x:v>
      </x:c>
      <x:c r="J153" s="17" t="str">
        <x:f>IF('Sessions'!B153="intent_override","Drop superseded values before query embedding",IF('Sessions'!B153="boundary","Do not invent a value for no-preference attributes","Keep profile tags soft; current message wins"))</x:f>
        <x:v>Keep profile tags soft; current message wins</x:v>
      </x:c>
    </x:row>
    <x:row r="154" ht="72" customHeight="1">
      <x:c r="A154" t="str">
        <x:f>'Sessions'!A154</x:f>
        <x:v>public_0150</x:v>
      </x:c>
      <x:c r="B154" t="str">
        <x:f>'Target Products'!B154</x:f>
        <x:v>B07P6MPQY5</x:v>
      </x:c>
      <x:c r="C154" s="17" t="str">
        <x:f>"title: "&amp;'Target Products'!C154&amp;" | categories: "&amp;'Target Products'!D154&amp;" | features: "&amp;'Target Products'!F154&amp;" | details: "&amp;'Target Products'!G154&amp;" | description: "&amp;'Target Products'!H154</x:f>
        <x:v>title: Sivvan Scrubs for Men - Zippered Short Sleeve Jacket | categories: Clothing, Shoes &amp; Jewelry | Men | Uniforms, Work &amp; Safety | Clothing | Medical | Scrub Jackets | features: 65% Polyester, 35% Cotton | CLOSURE: Zip Front closure | Hand Wash Only | FIT &amp; STYLE: Classic Fit, Center Back Length 29.5" In Size M. | POCKETS: 2 Large Patch Pockets Doubled With 2 Angled Pockets, 1 Chest Pocket With Pen Divider. | FEATURES: Collared Neckline, Short Sleeves, Front Yoke &amp; Back Midriff With Pleats. | PROFESSIONAL: This Scrub Jacket is Perfect For Any Nurse, Doctor &amp; More! | MATERIAL: Sturdy Material is Ideal for any Medical Work Environment. | details: Item model number: S8308 | Department: mens | Date First Available: May 8, 2017 | description: About Us:With over 45 years of experience, Sivvan has been producing medical uniforms since 1971. We are known for our exceptional quality, comfort &amp; stylish designs. You can rely on our high performance medical work wear to fulfill all of your needs as a medical professional. Pockets:2 Large Patch Pockets Doubled With 2 Angled Pockets1 Chest Pocket With Pen DividerFit &amp; Style:Classic FitCenter Back Length 29.5" In Size MFront Yoke &amp; Back Midriff With PleatsCollared NecklineShort SleevesZip Front Closure</x:v>
      </x:c>
      <x:c r="D154" s="17" t="str">
        <x:f>"title: "&amp;'Target Products'!C154&amp;" | leaf_category: "&amp;'Target Products'!E154&amp;" | store: "&amp;'Target Products'!L154&amp;" | details: "&amp;'Target Products'!G154</x:f>
        <x:v>title: Sivvan Scrubs for Men - Zippered Short Sleeve Jacket | leaf_category: Scrub Jackets | store: Sivvan | details: Item model number: S8308 | Department: mens | Date First Available: May 8, 2017</x:v>
      </x:c>
      <x:c r="E154" s="17" t="str">
        <x:f>"scenario: "&amp;'Sessions'!B154&amp;" | current_message: "&amp;'Sessions'!M154&amp;" | profile_soft_tags: "&amp;'Sessions'!I154</x:f>
        <x:v>scenario: browsing | current_message: I'm looking for Medical Scrub Jackets, but I'm still exploring. | profile_soft_tags: material | fit</x:v>
      </x:c>
      <x:c r="F154" s="17" t="str">
        <x:f>'Intent Cards'!D154&amp;IF('Intent Cards'!F154&lt;&gt;""," | "&amp;'Intent Cards'!F154,"")</x:f>
        <x:v>polyester | 65% Polyester, 35% Cotton</x:v>
      </x:c>
      <x:c r="G154" s="17" t="str">
        <x:f>'Sessions'!I154</x:f>
        <x:v>material | fit</x:v>
      </x:c>
      <x:c r="H154" s="77" t="n">
        <x:f>LEN(C154)</x:f>
        <x:v>1260</x:v>
      </x:c>
      <x:c r="I154" s="77" t="n">
        <x:f>IF(H154&gt;2400,3,IF(H154&gt;1200,2,1))</x:f>
        <x:v>2</x:v>
      </x:c>
      <x:c r="J154" s="17" t="str">
        <x:f>IF('Sessions'!B154="intent_override","Drop superseded values before query embedding",IF('Sessions'!B154="boundary","Do not invent a value for no-preference attributes","Keep profile tags soft; current message wins"))</x:f>
        <x:v>Keep profile tags soft; current message wins</x:v>
      </x:c>
    </x:row>
    <x:row r="155" ht="72" customHeight="1">
      <x:c r="A155" t="str">
        <x:f>'Sessions'!A155</x:f>
        <x:v>public_0151</x:v>
      </x:c>
      <x:c r="B155" t="str">
        <x:f>'Target Products'!B155</x:f>
        <x:v>B08CFNQNJK</x:v>
      </x:c>
      <x:c r="C155" s="17" t="str">
        <x:f>"title: "&amp;'Target Products'!C155&amp;" | categories: "&amp;'Target Products'!D155&amp;" | features: "&amp;'Target Products'!F155&amp;" | details: "&amp;'Target Products'!G155&amp;" | description: "&amp;'Target Products'!H155</x:f>
        <x:v>title: Under Armour Men's Micro G Valsetz Mid Military and Tactical Boot | categories: Clothing, Shoes &amp; Jewelry | Boot Shop | Men | Outdoor &amp; Work | Work &amp; Safety | features: Imported | Rubber sole | Shaft measures approximately Ankle from arch | Heel measures approximately 6 inches" | Lightweight synthetic leather &amp; textile upper is durable &amp; breathable | Welded forefoot overlay &amp; molded TPU toe cap for added protection | Pull loops on heel &amp; tongue for easy on/off | Full-length Micro G foam midsole for the ultimate in long-lasting, responsive cushioning | Oil- &amp; slip-resistant high traction rubber lug outsole for enhanced grip on a variety of surfaces | Height: 6"" | Weight: 14.5 oz. | Lace type: Standard tie | details: Package Dimensions: 19.49 x 11.81 x 5.83 inches; 14.5 Ounces | Item model number: 3023741 | Department: Mens | Date First Available: July 6, 2020 | Manufacturer: Under Armour | description: We took one of our best, most durable, and crazy-comfortable tactical boots up a notch with Micro G® midsole cushioning you'll appreciate more the longer you're on your feet. Mid height amps up the ankle protection.. Lightweight synthetic leather &amp; textile upper is durable &amp; breathable. Welded forefoot overlay &amp; molded TPU toe cap for added protection. Pull loops on heel &amp; tongue for easy on/off. Full-length Micro G® foam midsole for the ultimate in long-lasting, responsive cushioning. Oil- &amp; slip-resistant high traction rubber lug outsole for enhanced grip on a variety of surfaces. Height: 6"". Weight: 14.5 oz.. Lace type: Standard tie.</x:v>
      </x:c>
      <x:c r="D155" s="17" t="str">
        <x:f>"title: "&amp;'Target Products'!C155&amp;" | leaf_category: "&amp;'Target Products'!E155&amp;" | store: "&amp;'Target Products'!L155&amp;" | details: "&amp;'Target Products'!G155</x:f>
        <x:v>title: Under Armour Men's Micro G Valsetz Mid Military and Tactical Boot | leaf_category: Work &amp; Safety | store: Under Armour | details: Package Dimensions: 19.49 x 11.81 x 5.83 inches; 14.5 Ounces | Item model number: 3023741 | Department: Mens | Date First Available: July 6, 2020 | Manufacturer: Under Armour</x:v>
      </x:c>
      <x:c r="E155" s="17" t="str">
        <x:f>"scenario: "&amp;'Sessions'!B155&amp;" | current_message: "&amp;'Sessions'!M155&amp;" | profile_soft_tags: "&amp;'Sessions'!I155</x:f>
        <x:v>scenario: browsing | current_message: I'm looking for Outdoor &amp; Work Work &amp; Safety, but I'm still exploring. | profile_soft_tags: comfort | fit | durability | material</x:v>
      </x:c>
      <x:c r="F155" s="17" t="str">
        <x:f>'Intent Cards'!D155&amp;IF('Intent Cards'!F155&lt;&gt;""," | "&amp;'Intent Cards'!F155,"")</x:f>
        <x:v>leather | Imported</x:v>
      </x:c>
      <x:c r="G155" s="17" t="str">
        <x:f>'Sessions'!I155</x:f>
        <x:v>comfort | fit | durability | material</x:v>
      </x:c>
      <x:c r="H155" s="77" t="n">
        <x:f>LEN(C155)</x:f>
        <x:v>1568</x:v>
      </x:c>
      <x:c r="I155" s="77" t="n">
        <x:f>IF(H155&gt;2400,3,IF(H155&gt;1200,2,1))</x:f>
        <x:v>2</x:v>
      </x:c>
      <x:c r="J155" s="17" t="str">
        <x:f>IF('Sessions'!B155="intent_override","Drop superseded values before query embedding",IF('Sessions'!B155="boundary","Do not invent a value for no-preference attributes","Keep profile tags soft; current message wins"))</x:f>
        <x:v>Keep profile tags soft; current message wins</x:v>
      </x:c>
    </x:row>
    <x:row r="156" ht="72" customHeight="1">
      <x:c r="A156" t="str">
        <x:f>'Sessions'!A156</x:f>
        <x:v>public_0152</x:v>
      </x:c>
      <x:c r="B156" t="str">
        <x:f>'Target Products'!B156</x:f>
        <x:v>B000EQU0NW</x:v>
      </x:c>
      <x:c r="C156" s="17" t="str">
        <x:f>"title: "&amp;'Target Products'!C156&amp;" | categories: "&amp;'Target Products'!D156&amp;" | features: "&amp;'Target Products'!F156&amp;" | details: "&amp;'Target Products'!G156&amp;" | description: "&amp;'Target Products'!H156</x:f>
        <x:v>title: Citizen Eco-Drive Corso Quartz Mens Watch, Stainless Steel with Leather strap, Classic, Brown (Model: BM8242-08E) | categories: Clothing, Shoes &amp; Jewelry | Men | Watches | Wrist Watches | features: Gold-tone watch in stainless steel featuring black two-step dial with date window at 3 o'clock and croco-embossed leather band. Case diameter : 36 mm | Japanese quartz movement with analog display | Protective mineral crystal dial window | Day and date function. Water resistant - Splash resistant | details: Is Discontinued By Manufacturer: No | Product Dimensions: 0.59 x 0.59 x 0.59 inches; 1.2 Ounces | Item model number: BM8242-08E | Department: Mens | Date First Available: March 15, 2005 | Manufacturer: Citizen | description: The very essence of style - Citizens 180 series. | The very essence of style - Citizens 180 series. | This watch is the classic dress watch with polished gold tone stainless steel and base metal case and genuine leather strap. | This watch is the classic dress watch with polished gold tone stainless steel and base metal case and genuine leather strap. | Featuring a scratch resistant mineral crystal. | Featuring a scratch resistant mineral crystal. | Citizens proprietary Eco drive movement packed into this water resistant case. | Citizens proprietary Eco drive movement packed into this water resistant case. | 36mm wide by 8mm thick, water resistant. | 36mm wide by 8mm thick, water resistant. | Its elegant gold-tone hands and markers are accented by the black dial. | Its elegant gold-tone hands and markers are accented by the black dial. | The watch also has a low charge indicator and time reset advisory. | The watch also has a low charge indicator and time reset advisory. | Day and date window. | Day and date window. | Charges in any light source (never change a battery), the watch carries a 12 month reserve charge. | Charges in any light source (never change a battery), the watch carries a 12 month reserve charge. | A men's Eco-Drive timepiece at its' best. The gold tone stainless steel case, brown leather and simple black dial, bring every outfit together. The timepiece is highlighted with day/date indicator, gold tone stainless steel hour indicators and water resistance. | Since its foundation in 1930, CITIZEN has promoted a multi-cultural mindset that fosters excellence and creativity. The very name of the brand conveys a deep respect toward craftsmanship and considered as familiar by citizens the world-over. So as a “citizen” of the world, we bear the responsibility to help cultivate a culture of positive change and on-going evolution through our craft. We take that mission seriously and steadfastly welcome what the future may bring. As a true manufacture d’horlogerie, CITIZEN integrates a comprehensive manufacturing process from creating individual components to a watch’s final assembly. It’s an artisan’s approach to watch making based on pushing forward the boundaries of technology and leveraging our experience toward exploring new possibilities. One pivotal technological breakthrough was the development of a light-driven watch. CITIZEN pioneered this engineering innovation well ahead of other watch manufacturers as early as 1976, which led to the launch of the highly acclaimed Eco-Drive in 1995. Utilizing electrical power converted from virtually any light source, this extraordinary innovation changed forever the way watches could be powered. Eco-Drive eliminated the need to ever replace batteries, which made it especially beneficial to areas where such specialist batteries were not obtainable. This leveled the field for citizens of virtually every country to be able to experience unrestricted joy of wearing and using a CITIZEN watch. The product development policy, “The Fusion of Technology and Beauty,” remains a constant motivation for us to merge cutting-edge technology with perfection of design beauty, which as a consequence inspires people to strive to be their best at any time. CITIZEN launches a new campaign in collaboration with Wieden+Kennedy, Better Starts Now. This is the simple belief that no matter who you are or what you do, it is always possible to make something better — and now is the time to start doing it. We believe that better and now are both infinite, and that there is always a next ‘better’ and a new ‘now’ in which you can start pursuing it. It was clear from the onset of this project that we are dedicated to this ideal…not to the past but to the present, and all the way we can improve it. To help communicate this belief to the world we have created a new global CITIZEN brand movie, brand identity and brand website that represents out Better Starts Now philosophy. | See more</x:v>
      </x:c>
      <x:c r="D156" s="17" t="str">
        <x:f>"title: "&amp;'Target Products'!C156&amp;" | leaf_category: "&amp;'Target Products'!E156&amp;" | store: "&amp;'Target Products'!L156&amp;" | details: "&amp;'Target Products'!G156</x:f>
        <x:v>title: Citizen Eco-Drive Corso Quartz Mens Watch, Stainless Steel with Leather strap, Classic, Brown (Model: BM8242-08E) | leaf_category: Wrist Watches | store: Citizen | details: Is Discontinued By Manufacturer: No | Product Dimensions: 0.59 x 0.59 x 0.59 inches; 1.2 Ounces | Item model number: BM8242-08E | Department: Mens | Date First Available: March 15, 2005 | Manufacturer: Citizen</x:v>
      </x:c>
      <x:c r="E156" s="17" t="str">
        <x:f>"scenario: "&amp;'Sessions'!B156&amp;" | current_message: "&amp;'Sessions'!M156&amp;" | profile_soft_tags: "&amp;'Sessions'!I156</x:f>
        <x:v>scenario: buying | current_message: I'm looking for Watches Wrist Watches. A key requirement is: leather. | profile_soft_tags: comfort | fit | durability | style</x:v>
      </x:c>
      <x:c r="F156" s="17" t="str">
        <x:f>'Intent Cards'!D156&amp;IF('Intent Cards'!F156&lt;&gt;""," | "&amp;'Intent Cards'!F156,"")</x:f>
        <x:v>leather | color: brown</x:v>
      </x:c>
      <x:c r="G156" s="17" t="str">
        <x:f>'Sessions'!I156</x:f>
        <x:v>comfort | fit | durability | style</x:v>
      </x:c>
      <x:c r="H156" s="77" t="n">
        <x:f>LEN(C156)</x:f>
        <x:v>4717</x:v>
      </x:c>
      <x:c r="I156" s="77" t="n">
        <x:f>IF(H156&gt;2400,3,IF(H156&gt;1200,2,1))</x:f>
        <x:v>3</x:v>
      </x:c>
      <x:c r="J156" s="17" t="str">
        <x:f>IF('Sessions'!B156="intent_override","Drop superseded values before query embedding",IF('Sessions'!B156="boundary","Do not invent a value for no-preference attributes","Keep profile tags soft; current message wins"))</x:f>
        <x:v>Keep profile tags soft; current message wins</x:v>
      </x:c>
    </x:row>
    <x:row r="157" ht="72" customHeight="1">
      <x:c r="A157" t="str">
        <x:f>'Sessions'!A157</x:f>
        <x:v>public_0153</x:v>
      </x:c>
      <x:c r="B157" t="str">
        <x:f>'Target Products'!B157</x:f>
        <x:v>B07BMJ77FR</x:v>
      </x:c>
      <x:c r="C157" s="17" t="str">
        <x:f>"title: "&amp;'Target Products'!C157&amp;" | categories: "&amp;'Target Products'!D157&amp;" | features: "&amp;'Target Products'!F157&amp;" | details: "&amp;'Target Products'!G157&amp;" | description: "&amp;'Target Products'!H157</x:f>
        <x:v>title: Susanny High Heel Boots for Women,Womens Platform Boot Heels Sexy Round Toe Lace UP High Heels Mid Calf Boots | categories: Clothing, Shoes &amp; Jewelry | Women | Shoes | Boots | Ankle &amp; Bootie | features: PU Leather | Rubber sole | Shaft measures approximately Ankle from arch | Pls Pay Attention to the Heel Height:The heel height of the size 5.5-7 is 3.93" ; The heel height of the size 5.5-7 is 4.72" .Chunky High heels waterproof platform boots | Vogue Element: Slip on and Side Zipper design make it easy on and off | Chic Ankle-high PU leather upper with dual buckled ankle straps | Heel measures approximately 4.72",Platform measures 1.37" | Round toe women working short booties shoes | details: Department: Womens | Date First Available: September 2, 2016 | description: </x:v>
      </x:c>
      <x:c r="D157" s="17" t="str">
        <x:f>"title: "&amp;'Target Products'!C157&amp;" | leaf_category: "&amp;'Target Products'!E157&amp;" | store: "&amp;'Target Products'!L157&amp;" | details: "&amp;'Target Products'!G157</x:f>
        <x:v>title: Susanny High Heel Boots for Women,Womens Platform Boot Heels Sexy Round Toe Lace UP High Heels Mid Calf Boots | leaf_category: Ankle &amp; Bootie | store: Susanny | details: Department: Womens | Date First Available: September 2, 2016</x:v>
      </x:c>
      <x:c r="E157" s="17" t="str">
        <x:f>"scenario: "&amp;'Sessions'!B157&amp;" | current_message: "&amp;'Sessions'!M157&amp;" | profile_soft_tags: "&amp;'Sessions'!I157</x:f>
        <x:v>scenario: browsing | current_message: I'm looking for Boots Ankle &amp; Bootie, but I'm still exploring. | profile_soft_tags: comfort | fit | style | durability</x:v>
      </x:c>
      <x:c r="F157" s="17" t="str">
        <x:f>'Intent Cards'!D157&amp;IF('Intent Cards'!F157&lt;&gt;""," | "&amp;'Intent Cards'!F157,"")</x:f>
        <x:v>leather | PU Leather</x:v>
      </x:c>
      <x:c r="G157" s="17" t="str">
        <x:f>'Sessions'!I157</x:f>
        <x:v>comfort | fit | style | durability</x:v>
      </x:c>
      <x:c r="H157" s="77" t="n">
        <x:f>LEN(C157)</x:f>
        <x:v>785</x:v>
      </x:c>
      <x:c r="I157" s="77" t="n">
        <x:f>IF(H157&gt;2400,3,IF(H157&gt;1200,2,1))</x:f>
        <x:v>1</x:v>
      </x:c>
      <x:c r="J157" s="17" t="str">
        <x:f>IF('Sessions'!B157="intent_override","Drop superseded values before query embedding",IF('Sessions'!B157="boundary","Do not invent a value for no-preference attributes","Keep profile tags soft; current message wins"))</x:f>
        <x:v>Keep profile tags soft; current message wins</x:v>
      </x:c>
    </x:row>
    <x:row r="158" ht="72" customHeight="1">
      <x:c r="A158" t="str">
        <x:f>'Sessions'!A158</x:f>
        <x:v>public_0154</x:v>
      </x:c>
      <x:c r="B158" t="str">
        <x:f>'Target Products'!B158</x:f>
        <x:v>B00CYNKSTE</x:v>
      </x:c>
      <x:c r="C158" s="17" t="str">
        <x:f>"title: "&amp;'Target Products'!C158&amp;" | categories: "&amp;'Target Products'!D158&amp;" | features: "&amp;'Target Products'!F158&amp;" | details: "&amp;'Target Products'!G158&amp;" | description: "&amp;'Target Products'!H158</x:f>
        <x:v>title: Bestform Women's Wire Free Bra | categories: Clothing, Shoes &amp; Jewelry | Women | Clothing | Lingerie, Sleep &amp; Lounge | Lingerie | Bras | Everyday Bras | features: Hand Wash Only | details: Item model number: 5006715 | Department: womens | Date First Available: May 23, 2013 | description: 100% Cotton cups are trimmed in a satin for a smooth fit. Wide back adjusting straps. Colors: White and Black. Sizes: B 36-42; C, D 36-44; DD 38-44.</x:v>
      </x:c>
      <x:c r="D158" s="17" t="str">
        <x:f>"title: "&amp;'Target Products'!C158&amp;" | leaf_category: "&amp;'Target Products'!E158&amp;" | store: "&amp;'Target Products'!L158&amp;" | details: "&amp;'Target Products'!G158</x:f>
        <x:v>title: Bestform Women's Wire Free Bra | leaf_category: Everyday Bras | store: Bestform | details: Item model number: 5006715 | Department: womens | Date First Available: May 23, 2013</x:v>
      </x:c>
      <x:c r="E158" s="17" t="str">
        <x:f>"scenario: "&amp;'Sessions'!B158&amp;" | current_message: "&amp;'Sessions'!M158&amp;" | profile_soft_tags: "&amp;'Sessions'!I158</x:f>
        <x:v>scenario: buying | current_message: I'm looking for Bras Everyday Bras. A key requirement is: cotton. | profile_soft_tags: material | comfort | fit | style</x:v>
      </x:c>
      <x:c r="F158" s="17" t="str">
        <x:f>'Intent Cards'!D158&amp;IF('Intent Cards'!F158&lt;&gt;""," | "&amp;'Intent Cards'!F158,"")</x:f>
        <x:v>cotton | color: white</x:v>
      </x:c>
      <x:c r="G158" s="17" t="str">
        <x:f>'Sessions'!I158</x:f>
        <x:v>material | comfort | fit | style</x:v>
      </x:c>
      <x:c r="H158" s="77" t="n">
        <x:f>LEN(C158)</x:f>
        <x:v>444</x:v>
      </x:c>
      <x:c r="I158" s="77" t="n">
        <x:f>IF(H158&gt;2400,3,IF(H158&gt;1200,2,1))</x:f>
        <x:v>1</x:v>
      </x:c>
      <x:c r="J158" s="17" t="str">
        <x:f>IF('Sessions'!B158="intent_override","Drop superseded values before query embedding",IF('Sessions'!B158="boundary","Do not invent a value for no-preference attributes","Keep profile tags soft; current message wins"))</x:f>
        <x:v>Keep profile tags soft; current message wins</x:v>
      </x:c>
    </x:row>
    <x:row r="159" ht="72" customHeight="1">
      <x:c r="A159" t="str">
        <x:f>'Sessions'!A159</x:f>
        <x:v>public_0155</x:v>
      </x:c>
      <x:c r="B159" t="str">
        <x:f>'Target Products'!B159</x:f>
        <x:v>B0C4VLWWYY</x:v>
      </x:c>
      <x:c r="C159" s="17" t="str">
        <x:f>"title: "&amp;'Target Products'!C159&amp;" | categories: "&amp;'Target Products'!D159&amp;" | features: "&amp;'Target Products'!F159&amp;" | details: "&amp;'Target Products'!G159&amp;" | description: "&amp;'Target Products'!H159</x:f>
        <x:v>title: GearTOP Net Hat UV Protection Sun Hat Head Net Hat Fishing Hat for Men &amp; Women Wide Brim Hat w/Removable Net | categories: Clothing, Shoes &amp; Jewelry | Men | Accessories | Hats &amp; Caps | Sun Hats | features: 100% Polyester | Imported | Drawstring closure | Machine Wash 30°C/86°F | Removable hat netting: Helps keep your face away from the sun, dust, dirt, and bugs with the netting! | UPF 50+ protection: Enjoy the highest level of protection against the sun with our safari hats for men and women. | Wide brim: Ensure adequate shade for your face, neck, and ears with this bug net hat. | Breathable: Keep your head cool while the heat easily escapes from this netted hat's mesh band. | Elastic drawcord: Adjust to your preferred fit while keeping the sun hat with veil in place. | details: Department: womens | Date First Available: March 20, 2023 | description: </x:v>
      </x:c>
      <x:c r="D159" s="17" t="str">
        <x:f>"title: "&amp;'Target Products'!C159&amp;" | leaf_category: "&amp;'Target Products'!E159&amp;" | store: "&amp;'Target Products'!L159&amp;" | details: "&amp;'Target Products'!G159</x:f>
        <x:v>title: GearTOP Net Hat UV Protection Sun Hat Head Net Hat Fishing Hat for Men &amp; Women Wide Brim Hat w/Removable Net | leaf_category: Sun Hats | store: GearTOP | details: Department: womens | Date First Available: March 20, 2023</x:v>
      </x:c>
      <x:c r="E159" s="17" t="str">
        <x:f>"scenario: "&amp;'Sessions'!B159&amp;" | current_message: "&amp;'Sessions'!M159&amp;" | profile_soft_tags: "&amp;'Sessions'!I159</x:f>
        <x:v>scenario: buying | current_message: I'm looking for Hats &amp; Caps Sun Hats. A key requirement is: polyester. | profile_soft_tags: style | fit | comfort | material</x:v>
      </x:c>
      <x:c r="F159" s="17" t="str">
        <x:f>'Intent Cards'!D159&amp;IF('Intent Cards'!F159&lt;&gt;""," | "&amp;'Intent Cards'!F159,"")</x:f>
        <x:v>polyester | 100% Polyester</x:v>
      </x:c>
      <x:c r="G159" s="17" t="str">
        <x:f>'Sessions'!I159</x:f>
        <x:v>style | fit | comfort | material</x:v>
      </x:c>
      <x:c r="H159" s="77" t="n">
        <x:f>LEN(C159)</x:f>
        <x:v>870</x:v>
      </x:c>
      <x:c r="I159" s="77" t="n">
        <x:f>IF(H159&gt;2400,3,IF(H159&gt;1200,2,1))</x:f>
        <x:v>1</x:v>
      </x:c>
      <x:c r="J159" s="17" t="str">
        <x:f>IF('Sessions'!B159="intent_override","Drop superseded values before query embedding",IF('Sessions'!B159="boundary","Do not invent a value for no-preference attributes","Keep profile tags soft; current message wins"))</x:f>
        <x:v>Keep profile tags soft; current message wins</x:v>
      </x:c>
    </x:row>
    <x:row r="160" ht="72" customHeight="1">
      <x:c r="A160" t="str">
        <x:f>'Sessions'!A160</x:f>
        <x:v>public_0156</x:v>
      </x:c>
      <x:c r="B160" t="str">
        <x:f>'Target Products'!B160</x:f>
        <x:v>B0C3KZXV4B</x:v>
      </x:c>
      <x:c r="C160" s="17" t="str">
        <x:f>"title: "&amp;'Target Products'!C160&amp;" | categories: "&amp;'Target Products'!D160&amp;" | features: "&amp;'Target Products'!F160&amp;" | details: "&amp;'Target Products'!G160&amp;" | description: "&amp;'Target Products'!H160</x:f>
        <x:v>title: adidas Alliance II Sackpack, Shadow Navy/Snowglobe/Dash Grey, One Size | categories: Clothing, Shoes &amp; Jewelry | Luggage &amp; Travel Gear | Gym Bags | Drawstring Bags | features: Easy cinch opening with durable cording | Zippered valuables pocket to hold your phone and small stuff | Bold 3-stripe brand read | Model Number: 104148 | details: Package Dimensions: 14.96 x 12.32 x 1.93 inches | Item Weight: 9.9 ounces | Department: unisex-adult | Manufacturer: adidas | Country of Origin: Cambodia | Item model number: 104148 | Best Sellers Rank: [object Object] | Age Range Description: Adult | Number Of Items: 1 | Units: 1 Count | description: As useful as it is classic - this is the iconic sackpack for athletes. Perfect for when you need a bit of extra storage for shoes or clothes or it can be worn alone as a backpack alternative. With two water bottle pockets and a zippered outside drop pocket - it has all the value you need.</x:v>
      </x:c>
      <x:c r="D160" s="17" t="str">
        <x:f>"title: "&amp;'Target Products'!C160&amp;" | leaf_category: "&amp;'Target Products'!E160&amp;" | store: "&amp;'Target Products'!L160&amp;" | details: "&amp;'Target Products'!G160</x:f>
        <x:v>title: adidas Alliance II Sackpack, Shadow Navy/Snowglobe/Dash Grey, One Size | leaf_category: Drawstring Bags | store: adidas | details: Package Dimensions: 14.96 x 12.32 x 1.93 inches | Item Weight: 9.9 ounces | Department: unisex-adult | Manufacturer: adidas | Country of Origin: Cambodia | Item model number: 104148 | Best Sellers Rank: [object Object] | Age Range Description: Adult | Number Of Items: 1 | Units: 1 Count</x:v>
      </x:c>
      <x:c r="E160" s="17" t="str">
        <x:f>"scenario: "&amp;'Sessions'!B160&amp;" | current_message: "&amp;'Sessions'!M160&amp;" | profile_soft_tags: "&amp;'Sessions'!I160</x:f>
        <x:v>scenario: buying | current_message: I'm looking for Gym Bags Drawstring Bags. A key requirement is: Easy cinch opening with durable cording. | profile_soft_tags: fit | comfort | style</x:v>
      </x:c>
      <x:c r="F160" s="17" t="str">
        <x:f>'Intent Cards'!D160&amp;IF('Intent Cards'!F160&lt;&gt;""," | "&amp;'Intent Cards'!F160,"")</x:f>
        <x:v>Easy cinch opening with durable cording | color: grey</x:v>
      </x:c>
      <x:c r="G160" s="17" t="str">
        <x:f>'Sessions'!I160</x:f>
        <x:v>fit | comfort | style</x:v>
      </x:c>
      <x:c r="H160" s="77" t="n">
        <x:f>LEN(C160)</x:f>
        <x:v>939</x:v>
      </x:c>
      <x:c r="I160" s="77" t="n">
        <x:f>IF(H160&gt;2400,3,IF(H160&gt;1200,2,1))</x:f>
        <x:v>1</x:v>
      </x:c>
      <x:c r="J160" s="17" t="str">
        <x:f>IF('Sessions'!B160="intent_override","Drop superseded values before query embedding",IF('Sessions'!B160="boundary","Do not invent a value for no-preference attributes","Keep profile tags soft; current message wins"))</x:f>
        <x:v>Keep profile tags soft; current message wins</x:v>
      </x:c>
    </x:row>
    <x:row r="161" ht="72" customHeight="1">
      <x:c r="A161" t="str">
        <x:f>'Sessions'!A161</x:f>
        <x:v>public_0157</x:v>
      </x:c>
      <x:c r="B161" t="str">
        <x:f>'Target Products'!B161</x:f>
        <x:v>B00BCHDM14</x:v>
      </x:c>
      <x:c r="C161" s="17" t="str">
        <x:f>"title: "&amp;'Target Products'!C161&amp;" | categories: "&amp;'Target Products'!D161&amp;" | features: "&amp;'Target Products'!F161&amp;" | details: "&amp;'Target Products'!G161&amp;" | description: "&amp;'Target Products'!H161</x:f>
        <x:v>title: Kamik Women's Momentum Snow Boot | categories: Clothing, Shoes &amp; Jewelry | Boot Shop | Women | Outdoor &amp; Work | Snow &amp; Cold Weather | features: Nylon | Rubber sole | Seam-sealed waterproof snow boot featuring plush faux-fur collar, quick bungee lacing, and grippy PEAK snow and ice traction sole | Removable footbed with anti-odor treatment | Moisture-wicking lining provides excellent breathability | Waterproof nylon upper with a faux fur collar and a waterproof gusset tongue | details: Package Dimensions: 12 x 8 x 4 inches; 1.3 Pounds | Item model number: Momentum-W | Department: womens | Date First Available: September 20, 2013 | Manufacturer: Kamik | description: A subtle print, faux fur lining, and embossed lacing graphics add femininity to this techy snow boot. | Kamik comes from a place of extremes. Where the harshest conditions intersect with some of the most beautiful sights you'll ever see. At Kamik, we make footwear that brings to life our northern origins. Singular. Strong. Simply dependable. We've been doing it for over 100 years. Day after day. 24/7. The result of all this effort: a complete line of outdoor footwear built to deliver superior comfort and reliable protection in the most extreme conditions. We know you wouldn't have it any other way.</x:v>
      </x:c>
      <x:c r="D161" s="17" t="str">
        <x:f>"title: "&amp;'Target Products'!C161&amp;" | leaf_category: "&amp;'Target Products'!E161&amp;" | store: "&amp;'Target Products'!L161&amp;" | details: "&amp;'Target Products'!G161</x:f>
        <x:v>title: Kamik Women's Momentum Snow Boot | leaf_category: Snow &amp; Cold Weather | store: Kamik | details: Package Dimensions: 12 x 8 x 4 inches; 1.3 Pounds | Item model number: Momentum-W | Department: womens | Date First Available: September 20, 2013 | Manufacturer: Kamik</x:v>
      </x:c>
      <x:c r="E161" s="17" t="str">
        <x:f>"scenario: "&amp;'Sessions'!B161&amp;" | current_message: "&amp;'Sessions'!M161&amp;" | profile_soft_tags: "&amp;'Sessions'!I161</x:f>
        <x:v>scenario: buying | current_message: I'm looking for Outdoor &amp; Work Snow &amp; Cold Weather. A key requirement is: nylon. | profile_soft_tags: comfort | fit | material | warmth</x:v>
      </x:c>
      <x:c r="F161" s="17" t="str">
        <x:f>'Intent Cards'!D161&amp;IF('Intent Cards'!F161&lt;&gt;""," | "&amp;'Intent Cards'!F161,"")</x:f>
        <x:v>nylon | Nylon</x:v>
      </x:c>
      <x:c r="G161" s="17" t="str">
        <x:f>'Sessions'!I161</x:f>
        <x:v>comfort | fit | material | warmth</x:v>
      </x:c>
      <x:c r="H161" s="77" t="n">
        <x:f>LEN(C161)</x:f>
        <x:v>1285</x:v>
      </x:c>
      <x:c r="I161" s="77" t="n">
        <x:f>IF(H161&gt;2400,3,IF(H161&gt;1200,2,1))</x:f>
        <x:v>2</x:v>
      </x:c>
      <x:c r="J161" s="17" t="str">
        <x:f>IF('Sessions'!B161="intent_override","Drop superseded values before query embedding",IF('Sessions'!B161="boundary","Do not invent a value for no-preference attributes","Keep profile tags soft; current message wins"))</x:f>
        <x:v>Keep profile tags soft; current message wins</x:v>
      </x:c>
    </x:row>
    <x:row r="162" ht="72" customHeight="1">
      <x:c r="A162" t="str">
        <x:f>'Sessions'!A162</x:f>
        <x:v>public_0158</x:v>
      </x:c>
      <x:c r="B162" t="str">
        <x:f>'Target Products'!B162</x:f>
        <x:v>B012ZM6RGQ</x:v>
      </x:c>
      <x:c r="C162" s="17" t="str">
        <x:f>"title: "&amp;'Target Products'!C162&amp;" | categories: "&amp;'Target Products'!D162&amp;" | features: "&amp;'Target Products'!F162&amp;" | details: "&amp;'Target Products'!G162&amp;" | description: "&amp;'Target Products'!H162</x:f>
        <x:v>title: CreepyParty Novelty Halloween Costume Party Animal Head Mask - King Lion | categories: Clothing, Shoes &amp; Jewelry | Costumes &amp; Accessories | Men | Masks | features: Roomy enough to fit any adult.You can see through the nostrils or the mouth. | Made from 100% natural latex, environmental friendly and non-toxic. We offer a range of quality choices with the best price. | Perfect for a fun meme, Halloween, Christmas, Easter, Carnival, Costume parties, tag party or simply for going to a night club. It is perfect for so many occasions. | CreepyParty is an amazon registered brand, more creepy and funny masks, please visit our store. | 100% Money Back Guarantee - if for any reason you are not entirely satisfied, you may return any item in its original condition for a full refund or exchange within 7 business days from delivery. | details: Package Dimensions: 7.7 x 3.4 x 3.3 inches | Item Weight: 7.4 ounces | Item model number: STMask | Best Sellers Rank: [object Object] | Is Discontinued By Manufacturer: No | Department: unisex-adult | Manufacturer: Seaton | description: </x:v>
      </x:c>
      <x:c r="D162" s="17" t="str">
        <x:f>"title: "&amp;'Target Products'!C162&amp;" | leaf_category: "&amp;'Target Products'!E162&amp;" | store: "&amp;'Target Products'!L162&amp;" | details: "&amp;'Target Products'!G162</x:f>
        <x:v>title: CreepyParty Novelty Halloween Costume Party Animal Head Mask - King Lion | leaf_category: Masks | store: CreepyParty | details: Package Dimensions: 7.7 x 3.4 x 3.3 inches | Item Weight: 7.4 ounces | Item model number: STMask | Best Sellers Rank: [object Object] | Is Discontinued By Manufacturer: No | Department: unisex-adult | Manufacturer: Seaton</x:v>
      </x:c>
      <x:c r="E162" s="17" t="str">
        <x:f>"scenario: "&amp;'Sessions'!B162&amp;" | current_message: "&amp;'Sessions'!M162&amp;" | profile_soft_tags: "&amp;'Sessions'!I162</x:f>
        <x:v>scenario: browsing | current_message: I'm looking for Men Masks, but I'm still exploring. | profile_soft_tags: warmth | comfort | material | fit</x:v>
      </x:c>
      <x:c r="F162" s="17" t="str">
        <x:f>'Intent Cards'!D162&amp;IF('Intent Cards'!F162&lt;&gt;""," | "&amp;'Intent Cards'!F162,"")</x:f>
        <x:v>Roomy enough to fit any adult.You can see through the nostrils or the mouth | Made from 100% natural latex, environmental friendly and non-toxic. We offer a range of quality choices with the best price</x:v>
      </x:c>
      <x:c r="G162" s="17" t="str">
        <x:f>'Sessions'!I162</x:f>
        <x:v>warmth | comfort | material | fit</x:v>
      </x:c>
      <x:c r="H162" s="77" t="n">
        <x:f>LEN(C162)</x:f>
        <x:v>1086</x:v>
      </x:c>
      <x:c r="I162" s="77" t="n">
        <x:f>IF(H162&gt;2400,3,IF(H162&gt;1200,2,1))</x:f>
        <x:v>1</x:v>
      </x:c>
      <x:c r="J162" s="17" t="str">
        <x:f>IF('Sessions'!B162="intent_override","Drop superseded values before query embedding",IF('Sessions'!B162="boundary","Do not invent a value for no-preference attributes","Keep profile tags soft; current message wins"))</x:f>
        <x:v>Keep profile tags soft; current message wins</x:v>
      </x:c>
    </x:row>
    <x:row r="163" ht="72" customHeight="1">
      <x:c r="A163" t="str">
        <x:f>'Sessions'!A163</x:f>
        <x:v>public_0159</x:v>
      </x:c>
      <x:c r="B163" t="str">
        <x:f>'Target Products'!B163</x:f>
        <x:v>B00UHLFR32</x:v>
      </x:c>
      <x:c r="C163" s="17" t="str">
        <x:f>"title: "&amp;'Target Products'!C163&amp;" | categories: "&amp;'Target Products'!D163&amp;" | features: "&amp;'Target Products'!F163&amp;" | details: "&amp;'Target Products'!G163&amp;" | description: "&amp;'Target Products'!H163</x:f>
        <x:v>title: Fruit of the Loom Men's Extended Sizes Jersey Knit Sleep Pant (1 &amp; 2 Packs) | categories: Clothing, Shoes &amp; Jewelry | Men | Clothing | Sleep &amp; Lounge | Sleep Bottoms | features: 60% Cotton, 40% Polyester | Imported | Drawstring closure | Machine Wash | Pack of 1 | Easy care, machine washable | Relaxed sleep pant featuring elastic waistband with drawstring and front fly with single button | Two deep side-seam pockets | Soft-hand feel | Perfect for sleeping, lounging, or relaxing | details: Package Dimensions: 1 x 1 x 1 inches; 1 Pounds | Item model number: 2457803FOL | Department: Mens | Date First Available: May 14, 2015 | Manufacturer: Fruit of the Loom Men's Sleepwear | description: Fruit of the Loom printed knit lounge pants are your all-season, all-the-time chill-out pants - whether you're just relaxing around the house or trying to get a good night's sleep. The super soft, lightweight cotton knit fabric keeps you warm when you need it, but is cool enough for the spring and summer months, and has natural stretch so it moves with you, too. The elastic waistband has a comfortable drawstring cord, so you can tailor the fit to exactly where you need it. Two side seam pockets and a button thru fly complete the classic look. Machine washable; 100 percent cotton. Fruit of the Loom was born in 1851 when brothers benjamin and Robert knight bought their first mill and started producing cotton cloth and textiles in warwick, rhode island. As one of the world's oldest brands, Fruit of the Loom is synonymous with providing quality, value and style. Staying true to our roots and close to our heritage, our collections are authentic, timeless and unmistakably Fruit of the Loom.</x:v>
      </x:c>
      <x:c r="D163" s="17" t="str">
        <x:f>"title: "&amp;'Target Products'!C163&amp;" | leaf_category: "&amp;'Target Products'!E163&amp;" | store: "&amp;'Target Products'!L163&amp;" | details: "&amp;'Target Products'!G163</x:f>
        <x:v>title: Fruit of the Loom Men's Extended Sizes Jersey Knit Sleep Pant (1 &amp; 2 Packs) | leaf_category: Sleep Bottoms | store: Fruit of the Loom | details: Package Dimensions: 1 x 1 x 1 inches; 1 Pounds | Item model number: 2457803FOL | Department: Mens | Date First Available: May 14, 2015 | Manufacturer: Fruit of the Loom Men's Sleepwear</x:v>
      </x:c>
      <x:c r="E163" s="17" t="str">
        <x:f>"scenario: "&amp;'Sessions'!B163&amp;" | current_message: "&amp;'Sessions'!M163&amp;" | profile_soft_tags: "&amp;'Sessions'!I163</x:f>
        <x:v>scenario: buying | current_message: I'm looking for Sleep &amp; Lounge Sleep Bottoms. A key requirement is: cotton. | profile_soft_tags: material | comfort | fit | style</x:v>
      </x:c>
      <x:c r="F163" s="17" t="str">
        <x:f>'Intent Cards'!D163&amp;IF('Intent Cards'!F163&lt;&gt;""," | "&amp;'Intent Cards'!F163,"")</x:f>
        <x:v>cotton | 60% Cotton, 40% Polyester</x:v>
      </x:c>
      <x:c r="G163" s="17" t="str">
        <x:f>'Sessions'!I163</x:f>
        <x:v>material | comfort | fit | style</x:v>
      </x:c>
      <x:c r="H163" s="77" t="n">
        <x:f>LEN(C163)</x:f>
        <x:v>1700</x:v>
      </x:c>
      <x:c r="I163" s="77" t="n">
        <x:f>IF(H163&gt;2400,3,IF(H163&gt;1200,2,1))</x:f>
        <x:v>2</x:v>
      </x:c>
      <x:c r="J163" s="17" t="str">
        <x:f>IF('Sessions'!B163="intent_override","Drop superseded values before query embedding",IF('Sessions'!B163="boundary","Do not invent a value for no-preference attributes","Keep profile tags soft; current message wins"))</x:f>
        <x:v>Keep profile tags soft; current message wins</x:v>
      </x:c>
    </x:row>
    <x:row r="164" ht="72" customHeight="1">
      <x:c r="A164" t="str">
        <x:f>'Sessions'!A164</x:f>
        <x:v>public_0160</x:v>
      </x:c>
      <x:c r="B164" t="str">
        <x:f>'Target Products'!B164</x:f>
        <x:v>B01AAANF2Y</x:v>
      </x:c>
      <x:c r="C164" s="17" t="str">
        <x:f>"title: "&amp;'Target Products'!C164&amp;" | categories: "&amp;'Target Products'!D164&amp;" | features: "&amp;'Target Products'!F164&amp;" | details: "&amp;'Target Products'!G164&amp;" | description: "&amp;'Target Products'!H164</x:f>
        <x:v>title: Amazon Basics 4 Piece Packing Travel Organizer Cubes Set - Slim, Black | categories: Clothing, Shoes &amp; Jewelry | Luggage &amp; Travel Gear | Travel Accessories | Packing Organizers | features: Double zipper pulls make opening/closing simple and fast | Mesh top panel for easy identification of contents, and ventilation | Soft mesh won't damage delicate fabrics | Webbing handle for convenience when carried by itself | Slim cube dimensions: 14 x 5 x 2.8 inches | Made of high-quality fabric with finished interior seams to increase durability | details: Brand: Amazon Basics | Material: Polyester | Color: Black | Product Dimensions: 14"L x 5"W x 2.8"H | Special Feature: Durability | Closure Type: Zipper | Shape: Cube | Size: Slim | Number of Sets: 4 | Item Weight: 0.65 Pounds | Manufacturer: Amazon Basics | Country of Origin: Indonesia | Item model number: ZH1509007 | Best Sellers Rank: [object Object] | Is Discontinued By Manufacturer: No | description: Product Description | Amazon Basics 4 Piece Packing Travel Organizer Cubes Set - Slim, Black | From the Manufacturer | Amazon Basics</x:v>
      </x:c>
      <x:c r="D164" s="17" t="str">
        <x:f>"title: "&amp;'Target Products'!C164&amp;" | leaf_category: "&amp;'Target Products'!E164&amp;" | store: "&amp;'Target Products'!L164&amp;" | details: "&amp;'Target Products'!G164</x:f>
        <x:v>title: Amazon Basics 4 Piece Packing Travel Organizer Cubes Set - Slim, Black | leaf_category: Packing Organizers | store: Amazon Basics | details: Brand: Amazon Basics | Material: Polyester | Color: Black | Product Dimensions: 14"L x 5"W x 2.8"H | Special Feature: Durability | Closure Type: Zipper | Shape: Cube | Size: Slim | Number of Sets: 4 | Item Weight: 0.65 Pounds | Manufacturer: Amazon Basics | Country of Origin: Indonesia | Item model number: ZH1509007 | Best Sellers Rank: [object Object] | Is Discontinued By Manufacturer: No</x:v>
      </x:c>
      <x:c r="E164" s="17" t="str">
        <x:f>"scenario: "&amp;'Sessions'!B164&amp;" | current_message: "&amp;'Sessions'!M164&amp;" | profile_soft_tags: "&amp;'Sessions'!I164</x:f>
        <x:v>scenario: buying | current_message: I'm looking for Travel Accessories Packing Organizers. A key requirement is: fabric. | profile_soft_tags: material | fit</x:v>
      </x:c>
      <x:c r="F164" s="17" t="str">
        <x:f>'Intent Cards'!D164&amp;IF('Intent Cards'!F164&lt;&gt;""," | "&amp;'Intent Cards'!F164,"")</x:f>
        <x:v>fabric | color: black</x:v>
      </x:c>
      <x:c r="G164" s="17" t="str">
        <x:f>'Sessions'!I164</x:f>
        <x:v>material | fit</x:v>
      </x:c>
      <x:c r="H164" s="77" t="n">
        <x:f>LEN(C164)</x:f>
        <x:v>1098</x:v>
      </x:c>
      <x:c r="I164" s="77" t="n">
        <x:f>IF(H164&gt;2400,3,IF(H164&gt;1200,2,1))</x:f>
        <x:v>1</x:v>
      </x:c>
      <x:c r="J164" s="17" t="str">
        <x:f>IF('Sessions'!B164="intent_override","Drop superseded values before query embedding",IF('Sessions'!B164="boundary","Do not invent a value for no-preference attributes","Keep profile tags soft; current message wins"))</x:f>
        <x:v>Keep profile tags soft; current message wins</x:v>
      </x:c>
    </x:row>
    <x:row r="165" ht="72" customHeight="1">
      <x:c r="A165" t="str">
        <x:f>'Sessions'!A165</x:f>
        <x:v>public_0161</x:v>
      </x:c>
      <x:c r="B165" t="str">
        <x:f>'Target Products'!B165</x:f>
        <x:v>B0B6N6TJ6V</x:v>
      </x:c>
      <x:c r="C165" s="17" t="str">
        <x:f>"title: "&amp;'Target Products'!C165&amp;" | categories: "&amp;'Target Products'!D165&amp;" | features: "&amp;'Target Products'!F165&amp;" | details: "&amp;'Target Products'!G165&amp;" | description: "&amp;'Target Products'!H165</x:f>
        <x:v>title: Thankful Grateful Blessed Shirt for Women Plaid Pumpkin Long Sleeve Tshirts Leopard Stripe Striped Thanksgiving Fall Tee Tops | categories: Clothing, Shoes &amp; Jewelry | Women | Clothing | Tops, Tees &amp; Blouses | T-Shirts | features: cotton blend | Imported | Pull On closure | Dry Clean Only | Material: Cotton blend,lightweight and soft material - It's such a classic Look. | Features: Thankful grateful blessed print and cute plaid pumpkin graphic, leopard stripe color block fall long sleeve for women.Thanksgiving shirt for women. | Good match: Casual daily shirt,basic tshirt to wear this shirt very suitable for fall and winter, good match for jeans,dress,gift for mother/sister/grandmother/friend/girlfriend | Occasion :This Thanksgiving shirt is great as Thanksgiving party,Christmas,Thanksgiving Day gift ,and so on. | Note:Washed recommend.Machine wash cold water, do not dry clean, dry flat, Not bleach.Please check the measurement chart carefully before you buy the item. | details: Product Dimensions: 0.79 x 0.79 x 0.39 inches | Department: Womens | Date First Available: July 15, 2022 | description: </x:v>
      </x:c>
      <x:c r="D165" s="17" t="str">
        <x:f>"title: "&amp;'Target Products'!C165&amp;" | leaf_category: "&amp;'Target Products'!E165&amp;" | store: "&amp;'Target Products'!L165&amp;" | details: "&amp;'Target Products'!G165</x:f>
        <x:v>title: Thankful Grateful Blessed Shirt for Women Plaid Pumpkin Long Sleeve Tshirts Leopard Stripe Striped Thanksgiving Fall Tee Tops | leaf_category: T-Shirts | store: FAYALEQ | details: Product Dimensions: 0.79 x 0.79 x 0.39 inches | Department: Womens | Date First Available: July 15, 2022</x:v>
      </x:c>
      <x:c r="E165" s="17" t="str">
        <x:f>"scenario: "&amp;'Sessions'!B165&amp;" | current_message: "&amp;'Sessions'!M165&amp;" | profile_soft_tags: "&amp;'Sessions'!I165</x:f>
        <x:v>scenario: buying | current_message: I'm looking for Tees &amp; Blouses T-Shirts. A key requirement is: cotton. | profile_soft_tags: style | fit | comfort | material</x:v>
      </x:c>
      <x:c r="F165" s="17" t="str">
        <x:f>'Intent Cards'!D165&amp;IF('Intent Cards'!F165&lt;&gt;""," | "&amp;'Intent Cards'!F165,"")</x:f>
        <x:v>cotton | cotton blend</x:v>
      </x:c>
      <x:c r="G165" s="17" t="str">
        <x:f>'Sessions'!I165</x:f>
        <x:v>style | fit | comfort | material</x:v>
      </x:c>
      <x:c r="H165" s="77" t="n">
        <x:f>LEN(C165)</x:f>
        <x:v>1120</x:v>
      </x:c>
      <x:c r="I165" s="77" t="n">
        <x:f>IF(H165&gt;2400,3,IF(H165&gt;1200,2,1))</x:f>
        <x:v>1</x:v>
      </x:c>
      <x:c r="J165" s="17" t="str">
        <x:f>IF('Sessions'!B165="intent_override","Drop superseded values before query embedding",IF('Sessions'!B165="boundary","Do not invent a value for no-preference attributes","Keep profile tags soft; current message wins"))</x:f>
        <x:v>Keep profile tags soft; current message wins</x:v>
      </x:c>
    </x:row>
    <x:row r="166" ht="72" customHeight="1">
      <x:c r="A166" t="str">
        <x:f>'Sessions'!A166</x:f>
        <x:v>public_0162</x:v>
      </x:c>
      <x:c r="B166" t="str">
        <x:f>'Target Products'!B166</x:f>
        <x:v>B0B71JNMQY</x:v>
      </x:c>
      <x:c r="C166" s="17" t="str">
        <x:f>"title: "&amp;'Target Products'!C166&amp;" | categories: "&amp;'Target Products'!D166&amp;" | features: "&amp;'Target Products'!F166&amp;" | details: "&amp;'Target Products'!G166&amp;" | description: "&amp;'Target Products'!H166</x:f>
        <x:v>title: Satin Silk Slip Maxi Dress for Wedding Guest Women- Cowl Neck Pleated Bust Split Wedding Guest Cocktail Midi Dresses | categories: Clothing, Shoes &amp; Jewelry | Women | Clothing | Dresses | features: Satin | Imported | Zipper closure | Dry Clean Only | GOOD QUALITY MATERIAL: Maxi dresses for women summer are made of chiffon rayon, lightweight,silky soft and breathable, cool fabric is very suitable for summer, let you wear it no longer feel muggy, eco friendly luscious fabric,no strong odor after unboxing and not too wrinkly,This womens summer dresses are absolutely adorable! | DESIGN &amp; CUT: Dresses for wedding guest,flattering cut,we’re bringing tie-dye back in a big way and featuring it throughout this lush slip-style, elegant trumpet silhouette, It also features a flattering cowl neckline and a cheeky thigh vent for that touch of flirtiness you’ve been dying for! | NOT TRANSPARENT: Mint print midi dress is beautiful,Fabric seems thin but isn't see through,because have heavy lined, bra and uderwear will not show through at all | IMPORTANCE: Please refer the size table given in the left picture to choose the perfect size for you. Please consider 1cm-3cm variations from the given chart all the measurements are taken manually,temperature for machine washing, and hang to dry clean your maxi split dress | OCCASSION: This cocktail dress is great for any season vacation, outdoor,wedding,honeymoon, anniversary,casual,office, beach, date, party, daily wear,wear it attend a wedding party, a good selection go to a beach for a party,you will get tons of compliments | details: Is Discontinued By Manufacturer: Yes | Department: Womens | Date First Available: July 13, 2021 | Manufacturer: Fiemaoves | description: </x:v>
      </x:c>
      <x:c r="D166" s="17" t="str">
        <x:f>"title: "&amp;'Target Products'!C166&amp;" | leaf_category: "&amp;'Target Products'!E166&amp;" | store: "&amp;'Target Products'!L166&amp;" | details: "&amp;'Target Products'!G166</x:f>
        <x:v>title: Satin Silk Slip Maxi Dress for Wedding Guest Women- Cowl Neck Pleated Bust Split Wedding Guest Cocktail Midi Dresses | leaf_category: Dresses | store: Fiemaoves | details: Is Discontinued By Manufacturer: Yes | Department: Womens | Date First Available: July 13, 2021 | Manufacturer: Fiemaoves</x:v>
      </x:c>
      <x:c r="E166" s="17" t="str">
        <x:f>"scenario: "&amp;'Sessions'!B166&amp;" | current_message: "&amp;'Sessions'!M166&amp;" | profile_soft_tags: "&amp;'Sessions'!I166</x:f>
        <x:v>scenario: browsing | current_message: I'm looking for Women Dresses, but I'm still exploring. | profile_soft_tags: material | fit</x:v>
      </x:c>
      <x:c r="F166" s="17" t="str">
        <x:f>'Intent Cards'!D166&amp;IF('Intent Cards'!F166&lt;&gt;""," | "&amp;'Intent Cards'!F166,"")</x:f>
        <x:v>silk | Satin</x:v>
      </x:c>
      <x:c r="G166" s="17" t="str">
        <x:f>'Sessions'!I166</x:f>
        <x:v>material | fit</x:v>
      </x:c>
      <x:c r="H166" s="77" t="n">
        <x:f>LEN(C166)</x:f>
        <x:v>1734</x:v>
      </x:c>
      <x:c r="I166" s="77" t="n">
        <x:f>IF(H166&gt;2400,3,IF(H166&gt;1200,2,1))</x:f>
        <x:v>2</x:v>
      </x:c>
      <x:c r="J166" s="17" t="str">
        <x:f>IF('Sessions'!B166="intent_override","Drop superseded values before query embedding",IF('Sessions'!B166="boundary","Do not invent a value for no-preference attributes","Keep profile tags soft; current message wins"))</x:f>
        <x:v>Keep profile tags soft; current message wins</x:v>
      </x:c>
    </x:row>
    <x:row r="167" ht="72" customHeight="1">
      <x:c r="A167" t="str">
        <x:f>'Sessions'!A167</x:f>
        <x:v>public_0163</x:v>
      </x:c>
      <x:c r="B167" t="str">
        <x:f>'Target Products'!B167</x:f>
        <x:v>B0834T68X3</x:v>
      </x:c>
      <x:c r="C167" s="17" t="str">
        <x:f>"title: "&amp;'Target Products'!C167&amp;" | categories: "&amp;'Target Products'!D167&amp;" | features: "&amp;'Target Products'!F167&amp;" | details: "&amp;'Target Products'!G167&amp;" | description: "&amp;'Target Products'!H167</x:f>
        <x:v>title: DOUSSPRT Womens Walking Shoes Slip on Sock Sneakers Lady Girls Nurse Mesh Air Cushion Platform Loafers Fashion Casual | categories: Clothing, Shoes &amp; Jewelry | Women | Shoes | Athletic | Walking | features: Rubber sole | 1.Mesh Fabric + Air Cushion sole. | 2.Slip-on Design: Slip on design with Elastic Cuff is convenient for user to put on and take off. | 3.The soft sole is made from durable and MD outsole with air cushion, which provides the user with the enough buffer between feet and ground. | 4.Arch design : Perforated arch for ventilation and breathability.Classic air cushion design makes these shoes are perfect work shoes for those who needs to stand or walk for long time. | 5.OCCASION: work,walking,casual,floor shoes,plantar ,long standing,fasciitis,nursing,fishing,gardening,shopping,travel,driving,jazz,tap dance,street jazz,ballet,folk dance,zumba,athletic. | details: Department: womens | Date First Available: December 26, 2019 | Manufacturer: DOUSSPRT | description: </x:v>
      </x:c>
      <x:c r="D167" s="17" t="str">
        <x:f>"title: "&amp;'Target Products'!C167&amp;" | leaf_category: "&amp;'Target Products'!E167&amp;" | store: "&amp;'Target Products'!L167&amp;" | details: "&amp;'Target Products'!G167</x:f>
        <x:v>title: DOUSSPRT Womens Walking Shoes Slip on Sock Sneakers Lady Girls Nurse Mesh Air Cushion Platform Loafers Fashion Casual | leaf_category: Walking | store: DOUSSPRT | details: Department: womens | Date First Available: December 26, 2019 | Manufacturer: DOUSSPRT</x:v>
      </x:c>
      <x:c r="E167" s="17" t="str">
        <x:f>"scenario: "&amp;'Sessions'!B167&amp;" | current_message: "&amp;'Sessions'!M167&amp;" | profile_soft_tags: "&amp;'Sessions'!I167</x:f>
        <x:v>scenario: buying | current_message: I'm looking for Athletic Walking. A key requirement is: fabric. | profile_soft_tags: fit | comfort | material | performance</x:v>
      </x:c>
      <x:c r="F167" s="17" t="str">
        <x:f>'Intent Cards'!D167&amp;IF('Intent Cards'!F167&lt;&gt;""," | "&amp;'Intent Cards'!F167,"")</x:f>
        <x:v>fabric | Rubber sole</x:v>
      </x:c>
      <x:c r="G167" s="17" t="str">
        <x:f>'Sessions'!I167</x:f>
        <x:v>fit | comfort | material | performance</x:v>
      </x:c>
      <x:c r="H167" s="77" t="n">
        <x:f>LEN(C167)</x:f>
        <x:v>996</x:v>
      </x:c>
      <x:c r="I167" s="77" t="n">
        <x:f>IF(H167&gt;2400,3,IF(H167&gt;1200,2,1))</x:f>
        <x:v>1</x:v>
      </x:c>
      <x:c r="J167" s="17" t="str">
        <x:f>IF('Sessions'!B167="intent_override","Drop superseded values before query embedding",IF('Sessions'!B167="boundary","Do not invent a value for no-preference attributes","Keep profile tags soft; current message wins"))</x:f>
        <x:v>Keep profile tags soft; current message wins</x:v>
      </x:c>
    </x:row>
    <x:row r="168" ht="72" customHeight="1">
      <x:c r="A168" t="str">
        <x:f>'Sessions'!A168</x:f>
        <x:v>public_0164</x:v>
      </x:c>
      <x:c r="B168" t="str">
        <x:f>'Target Products'!B168</x:f>
        <x:v>B0C61FG7GL</x:v>
      </x:c>
      <x:c r="C168" s="17" t="str">
        <x:f>"title: "&amp;'Target Products'!C168&amp;" | categories: "&amp;'Target Products'!D168&amp;" | features: "&amp;'Target Products'!F168&amp;" | details: "&amp;'Target Products'!G168&amp;" | description: "&amp;'Target Products'!H168</x:f>
        <x:v>title: BARTON Elite Silicone Watch Bands - Quick Release - Choose Strap Color &amp; Buckle Color (Stainless Steel, Black PVD or Gunmetal Grey) - (ODD SIZE LUG WIDTHS ONLY 19mm, 21mm, 23mm - MOST WATCHES HAVE EVEN SIZED LUG WIDTHS, PLEASE MEASURE CAREFULLY) | categories: Clothing, Shoes &amp; Jewelry | Women | Watches | Watch Bands | features: Buckle closure | SWAP IN SECONDS: Quick release spring bars allow you to swap bands in seconds to compliment your wardrobe or mix and match with BARTON's other Leather, Canvas and Silicone quick release watch bands to take your timepiece from the gym to the workplace. Simply slide quick release knob with finger as shown in diagram. | SELECT PROPER WIDTH: Compatible with any traditional or smart watch that uses 18mm, 19mm, 20mm, 21mm, 22mm, 23mm or 24mm spring bars. Measure watch lug where band and spring bar meet the watch casing. It is important that your watch's lug width is the exact width of the band you select or spring bars will not fit correctly. You can also find the specifications for most watches by searching online. | TWO LENGTHS INCLUDED: Each band comes standard with different two lengths of the ‘long side’ of the strap (the side with the holes), assuring a perfect fit for nearly any wrist. Fits wrists 5" to 8" in circumference, but watch geometry may also impact fit. | LOCKING FEATURE and OTHER ATTRIBUTES: BARTON’s proprietary locking feature assures that the free end of the strap stays securely in place. Quick release spring bars, durable silicone, solid tang 316L stainless steel buckle, scent free and dust free, 2mm taper from watch head to buckle. | SMART WATCH WIDTHS: 'Product Description' section on this page lists proper widths for Asus Zenwatch &amp; Zenwatch 2; Q, Q Tailor, Q Gazer; Huawei Watch, Watch 2 &amp; Watch 2 Classic; Moto360 Gen2 42mm Men's &amp; Women's &amp; Moto360 Gen2 46mm; LG Watch, Urbane G, Urbane R &amp; Watch Style; Pebble, Pebble 2, Pebble Round Large &amp; most other Pebbles; Gear S2 Classic, S3 Classic, S3 Frontier, Gear Sport; Ticwatch 2 &amp; E; | details: Date First Available: May 23, 2023 | description: BARTON Elite Silicone Watch Bands - Quick Release - Choose Strap Color &amp; Buckle Color (Stainless Steel, Black PVD or Gunmetal Grey) - (ODD SIZE LUG WIDTHS ONLY 19mm, 21mm, 23mm - MOST WATCHES HAVE EVEN SIZED LUG WIDTHS, PLEASE MEASURE CAREFULLY)</x:v>
      </x:c>
      <x:c r="D168" s="17" t="str">
        <x:f>"title: "&amp;'Target Products'!C168&amp;" | leaf_category: "&amp;'Target Products'!E168&amp;" | store: "&amp;'Target Products'!L168&amp;" | details: "&amp;'Target Products'!G168</x:f>
        <x:v>title: BARTON Elite Silicone Watch Bands - Quick Release - Choose Strap Color &amp; Buckle Color (Stainless Steel, Black PVD or Gunmetal Grey) - (ODD SIZE LUG WIDTHS ONLY 19mm, 21mm, 23mm - MOST WATCHES HAVE EVEN SIZED LUG WIDTHS, PLEASE MEASURE CAREFULLY) | leaf_category: Watch Bands | store: BARTON WATCH BANDS | details: Date First Available: May 23, 2023</x:v>
      </x:c>
      <x:c r="E168" s="17" t="str">
        <x:f>"scenario: "&amp;'Sessions'!B168&amp;" | current_message: "&amp;'Sessions'!M168&amp;" | profile_soft_tags: "&amp;'Sessions'!I168</x:f>
        <x:v>scenario: browsing | current_message: I'm looking for Watches Watch Bands, but I'm still exploring. | profile_soft_tags: material | fit | style | weather</x:v>
      </x:c>
      <x:c r="F168" s="17" t="str">
        <x:f>'Intent Cards'!D168&amp;IF('Intent Cards'!F168&lt;&gt;""," | "&amp;'Intent Cards'!F168,"")</x:f>
        <x:v>leather | color: black</x:v>
      </x:c>
      <x:c r="G168" s="17" t="str">
        <x:f>'Sessions'!I168</x:f>
        <x:v>material | fit | style | weather</x:v>
      </x:c>
      <x:c r="H168" s="77" t="n">
        <x:f>LEN(C168)</x:f>
        <x:v>2336</x:v>
      </x:c>
      <x:c r="I168" s="77" t="n">
        <x:f>IF(H168&gt;2400,3,IF(H168&gt;1200,2,1))</x:f>
        <x:v>2</x:v>
      </x:c>
      <x:c r="J168" s="17" t="str">
        <x:f>IF('Sessions'!B168="intent_override","Drop superseded values before query embedding",IF('Sessions'!B168="boundary","Do not invent a value for no-preference attributes","Keep profile tags soft; current message wins"))</x:f>
        <x:v>Keep profile tags soft; current message wins</x:v>
      </x:c>
    </x:row>
    <x:row r="169" ht="72" customHeight="1">
      <x:c r="A169" t="str">
        <x:f>'Sessions'!A169</x:f>
        <x:v>public_0165</x:v>
      </x:c>
      <x:c r="B169" t="str">
        <x:f>'Target Products'!B169</x:f>
        <x:v>B09XHSLX4X</x:v>
      </x:c>
      <x:c r="C169" s="17" t="str">
        <x:f>"title: "&amp;'Target Products'!C169&amp;" | categories: "&amp;'Target Products'!D169&amp;" | features: "&amp;'Target Products'!F169&amp;" | details: "&amp;'Target Products'!G169&amp;" | description: "&amp;'Target Products'!H169</x:f>
        <x:v>title: WOCCI Leather Watch Band, Vintage Replacement Strap, Stainless Steel Buckle, Choice of Width 14mm 16mm 18mm 19mm 20mm 21mm 22mm 23mm 24mm | categories: Clothing, Shoes &amp; Jewelry | Women | Watches | Watch Bands | features: Watch Band Material: Made of good quality crazy-horse leather, they are durable that they may take some breaking in when you first start get them. But once you start wearing them, the straps will start to take on the shape of the curve of your wrist and become incredibly comfortable. | Vintage Design: Equipped with classic buckle, neat stitching and proper padding, creating a simple yet charming look, adding a retro vibe to any occasion. Please avoid soaking the leather strap in water repeatedly, it is not recommended to wear it to shower or swim. | Available Size (Band Width): 14mm, 16mm, 18mm, 19mm, 20mm, 21mm, 22mm, 23mm, 24mm. Designed to fit most traditional watches and smart watches. In order to get a suitable strap, please measure inner distance between two horns on your watch. | 16mm Strap Length: 115mm+75mm. The available wrist length for men and women is 6.1-7.7 inch (155mm-197mm). But the dial can also affect the fit. | Packjng List: Genuine Leather Watch Strap x 1, Replacement Tool x 1, Spring Bars x 4. If there are any problems, please feel free to contact us, we will reply you within 24h. | details: Is Discontinued By Manufacturer: No | Package Dimensions: 5.91 x 1.97 x 0.2 inches; 0.71 Ounces | Item model number: FM18-20-22ZK1 | Department: mens | Date First Available: April 24, 2018 | Manufacturer: Wocci Watch Bands | description: </x:v>
      </x:c>
      <x:c r="D169" s="17" t="str">
        <x:f>"title: "&amp;'Target Products'!C169&amp;" | leaf_category: "&amp;'Target Products'!E169&amp;" | store: "&amp;'Target Products'!L169&amp;" | details: "&amp;'Target Products'!G169</x:f>
        <x:v>title: WOCCI Leather Watch Band, Vintage Replacement Strap, Stainless Steel Buckle, Choice of Width 14mm 16mm 18mm 19mm 20mm 21mm 22mm 23mm 24mm | leaf_category: Watch Bands | store: WOCCI | details: Is Discontinued By Manufacturer: No | Package Dimensions: 5.91 x 1.97 x 0.2 inches; 0.71 Ounces | Item model number: FM18-20-22ZK1 | Department: mens | Date First Available: April 24, 2018 | Manufacturer: Wocci Watch Bands</x:v>
      </x:c>
      <x:c r="E169" s="17" t="str">
        <x:f>"scenario: "&amp;'Sessions'!B169&amp;" | current_message: "&amp;'Sessions'!M169&amp;" | profile_soft_tags: "&amp;'Sessions'!I169</x:f>
        <x:v>scenario: buying | current_message: I'm looking for Watches Watch Bands. A key requirement is: leather. | profile_soft_tags: material | comfort | fit | style</x:v>
      </x:c>
      <x:c r="F169" s="17" t="str">
        <x:f>'Intent Cards'!D169&amp;IF('Intent Cards'!F169&lt;&gt;""," | "&amp;'Intent Cards'!F169,"")</x:f>
        <x:v>leather | Watch Band Material: Made of good quality crazy-horse leather, they are durable that they may take some breaking in when you first start get them. But once you start wearing them,</x:v>
      </x:c>
      <x:c r="G169" s="17" t="str">
        <x:f>'Sessions'!I169</x:f>
        <x:v>material | comfort | fit | style</x:v>
      </x:c>
      <x:c r="H169" s="77" t="n">
        <x:f>LEN(C169)</x:f>
        <x:v>1598</x:v>
      </x:c>
      <x:c r="I169" s="77" t="n">
        <x:f>IF(H169&gt;2400,3,IF(H169&gt;1200,2,1))</x:f>
        <x:v>2</x:v>
      </x:c>
      <x:c r="J169" s="17" t="str">
        <x:f>IF('Sessions'!B169="intent_override","Drop superseded values before query embedding",IF('Sessions'!B169="boundary","Do not invent a value for no-preference attributes","Keep profile tags soft; current message wins"))</x:f>
        <x:v>Keep profile tags soft; current message wins</x:v>
      </x:c>
    </x:row>
    <x:row r="170" ht="72" customHeight="1">
      <x:c r="A170" t="str">
        <x:f>'Sessions'!A170</x:f>
        <x:v>public_0166</x:v>
      </x:c>
      <x:c r="B170" t="str">
        <x:f>'Target Products'!B170</x:f>
        <x:v>B00IHW88W0</x:v>
      </x:c>
      <x:c r="C170" s="17" t="str">
        <x:f>"title: "&amp;'Target Products'!C170&amp;" | categories: "&amp;'Target Products'!D170&amp;" | features: "&amp;'Target Products'!F170&amp;" | details: "&amp;'Target Products'!G170&amp;" | description: "&amp;'Target Products'!H170</x:f>
        <x:v>title: Muck Boots Hale Multi-Season Women's Rubber Boot | categories: Clothing, Shoes &amp; Jewelry | Men | Shoes | Boots | Rain | features: 100% waterproof women's boots are suitable for any season and any outdoor activity | Lightweight and breathable mesh lining keeps feet well ventilated for long-wearing dryness; comfort rated from subfreezing to 65 °F/18 °C | Women's-specific last is designed to match the contours of women's feet | Self-cleaning ribbed outsole offers added stability on slick surfaces; easy on-off style with pull-on tab | details: Item Package Dimensions L x W x H: 19.25 x 13.7 x 4.75 inches | Package Weight: 1.66 Kilograms | Item Dimensions  LxWxH: 13.8 x 5.2 x 19.4 inches | Item Weight: 1.6 Pounds | Brand Name: Muck Boot | Country of Origin: China | Warranty Description: Warranty | Model Name: Hawmsmgw6 | Color: Black/Muddy Girl Camo | Material: Plastic | Suggested Users: mens | Manufacturer: Muck | Part Number: 6705218-37 | Model Year: 2016 | Style: Hale | Included Components: Manufactuered Brand Product | Outer Material: Other | Size: 6 | Best Sellers Rank: [object Object] | Date First Available: June 3, 2016 | description: Product Description | Great looks and reliable protection make Muck Hale Multi-Season Women's Rubber Boots a fashionable and functional choice for any season. These 100% waterproof women's boots feature a lightweight 4 mm neoprene bootie for extra comfort and flexibility. Built on a women’s last, these outdoor boots are designed to cater specifically to the contours of the female foot. On the inside, the mesh lining keeps active feet cool and dry all day long. A pull tab makes for easy on-off, and the self-cleaning outsole is ribbed to provide added stability in outdoor conditions. A comfort rating from subfreezing to 65 °F (18 °C) makes these versatile women’s rubber boots a smart year-round choice. | From the Manufacturer | The story began in 1999 with the sole purpose of building the most comfortable, high performance footwear on the market. The need for a more comfortable boot for use in messy and tough conditions led to the design of The Original Muck Boot Company brand footwear. Every boot in the line is expected to deliver the same 100% waterproof quality and comfort that inspired the original footwear. In just a few years, the line has grown to more than 20 styles, all designed to tackle tough conditions in agriculture, lawn and garden, outdoor sporting, equine, and pet care. Today, the Muck Boot brand defines a standard of comfort and quality that goes beyond the expectations of customers around the country.</x:v>
      </x:c>
      <x:c r="D170" s="17" t="str">
        <x:f>"title: "&amp;'Target Products'!C170&amp;" | leaf_category: "&amp;'Target Products'!E170&amp;" | store: "&amp;'Target Products'!L170&amp;" | details: "&amp;'Target Products'!G170</x:f>
        <x:v>title: Muck Boots Hale Multi-Season Women's Rubber Boot | leaf_category: Rain | store: Muck Boot | details: Item Package Dimensions L x W x H: 19.25 x 13.7 x 4.75 inches | Package Weight: 1.66 Kilograms | Item Dimensions  LxWxH: 13.8 x 5.2 x 19.4 inches | Item Weight: 1.6 Pounds | Brand Name: Muck Boot | Country of Origin: China | Warranty Description: Warranty | Model Name: Hawmsmgw6 | Color: Black/Muddy Girl Camo | Material: Plastic | Suggested Users: mens | Manufacturer: Muck | Part Number: 6705218-37 | Model Year: 2016 | Style: Hale | Included Components: Manufactuered Brand Product | Outer Material: Other | Size: 6 | Best Sellers Rank: [object Object] | Date First Available: June 3, 2016</x:v>
      </x:c>
      <x:c r="E170" s="17" t="str">
        <x:f>"scenario: "&amp;'Sessions'!B170&amp;" | current_message: "&amp;'Sessions'!M170&amp;" | profile_soft_tags: "&amp;'Sessions'!I170</x:f>
        <x:v>scenario: intent_override | current_message: I'm looking for Boots Rain. Women's-specific last is designed to match the contours of women's feet | profile_soft_tags: comfort | fit | style</x:v>
      </x:c>
      <x:c r="F170" s="17" t="str">
        <x:f>'Intent Cards'!D170&amp;IF('Intent Cards'!F170&lt;&gt;""," | "&amp;'Intent Cards'!F170,"")</x:f>
        <x:v>100% waterproof women's boots are suitable for any season and any outdoor activity | color: black</x:v>
      </x:c>
      <x:c r="G170" s="17" t="str">
        <x:f>'Sessions'!I170</x:f>
        <x:v>comfort | fit | style</x:v>
      </x:c>
      <x:c r="H170" s="77" t="n">
        <x:f>LEN(C170)</x:f>
        <x:v>2602</x:v>
      </x:c>
      <x:c r="I170" s="77" t="n">
        <x:f>IF(H170&gt;2400,3,IF(H170&gt;1200,2,1))</x:f>
        <x:v>3</x:v>
      </x:c>
      <x:c r="J170" s="17" t="str">
        <x:f>IF('Sessions'!B170="intent_override","Drop superseded values before query embedding",IF('Sessions'!B170="boundary","Do not invent a value for no-preference attributes","Keep profile tags soft; current message wins"))</x:f>
        <x:v>Drop superseded values before query embedding</x:v>
      </x:c>
    </x:row>
    <x:row r="171" ht="72" customHeight="1">
      <x:c r="A171" t="str">
        <x:f>'Sessions'!A171</x:f>
        <x:v>public_0167</x:v>
      </x:c>
      <x:c r="B171" t="str">
        <x:f>'Target Products'!B171</x:f>
        <x:v>B07357B79L</x:v>
      </x:c>
      <x:c r="C171" s="17" t="str">
        <x:f>"title: "&amp;'Target Products'!C171&amp;" | categories: "&amp;'Target Products'!D171&amp;" | features: "&amp;'Target Products'!F171&amp;" | details: "&amp;'Target Products'!G171&amp;" | description: "&amp;'Target Products'!H171</x:f>
        <x:v>title: Champion Women's Absolute Sports Bra with SmoothTec Band, Graphic | categories: Clothing, Shoes &amp; Jewelry | Women | Clothing | Lingerie, Sleep &amp; Lounge | Lingerie | Bras | Sports Bras | features: Imported | Pull-On closure | Machine Wash | Wicking for moisture management | Minimal seams for maximum comfort | T-back design for ease of movement | Compression fit | Built for cycling, running, and gym workouts; Moderate Impact activities | details: Item model number: B9504G | Department: womens | Date First Available: April 20, 2016 | Manufacturer: Champion Women's Activewear | description: The Champion Absolute Workout Sports Bra has a patented SmoothTec band for the ultimate in chafe resistance and comfort. A must have for any gym bag.</x:v>
      </x:c>
      <x:c r="D171" s="17" t="str">
        <x:f>"title: "&amp;'Target Products'!C171&amp;" | leaf_category: "&amp;'Target Products'!E171&amp;" | store: "&amp;'Target Products'!L171&amp;" | details: "&amp;'Target Products'!G171</x:f>
        <x:v>title: Champion Women's Absolute Sports Bra with SmoothTec Band, Graphic | leaf_category: Sports Bras | store: Champion | details: Item model number: B9504G | Department: womens | Date First Available: April 20, 2016 | Manufacturer: Champion Women's Activewear</x:v>
      </x:c>
      <x:c r="E171" s="17" t="str">
        <x:f>"scenario: "&amp;'Sessions'!B171&amp;" | current_message: "&amp;'Sessions'!M171&amp;" | profile_soft_tags: "&amp;'Sessions'!I171</x:f>
        <x:v>scenario: browsing | current_message: I'm looking for Bras Sports Bras, but I'm still exploring. | profile_soft_tags: comfort | fit | style | durability</x:v>
      </x:c>
      <x:c r="F171" s="17" t="str">
        <x:f>'Intent Cards'!D171&amp;IF('Intent Cards'!F171&lt;&gt;""," | "&amp;'Intent Cards'!F171,"")</x:f>
        <x:v>Imported | Pull-On closure</x:v>
      </x:c>
      <x:c r="G171" s="17" t="str">
        <x:f>'Sessions'!I171</x:f>
        <x:v>comfort | fit | style | durability</x:v>
      </x:c>
      <x:c r="H171" s="77" t="n">
        <x:f>LEN(C171)</x:f>
        <x:v>750</x:v>
      </x:c>
      <x:c r="I171" s="77" t="n">
        <x:f>IF(H171&gt;2400,3,IF(H171&gt;1200,2,1))</x:f>
        <x:v>1</x:v>
      </x:c>
      <x:c r="J171" s="17" t="str">
        <x:f>IF('Sessions'!B171="intent_override","Drop superseded values before query embedding",IF('Sessions'!B171="boundary","Do not invent a value for no-preference attributes","Keep profile tags soft; current message wins"))</x:f>
        <x:v>Keep profile tags soft; current message wins</x:v>
      </x:c>
    </x:row>
    <x:row r="172" ht="72" customHeight="1">
      <x:c r="A172" t="str">
        <x:f>'Sessions'!A172</x:f>
        <x:v>public_0168</x:v>
      </x:c>
      <x:c r="B172" t="str">
        <x:f>'Target Products'!B172</x:f>
        <x:v>B08YYHDJD1</x:v>
      </x:c>
      <x:c r="C172" s="17" t="str">
        <x:f>"title: "&amp;'Target Products'!C172&amp;" | categories: "&amp;'Target Products'!D172&amp;" | features: "&amp;'Target Products'!F172&amp;" | details: "&amp;'Target Products'!G172&amp;" | description: "&amp;'Target Products'!H172</x:f>
        <x:v>title: Desimtion Mothers Day Gifts,Mother Daughter Bracelets Set for 2,3,4,5,6.Matching Heart Back to School Bracelets for Mommy and Me Easter Gifts for Girl | categories: Clothing, Shoes &amp; Jewelry | Girls | Jewelry | Necklaces &amp; Pendants | Pendants | features: Mother Daughter Bracelets - Heart bracelet on card meaning “Never Truly Part,Maybe in Distance,But Never in Heart”. All daughters love their mom, but sometimes we just forget to say it . this bracelets as a sweet and meaningful gift to express the love between each other. | Size &amp; High Quality -The heart Bracelets are adjustable, don’t worried about size.The Bracelet is made of stainless steel, strong, corrosion-resistant, and will not change color after long-term wear. | Daughter Gifts from Mom - This mother bracelet suitable Christmas Day, Mothers Day, Birthday, Thanksgiving, as a gift for mom, daughter, stepdaughter,daughter in law or for yourself to express your good wish. | Classical Design - Our product comes with a beautiful box, it is packed with 4 message cards and 4 bracelets, the bracelet uses a heart-to-heart design, it is meaningful &amp; practical, As a little surprise in life, let her know how important she is. | Worry-free refund: If you have any problems with the bracelet, we will solve it for you within 24 hours. | details: Material: Stainless Steel | Brand: Desimtion | Style: 4-Heart | Age Range (Description): Adult | Size: Adjustable | Department: Girls | Date First Available: March 15, 2021 | Manufacturer: DESIMTION | description: </x:v>
      </x:c>
      <x:c r="D172" s="17" t="str">
        <x:f>"title: "&amp;'Target Products'!C172&amp;" | leaf_category: "&amp;'Target Products'!E172&amp;" | store: "&amp;'Target Products'!L172&amp;" | details: "&amp;'Target Products'!G172</x:f>
        <x:v>title: Desimtion Mothers Day Gifts,Mother Daughter Bracelets Set for 2,3,4,5,6.Matching Heart Back to School Bracelets for Mommy and Me Easter Gifts for Girl | leaf_category: Pendants | store: Desimtion | details: Material: Stainless Steel | Brand: Desimtion | Style: 4-Heart | Age Range (Description): Adult | Size: Adjustable | Department: Girls | Date First Available: March 15, 2021 | Manufacturer: DESIMTION</x:v>
      </x:c>
      <x:c r="E172" s="17" t="str">
        <x:f>"scenario: "&amp;'Sessions'!B172&amp;" | current_message: "&amp;'Sessions'!M172&amp;" | profile_soft_tags: "&amp;'Sessions'!I172</x:f>
        <x:v>scenario: buying | current_message: I'm looking for Necklaces &amp; Pendants Pendants. A key requirement is: Mother Daughter Bracelets - Heart bracelet on card meaning “Never Truly Part,Maybe in Distance,But Never in Heart”. All daughters love their mom, but sometimes we just forget to sa. | profile_soft_tags: comfort | warmth | durability | fit</x:v>
      </x:c>
      <x:c r="F172" s="17" t="str">
        <x:f>'Intent Cards'!D172&amp;IF('Intent Cards'!F172&lt;&gt;""," | "&amp;'Intent Cards'!F172,"")</x:f>
        <x:v>Mother Daughter Bracelets - Heart bracelet on card meaning “Never Truly Part,Maybe in Distance,But Never in Heart”. All daughters love their mom, but sometimes we just forget to sa | Size &amp; High Quality -The heart Bracelets are adjustable, don’t worried about size.The Bracelet is made of stainless steel, strong, corrosion-resistant, and will not change color af</x:v>
      </x:c>
      <x:c r="G172" s="17" t="str">
        <x:f>'Sessions'!I172</x:f>
        <x:v>comfort | warmth | durability | fit</x:v>
      </x:c>
      <x:c r="H172" s="77" t="n">
        <x:f>LEN(C172)</x:f>
        <x:v>1530</x:v>
      </x:c>
      <x:c r="I172" s="77" t="n">
        <x:f>IF(H172&gt;2400,3,IF(H172&gt;1200,2,1))</x:f>
        <x:v>2</x:v>
      </x:c>
      <x:c r="J172" s="17" t="str">
        <x:f>IF('Sessions'!B172="intent_override","Drop superseded values before query embedding",IF('Sessions'!B172="boundary","Do not invent a value for no-preference attributes","Keep profile tags soft; current message wins"))</x:f>
        <x:v>Keep profile tags soft; current message wins</x:v>
      </x:c>
    </x:row>
    <x:row r="173" ht="72" customHeight="1">
      <x:c r="A173" t="str">
        <x:f>'Sessions'!A173</x:f>
        <x:v>public_0169</x:v>
      </x:c>
      <x:c r="B173" t="str">
        <x:f>'Target Products'!B173</x:f>
        <x:v>B0829R9M5G</x:v>
      </x:c>
      <x:c r="C173" s="17" t="str">
        <x:f>"title: "&amp;'Target Products'!C173&amp;" | categories: "&amp;'Target Products'!D173&amp;" | features: "&amp;'Target Products'!F173&amp;" | details: "&amp;'Target Products'!G173&amp;" | description: "&amp;'Target Products'!H173</x:f>
        <x:v>title: Amazon Essentials Women's Pull-On Knit Jegging (Available in Plus Size) | categories: Clothing, Shoes &amp; Jewelry | Women | Clothing | Jeans | features: 57% Cotton, 26% Polyester, 10% Other Fibers, 7% Elastane | Imported | Pull On closure | Machine Wash | Snug fit through hip, thigh, and leg | Smooth, snug, and comfortable stretch knit fabric with the perfect amount of give | Tummy smoothing panel secretly and comfortably shapes | Inseams: Short - 26", Regular - 28", Long - 30" | An Amazon brand | details: Package Dimensions: 1 x 1 x 1 inches; 8 Ounces | Item model number: WAE60048FL18 | Department: Womens | Date First Available: September 27, 2020 | Manufacturer: Amazon Essentials | description: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x:v>
      </x:c>
      <x:c r="D173" s="17" t="str">
        <x:f>"title: "&amp;'Target Products'!C173&amp;" | leaf_category: "&amp;'Target Products'!E173&amp;" | store: "&amp;'Target Products'!L173&amp;" | details: "&amp;'Target Products'!G173</x:f>
        <x:v>title: Amazon Essentials Women's Pull-On Knit Jegging (Available in Plus Size) | leaf_category: Jeans | store: Amazon Essentials | details: Package Dimensions: 1 x 1 x 1 inches; 8 Ounces | Item model number: WAE60048FL18 | Department: Womens | Date First Available: September 27, 2020 | Manufacturer: Amazon Essentials</x:v>
      </x:c>
      <x:c r="E173" s="17" t="str">
        <x:f>"scenario: "&amp;'Sessions'!B173&amp;" | current_message: "&amp;'Sessions'!M173&amp;" | profile_soft_tags: "&amp;'Sessions'!I173</x:f>
        <x:v>scenario: boundary | current_message: I'm looking for Women Jeans, but I'm still exploring. | profile_soft_tags: material | comfort</x:v>
      </x:c>
      <x:c r="F173" s="17" t="str">
        <x:f>'Intent Cards'!D173&amp;IF('Intent Cards'!F173&lt;&gt;""," | "&amp;'Intent Cards'!F173,"")</x:f>
        <x:v>cotton | 57% Cotton, 26% Polyester, 10% Other Fibers, 7% Elastane</x:v>
      </x:c>
      <x:c r="G173" s="17" t="str">
        <x:f>'Sessions'!I173</x:f>
        <x:v>material | comfort</x:v>
      </x:c>
      <x:c r="H173" s="77" t="n">
        <x:f>LEN(C173)</x:f>
        <x:v>1100</x:v>
      </x:c>
      <x:c r="I173" s="77" t="n">
        <x:f>IF(H173&gt;2400,3,IF(H173&gt;1200,2,1))</x:f>
        <x:v>1</x:v>
      </x:c>
      <x:c r="J173" s="17" t="str">
        <x:f>IF('Sessions'!B173="intent_override","Drop superseded values before query embedding",IF('Sessions'!B173="boundary","Do not invent a value for no-preference attributes","Keep profile tags soft; current message wins"))</x:f>
        <x:v>Do not invent a value for no-preference attributes</x:v>
      </x:c>
    </x:row>
    <x:row r="174" ht="72" customHeight="1">
      <x:c r="A174" t="str">
        <x:f>'Sessions'!A174</x:f>
        <x:v>public_0170</x:v>
      </x:c>
      <x:c r="B174" t="str">
        <x:f>'Target Products'!B174</x:f>
        <x:v>B08LRQX5RH</x:v>
      </x:c>
      <x:c r="C174" s="17" t="str">
        <x:f>"title: "&amp;'Target Products'!C174&amp;" | categories: "&amp;'Target Products'!D174&amp;" | features: "&amp;'Target Products'!F174&amp;" | details: "&amp;'Target Products'!G174&amp;" | description: "&amp;'Target Products'!H174</x:f>
        <x:v>title: UGG Women's Harrison Lace Fashion Boot | categories: Clothing, Shoes &amp; Jewelry | Boot Shop | Women | Fashion | Combat | features: 100% Leather | Made in the USA or Imported | Rubber sole | Heel measures approximately 1.5" | Waterproof leather or suede upper | Seam-sealed construction | Textile sockliner, Removable insole | Molded rubber outsole | Textile lining | details: Product Dimensions: 14.9 x 12.4 x 5 inches; 2.5 Pounds | Item model number: 1115891-SLTH | Department: Womens | Date First Available: October 23, 2020 | Manufacturer: UGG | description: A bold lace-up silhouette crafted from seam-sealed waterproof leather for enhanced protection against the elements, our Harrison is the boot you've been waiting for. Featuring a 1.5" stack-wrapped heel, molded rubber outsole, and removable foam insole, it's built for all-day comfort while the versatile 5" shaft height works with virtually anything in your wardrobe.</x:v>
      </x:c>
      <x:c r="D174" s="17" t="str">
        <x:f>"title: "&amp;'Target Products'!C174&amp;" | leaf_category: "&amp;'Target Products'!E174&amp;" | store: "&amp;'Target Products'!L174&amp;" | details: "&amp;'Target Products'!G174</x:f>
        <x:v>title: UGG Women's Harrison Lace Fashion Boot | leaf_category: Combat | store: UGG | details: Product Dimensions: 14.9 x 12.4 x 5 inches; 2.5 Pounds | Item model number: 1115891-SLTH | Department: Womens | Date First Available: October 23, 2020 | Manufacturer: UGG</x:v>
      </x:c>
      <x:c r="E174" s="17" t="str">
        <x:f>"scenario: "&amp;'Sessions'!B174&amp;" | current_message: "&amp;'Sessions'!M174&amp;" | profile_soft_tags: "&amp;'Sessions'!I174</x:f>
        <x:v>scenario: browsing | current_message: I'm looking for Fashion Combat, but I'm still exploring. | profile_soft_tags: material | fit</x:v>
      </x:c>
      <x:c r="F174" s="17" t="str">
        <x:f>'Intent Cards'!D174&amp;IF('Intent Cards'!F174&lt;&gt;""," | "&amp;'Intent Cards'!F174,"")</x:f>
        <x:v>leather | 100% Leather</x:v>
      </x:c>
      <x:c r="G174" s="17" t="str">
        <x:f>'Sessions'!I174</x:f>
        <x:v>material | fit</x:v>
      </x:c>
      <x:c r="H174" s="77" t="n">
        <x:f>LEN(C174)</x:f>
        <x:v>935</x:v>
      </x:c>
      <x:c r="I174" s="77" t="n">
        <x:f>IF(H174&gt;2400,3,IF(H174&gt;1200,2,1))</x:f>
        <x:v>1</x:v>
      </x:c>
      <x:c r="J174" s="17" t="str">
        <x:f>IF('Sessions'!B174="intent_override","Drop superseded values before query embedding",IF('Sessions'!B174="boundary","Do not invent a value for no-preference attributes","Keep profile tags soft; current message wins"))</x:f>
        <x:v>Keep profile tags soft; current message wins</x:v>
      </x:c>
    </x:row>
    <x:row r="175" ht="72" customHeight="1">
      <x:c r="A175" t="str">
        <x:f>'Sessions'!A175</x:f>
        <x:v>public_0171</x:v>
      </x:c>
      <x:c r="B175" t="str">
        <x:f>'Target Products'!B175</x:f>
        <x:v>B0BFVFFHKS</x:v>
      </x:c>
      <x:c r="C175" s="17" t="str">
        <x:f>"title: "&amp;'Target Products'!C175&amp;" | categories: "&amp;'Target Products'!D175&amp;" | features: "&amp;'Target Products'!F175&amp;" | details: "&amp;'Target Products'!G175&amp;" | description: "&amp;'Target Products'!H175</x:f>
        <x:v>title: ZAFUL Bikini Set for Women Solid V Neck Knot Front Push Up High Leg Thong Two Piece Swimsuit | categories: Clothing, Shoes &amp; Jewelry | Women | Clothing | Swimsuits &amp; Cover Ups | Bikinis | Sets | features: Elastic | Imported | Nylon lining | Elastic,Hook,Push Up,Straps closure | Do Not Iron,Line Dry,Machine Wash | Double layer fabric,full lined,stretchy,pro-skin,durable,makes it easy and very comfortable to wear.Knot front Push Up bikini top and high rise thong bottom.Top with double shoulder elastic straps closure,removeable soft bra padded,back hook closure,push up bra for support and good to cover your body. | Knot Bikini Tops:Sexy v neck,knot front,removable push up padded cups,double shoulder elastic straps,offers great support and enhance your shape.Brings you closer fitting,ultra chic and adorable. | V-shape Bikini Bottom:Cheeky high cut bikini bottom with cheeky thong,modest coverage,v style waist design,give you a sexy look while still being comfortable.High cut style make you look slim, sexy and unique,show you more flattering. | Occasions:Holiday,SPA,swimming parties,tropical vacations,summer,beach &amp; pool,beach wear sexy and fashion bathing suit for women. | Washing Method:Hand or machine wash;Don't bleach;Line Dry;Do not Iron. | details: Date First Available: January 8, 2019 | description: </x:v>
      </x:c>
      <x:c r="D175" s="17" t="str">
        <x:f>"title: "&amp;'Target Products'!C175&amp;" | leaf_category: "&amp;'Target Products'!E175&amp;" | store: "&amp;'Target Products'!L175&amp;" | details: "&amp;'Target Products'!G175</x:f>
        <x:v>title: ZAFUL Bikini Set for Women Solid V Neck Knot Front Push Up High Leg Thong Two Piece Swimsuit | leaf_category: Sets | store: DEZZAL | details: Date First Available: January 8, 2019</x:v>
      </x:c>
      <x:c r="E175" s="17" t="str">
        <x:f>"scenario: "&amp;'Sessions'!B175&amp;" | current_message: "&amp;'Sessions'!M175&amp;" | profile_soft_tags: "&amp;'Sessions'!I175</x:f>
        <x:v>scenario: buying | current_message: I'm looking for Bikinis Sets. A key requirement is: nylon. | profile_soft_tags: fit | material | comfort | warmth</x:v>
      </x:c>
      <x:c r="F175" s="17" t="str">
        <x:f>'Intent Cards'!D175&amp;IF('Intent Cards'!F175&lt;&gt;""," | "&amp;'Intent Cards'!F175,"")</x:f>
        <x:v>nylon | Elastic</x:v>
      </x:c>
      <x:c r="G175" s="17" t="str">
        <x:f>'Sessions'!I175</x:f>
        <x:v>fit | material | comfort | warmth</x:v>
      </x:c>
      <x:c r="H175" s="77" t="n">
        <x:f>LEN(C175)</x:f>
        <x:v>1329</x:v>
      </x:c>
      <x:c r="I175" s="77" t="n">
        <x:f>IF(H175&gt;2400,3,IF(H175&gt;1200,2,1))</x:f>
        <x:v>2</x:v>
      </x:c>
      <x:c r="J175" s="17" t="str">
        <x:f>IF('Sessions'!B175="intent_override","Drop superseded values before query embedding",IF('Sessions'!B175="boundary","Do not invent a value for no-preference attributes","Keep profile tags soft; current message wins"))</x:f>
        <x:v>Keep profile tags soft; current message wins</x:v>
      </x:c>
    </x:row>
    <x:row r="176" ht="72" customHeight="1">
      <x:c r="A176" t="str">
        <x:f>'Sessions'!A176</x:f>
        <x:v>public_0172</x:v>
      </x:c>
      <x:c r="B176" t="str">
        <x:f>'Target Products'!B176</x:f>
        <x:v>B0829PZGBB</x:v>
      </x:c>
      <x:c r="C176" s="17" t="str">
        <x:f>"title: "&amp;'Target Products'!C176&amp;" | categories: "&amp;'Target Products'!D176&amp;" | features: "&amp;'Target Products'!F176&amp;" | details: "&amp;'Target Products'!G176&amp;" | description: "&amp;'Target Products'!H176</x:f>
        <x:v>title: Skechers Women's Sneaker | categories: Clothing, Shoes &amp; Jewelry | Women | Shoes | Fashion Sneakers | features: 100% Cotton | Imported | Synthetic sole | Memory foam footbed | details: Product Dimensions: 11.9 x 7.2 x 4.1 inches; 1.7 Pounds | Item model number: 113212 | Department: womens | Date First Available: December 3, 2019 | Manufacturer: Skechers BOBS | description: Loverboy scrunch back slip on w memory foam.</x:v>
      </x:c>
      <x:c r="D176" s="17" t="str">
        <x:f>"title: "&amp;'Target Products'!C176&amp;" | leaf_category: "&amp;'Target Products'!E176&amp;" | store: "&amp;'Target Products'!L176&amp;" | details: "&amp;'Target Products'!G176</x:f>
        <x:v>title: Skechers Women's Sneaker | leaf_category: Fashion Sneakers | store: Skechers | details: Product Dimensions: 11.9 x 7.2 x 4.1 inches; 1.7 Pounds | Item model number: 113212 | Department: womens | Date First Available: December 3, 2019 | Manufacturer: Skechers BOBS</x:v>
      </x:c>
      <x:c r="E176" s="17" t="str">
        <x:f>"scenario: "&amp;'Sessions'!B176&amp;" | current_message: "&amp;'Sessions'!M176&amp;" | profile_soft_tags: "&amp;'Sessions'!I176</x:f>
        <x:v>scenario: browsing | current_message: I'm looking for Shoes Fashion Sneakers, but I'm still exploring. | profile_soft_tags: style | fit | material | comfort</x:v>
      </x:c>
      <x:c r="F176" s="17" t="str">
        <x:f>'Intent Cards'!D176&amp;IF('Intent Cards'!F176&lt;&gt;""," | "&amp;'Intent Cards'!F176,"")</x:f>
        <x:v>cotton | 100% Cotton</x:v>
      </x:c>
      <x:c r="G176" s="17" t="str">
        <x:f>'Sessions'!I176</x:f>
        <x:v>style | fit | material | comfort</x:v>
      </x:c>
      <x:c r="H176" s="77" t="n">
        <x:f>LEN(C176)</x:f>
        <x:v>427</x:v>
      </x:c>
      <x:c r="I176" s="77" t="n">
        <x:f>IF(H176&gt;2400,3,IF(H176&gt;1200,2,1))</x:f>
        <x:v>1</x:v>
      </x:c>
      <x:c r="J176" s="17" t="str">
        <x:f>IF('Sessions'!B176="intent_override","Drop superseded values before query embedding",IF('Sessions'!B176="boundary","Do not invent a value for no-preference attributes","Keep profile tags soft; current message wins"))</x:f>
        <x:v>Keep profile tags soft; current message wins</x:v>
      </x:c>
    </x:row>
    <x:row r="177" ht="72" customHeight="1">
      <x:c r="A177" t="str">
        <x:f>'Sessions'!A177</x:f>
        <x:v>public_0173</x:v>
      </x:c>
      <x:c r="B177" t="str">
        <x:f>'Target Products'!B177</x:f>
        <x:v>B07THT4G8N</x:v>
      </x:c>
      <x:c r="C177" s="17" t="str">
        <x:f>"title: "&amp;'Target Products'!C177&amp;" | categories: "&amp;'Target Products'!D177&amp;" | features: "&amp;'Target Products'!F177&amp;" | details: "&amp;'Target Products'!G177&amp;" | description: "&amp;'Target Products'!H177</x:f>
        <x:v>title: Aqua Socks Beach Water Shoes Barefoot Yoga Socks Quick-Dry Surf Pool Swim Shoes for Women Men | categories: Clothing, Shoes &amp; Jewelry | Women | Shoes | Athletic | Water Shoes | features: Rubber sole | Comfortable feeling: Super lightweight and flexible just like socks,breathable and smooth fabric provide great freedom and comfortable feeling. Let you enjoy your your beach trip on holidays. | Convenience: Quick-dry water shoes, ultra light weight smooth stretchy fabrics and easy slip-on design make it convenient to wear and take off. Lightweight and compressible, easy to fold and carry when you go out. | High-quality anti-slip thickened sole: Sole made of high quality material, light and durable. thickened sole and breathable insoles with shock absorption performance, protect your feet from being hurt by stone and other sharp objects. | Occasions: Suitable for a wide range of occasions, such as: Beach, swimming, pool, boating, kayaking, windsurfing, beach volleyball, aqua sport, jogging, walking, fishing, gardening, Yoga training. | Tip: We offer a wide range of sizes for men and women. Please refer to the size chart in the product description before purchasing. If you have doubts about our products, please contact us in time, and we will help you solve the problem within 24 hours. | details: Department: womens | Date First Available: June 25, 2019 | Manufacturer: HMIYA | description: </x:v>
      </x:c>
      <x:c r="D177" s="17" t="str">
        <x:f>"title: "&amp;'Target Products'!C177&amp;" | leaf_category: "&amp;'Target Products'!E177&amp;" | store: "&amp;'Target Products'!L177&amp;" | details: "&amp;'Target Products'!G177</x:f>
        <x:v>title: Aqua Socks Beach Water Shoes Barefoot Yoga Socks Quick-Dry Surf Pool Swim Shoes for Women Men | leaf_category: Water Shoes | store: HMIYA | details: Department: womens | Date First Available: June 25, 2019 | Manufacturer: HMIYA</x:v>
      </x:c>
      <x:c r="E177" s="17" t="str">
        <x:f>"scenario: "&amp;'Sessions'!B177&amp;" | current_message: "&amp;'Sessions'!M177&amp;" | profile_soft_tags: "&amp;'Sessions'!I177</x:f>
        <x:v>scenario: browsing | current_message: I'm looking for Athletic Water Shoes, but I'm still exploring. | profile_soft_tags: fit | comfort | durability | style</x:v>
      </x:c>
      <x:c r="F177" s="17" t="str">
        <x:f>'Intent Cards'!D177&amp;IF('Intent Cards'!F177&lt;&gt;""," | "&amp;'Intent Cards'!F177,"")</x:f>
        <x:v>fabric | Rubber sole</x:v>
      </x:c>
      <x:c r="G177" s="17" t="str">
        <x:f>'Sessions'!I177</x:f>
        <x:v>fit | comfort | durability | style</x:v>
      </x:c>
      <x:c r="H177" s="77" t="n">
        <x:f>LEN(C177)</x:f>
        <x:v>1414</x:v>
      </x:c>
      <x:c r="I177" s="77" t="n">
        <x:f>IF(H177&gt;2400,3,IF(H177&gt;1200,2,1))</x:f>
        <x:v>2</x:v>
      </x:c>
      <x:c r="J177" s="17" t="str">
        <x:f>IF('Sessions'!B177="intent_override","Drop superseded values before query embedding",IF('Sessions'!B177="boundary","Do not invent a value for no-preference attributes","Keep profile tags soft; current message wins"))</x:f>
        <x:v>Keep profile tags soft; current message wins</x:v>
      </x:c>
    </x:row>
    <x:row r="178" ht="72" customHeight="1">
      <x:c r="A178" t="str">
        <x:f>'Sessions'!A178</x:f>
        <x:v>public_0174</x:v>
      </x:c>
      <x:c r="B178" t="str">
        <x:f>'Target Products'!B178</x:f>
        <x:v>B0794VPVBH</x:v>
      </x:c>
      <x:c r="C178" s="17" t="str">
        <x:f>"title: "&amp;'Target Products'!C178&amp;" | categories: "&amp;'Target Products'!D178&amp;" | features: "&amp;'Target Products'!F178&amp;" | details: "&amp;'Target Products'!G178&amp;" | description: "&amp;'Target Products'!H178</x:f>
        <x:v>title: NY Threads Luxurious Mens Shawl Collar Fleece Bathrobe Spa Robe | categories: Clothing, Shoes &amp; Jewelry | Men | Clothing | Sleep &amp; Lounge | Robes | features: 100% Polyester | Imported | Tie closure | Machine Wash | SHAWL COLLAR FLEECE BATHROBE - Super soft, plush, shawl collar fleece bathrobe made from coral fleece that offers great comfort whenever in use; perfect for lounging, relaxation and a great choice to wear after a tiring day at work. | SOFT AND FLUFFY - The bathrobe is soft and fluffy, which can be worn all day long; the bathrobe carries a classic design, making it ideal for everyday usage. | ADJUSTABLE WAIST BELT - Each bathrobe features an adjustable waist belt that assists in securely closing the robe from the front so that you can wear it with confidence. | FRONT POCKETS - The two front pockets give you the option of keeping frequently used items in it when it’s worn for a good part of the day. | PILE AND NAP EFFECT - This product might show a Pile and Nap effect on the shade of the robe under different light sources. | details: Is Discontinued By Manufacturer: No | Package Dimensions: 14.8 x 5.8 x 5.4 inches; 2.2 Pounds | Department: mens | Date First Available: January 18, 2018 | description: </x:v>
      </x:c>
      <x:c r="D178" s="17" t="str">
        <x:f>"title: "&amp;'Target Products'!C178&amp;" | leaf_category: "&amp;'Target Products'!E178&amp;" | store: "&amp;'Target Products'!L178&amp;" | details: "&amp;'Target Products'!G178</x:f>
        <x:v>title: NY Threads Luxurious Mens Shawl Collar Fleece Bathrobe Spa Robe | leaf_category: Robes | store: NY Threads | details: Is Discontinued By Manufacturer: No | Package Dimensions: 14.8 x 5.8 x 5.4 inches; 2.2 Pounds | Department: mens | Date First Available: January 18, 2018</x:v>
      </x:c>
      <x:c r="E178" s="17" t="str">
        <x:f>"scenario: "&amp;'Sessions'!B178&amp;" | current_message: "&amp;'Sessions'!M178&amp;" | profile_soft_tags: "&amp;'Sessions'!I178</x:f>
        <x:v>scenario: buying | current_message: I'm looking for Sleep &amp; Lounge Robes. A key requirement is: polyester. | profile_soft_tags: fit | comfort | material | durability</x:v>
      </x:c>
      <x:c r="F178" s="17" t="str">
        <x:f>'Intent Cards'!D178&amp;IF('Intent Cards'!F178&lt;&gt;""," | "&amp;'Intent Cards'!F178,"")</x:f>
        <x:v>polyester | 100% Polyester</x:v>
      </x:c>
      <x:c r="G178" s="17" t="str">
        <x:f>'Sessions'!I178</x:f>
        <x:v>fit | comfort | material | durability</x:v>
      </x:c>
      <x:c r="H178" s="77" t="n">
        <x:f>LEN(C178)</x:f>
        <x:v>1235</x:v>
      </x:c>
      <x:c r="I178" s="77" t="n">
        <x:f>IF(H178&gt;2400,3,IF(H178&gt;1200,2,1))</x:f>
        <x:v>2</x:v>
      </x:c>
      <x:c r="J178" s="17" t="str">
        <x:f>IF('Sessions'!B178="intent_override","Drop superseded values before query embedding",IF('Sessions'!B178="boundary","Do not invent a value for no-preference attributes","Keep profile tags soft; current message wins"))</x:f>
        <x:v>Keep profile tags soft; current message wins</x:v>
      </x:c>
    </x:row>
    <x:row r="179" ht="72" customHeight="1">
      <x:c r="A179" t="str">
        <x:f>'Sessions'!A179</x:f>
        <x:v>public_0175</x:v>
      </x:c>
      <x:c r="B179" t="str">
        <x:f>'Target Products'!B179</x:f>
        <x:v>B07D5M61T2</x:v>
      </x:c>
      <x:c r="C179" s="17" t="str">
        <x:f>"title: "&amp;'Target Products'!C179&amp;" | categories: "&amp;'Target Products'!D179&amp;" | features: "&amp;'Target Products'!F179&amp;" | details: "&amp;'Target Products'!G179&amp;" | description: "&amp;'Target Products'!H179</x:f>
        <x:v>title: Ariat Men’s M2 Relaxed Boot Cut Jean | categories: Clothing, Shoes &amp; Jewelry | Men | Clothing | Jeans | features: 100% Cotton | Imported | Zipper closure | Machine Wash | Stretch in some styles | Extra Deep Pockets | details: Product Dimensions: 13 x 9 x 1 inches; 12 Ounces | Item model number: 10026664 | Department: Mens | Date First Available: November 22, 2014 | Manufacturer: Ariat Parent Code | description: The M2 granite is relaxed through the waist, hip and thigh with a stackable boot cut leg opening. The fabric is a medium wash with hand sanding and whiskering.</x:v>
      </x:c>
      <x:c r="D179" s="17" t="str">
        <x:f>"title: "&amp;'Target Products'!C179&amp;" | leaf_category: "&amp;'Target Products'!E179&amp;" | store: "&amp;'Target Products'!L179&amp;" | details: "&amp;'Target Products'!G179</x:f>
        <x:v>title: Ariat Men’s M2 Relaxed Boot Cut Jean | leaf_category: Jeans | store: ARIAT | details: Product Dimensions: 13 x 9 x 1 inches; 12 Ounces | Item model number: 10026664 | Department: Mens | Date First Available: November 22, 2014 | Manufacturer: Ariat Parent Code</x:v>
      </x:c>
      <x:c r="E179" s="17" t="str">
        <x:f>"scenario: "&amp;'Sessions'!B179&amp;" | current_message: "&amp;'Sessions'!M179&amp;" | profile_soft_tags: "&amp;'Sessions'!I179</x:f>
        <x:v>scenario: browsing | current_message: I'm looking for Men Jeans, but I'm still exploring. | profile_soft_tags: fit | style | material | comfort</x:v>
      </x:c>
      <x:c r="F179" s="17" t="str">
        <x:f>'Intent Cards'!D179&amp;IF('Intent Cards'!F179&lt;&gt;""," | "&amp;'Intent Cards'!F179,"")</x:f>
        <x:v>cotton | 100% Cotton</x:v>
      </x:c>
      <x:c r="G179" s="17" t="str">
        <x:f>'Sessions'!I179</x:f>
        <x:v>fit | style | material | comfort</x:v>
      </x:c>
      <x:c r="H179" s="77" t="n">
        <x:f>LEN(C179)</x:f>
        <x:v>581</x:v>
      </x:c>
      <x:c r="I179" s="77" t="n">
        <x:f>IF(H179&gt;2400,3,IF(H179&gt;1200,2,1))</x:f>
        <x:v>1</x:v>
      </x:c>
      <x:c r="J179" s="17" t="str">
        <x:f>IF('Sessions'!B179="intent_override","Drop superseded values before query embedding",IF('Sessions'!B179="boundary","Do not invent a value for no-preference attributes","Keep profile tags soft; current message wins"))</x:f>
        <x:v>Keep profile tags soft; current message wins</x:v>
      </x:c>
    </x:row>
    <x:row r="180" ht="72" customHeight="1">
      <x:c r="A180" t="str">
        <x:f>'Sessions'!A180</x:f>
        <x:v>public_0176</x:v>
      </x:c>
      <x:c r="B180" t="str">
        <x:f>'Target Products'!B180</x:f>
        <x:v>B0C3MKNZJN</x:v>
      </x:c>
      <x:c r="C180" s="17" t="str">
        <x:f>"title: "&amp;'Target Products'!C180&amp;" | categories: "&amp;'Target Products'!D180&amp;" | features: "&amp;'Target Products'!F180&amp;" | details: "&amp;'Target Products'!G180&amp;" | description: "&amp;'Target Products'!H180</x:f>
        <x:v>title: adidas Originals Originals Sport Waist Pack | categories: Clothing, Shoes &amp; Jewelry | Luggage &amp; Travel Gear | Waist Packs | features: 93% Polyester, 3% Natural Latex Rubber, 2% Spandex, 2% Nylon | Imported | Polyester lining | Zipper closure | metal frame | Hand Wash Only | Branding in front. | Zippered main compartment and smaller front pocket. | Convenient size to wear as a waist pack or crossbody. | Clip-lock closure. | Interior ear-bud and charger storage. | details: Item model number: 979038 | Department: Unisex-adult | Date First Available: April 26, 2023 | Manufacturer: adidas | description: Wear this small bag as a waist pack or crossbody to keep your small essentials close by when you're on the move. it has a zip closure and a smaller pocket in front with a key fob inside.</x:v>
      </x:c>
      <x:c r="D180" s="17" t="str">
        <x:f>"title: "&amp;'Target Products'!C180&amp;" | leaf_category: "&amp;'Target Products'!E180&amp;" | store: "&amp;'Target Products'!L180&amp;" | details: "&amp;'Target Products'!G180</x:f>
        <x:v>title: adidas Originals Originals Sport Waist Pack | leaf_category: Waist Packs | store: adidas Originals | details: Item model number: 979038 | Department: Unisex-adult | Date First Available: April 26, 2023 | Manufacturer: adidas</x:v>
      </x:c>
      <x:c r="E180" s="17" t="str">
        <x:f>"scenario: "&amp;'Sessions'!B180&amp;" | current_message: "&amp;'Sessions'!M180&amp;" | profile_soft_tags: "&amp;'Sessions'!I180</x:f>
        <x:v>scenario: browsing | current_message: I'm looking for Luggage &amp; Travel Gear Waist Packs, but I'm still exploring. | profile_soft_tags: fit | style | material | comfort</x:v>
      </x:c>
      <x:c r="F180" s="17" t="str">
        <x:f>'Intent Cards'!D180&amp;IF('Intent Cards'!F180&lt;&gt;""," | "&amp;'Intent Cards'!F180,"")</x:f>
        <x:v>polyester | 93% Polyester, 3% Natural Latex Rubber, 2% Spandex, 2% Nylon</x:v>
      </x:c>
      <x:c r="G180" s="17" t="str">
        <x:f>'Sessions'!I180</x:f>
        <x:v>fit | style | material | comfort</x:v>
      </x:c>
      <x:c r="H180" s="77" t="n">
        <x:f>LEN(C180)</x:f>
        <x:v>799</x:v>
      </x:c>
      <x:c r="I180" s="77" t="n">
        <x:f>IF(H180&gt;2400,3,IF(H180&gt;1200,2,1))</x:f>
        <x:v>1</x:v>
      </x:c>
      <x:c r="J180" s="17" t="str">
        <x:f>IF('Sessions'!B180="intent_override","Drop superseded values before query embedding",IF('Sessions'!B180="boundary","Do not invent a value for no-preference attributes","Keep profile tags soft; current message wins"))</x:f>
        <x:v>Keep profile tags soft; current message wins</x:v>
      </x:c>
    </x:row>
    <x:row r="181" ht="72" customHeight="1">
      <x:c r="A181" t="str">
        <x:f>'Sessions'!A181</x:f>
        <x:v>public_0177</x:v>
      </x:c>
      <x:c r="B181" t="str">
        <x:f>'Target Products'!B181</x:f>
        <x:v>B07HV9WW6Q</x:v>
      </x:c>
      <x:c r="C181" s="17" t="str">
        <x:f>"title: "&amp;'Target Products'!C181&amp;" | categories: "&amp;'Target Products'!D181&amp;" | features: "&amp;'Target Products'!F181&amp;" | details: "&amp;'Target Products'!G181&amp;" | description: "&amp;'Target Products'!H181</x:f>
        <x:v>title: ANIXAY Women's Short/Long Sleeve Henley Button up T Shirt Casual Basic Tops Blouse | categories: Clothing, Shoes &amp; Jewelry | Women | Clothing | Tops, Tees &amp; Blouses | features: Cotton, Rayon | Imported | Button closure | Machine Wash | Material: 90% Cotton + 10% Rayon. Soft fabric,It will be a comfortable tops. | Size:US SIZE,Small=(US 4-6), Medium=(US 8-10), Large=(US 12-14）, X-Large=(US 16-18), XX-Large=(US 20-22) | Features: Cotton blouse with button down design,Sexy V Neck,Short sleeve tunic tops, Flower printing color shirt, Slim fitted pullover top.It's a super Soft Blouse. Fitted, Lightweight, Sexy V Neck Basic shirt classic top. | Occasion: Perfect for your daily wear, home, school, outdoor activity, work, dates and parties... any occasion is perfect in Any Season. | It's a super soft blouse. Fitted, lightweight, sexy v neck basic shirt classic top.Hope you have a nice shopping! | details: Department: womens | Date First Available: September 30, 2018 | description: </x:v>
      </x:c>
      <x:c r="D181" s="17" t="str">
        <x:f>"title: "&amp;'Target Products'!C181&amp;" | leaf_category: "&amp;'Target Products'!E181&amp;" | store: "&amp;'Target Products'!L181&amp;" | details: "&amp;'Target Products'!G181</x:f>
        <x:v>title: ANIXAY Women's Short/Long Sleeve Henley Button up T Shirt Casual Basic Tops Blouse | leaf_category: Tops, Tees &amp; Blouses | store: ANIXAY | details: Department: womens | Date First Available: September 30, 2018</x:v>
      </x:c>
      <x:c r="E181" s="17" t="str">
        <x:f>"scenario: "&amp;'Sessions'!B181&amp;" | current_message: "&amp;'Sessions'!M181&amp;" | profile_soft_tags: "&amp;'Sessions'!I181</x:f>
        <x:v>scenario: intent_override | current_message: I'm looking for Tops Tees &amp; Blouses. Button closure | profile_soft_tags: style | fit | comfort | material</x:v>
      </x:c>
      <x:c r="F181" s="17" t="str">
        <x:f>'Intent Cards'!D181&amp;IF('Intent Cards'!F181&lt;&gt;""," | "&amp;'Intent Cards'!F181,"")</x:f>
        <x:v>cotton | Cotton, Rayon</x:v>
      </x:c>
      <x:c r="G181" s="17" t="str">
        <x:f>'Sessions'!I181</x:f>
        <x:v>style | fit | comfort | material</x:v>
      </x:c>
      <x:c r="H181" s="77" t="n">
        <x:f>LEN(C181)</x:f>
        <x:v>995</x:v>
      </x:c>
      <x:c r="I181" s="77" t="n">
        <x:f>IF(H181&gt;2400,3,IF(H181&gt;1200,2,1))</x:f>
        <x:v>1</x:v>
      </x:c>
      <x:c r="J181" s="17" t="str">
        <x:f>IF('Sessions'!B181="intent_override","Drop superseded values before query embedding",IF('Sessions'!B181="boundary","Do not invent a value for no-preference attributes","Keep profile tags soft; current message wins"))</x:f>
        <x:v>Drop superseded values before query embedding</x:v>
      </x:c>
    </x:row>
    <x:row r="182" ht="72" customHeight="1">
      <x:c r="A182" t="str">
        <x:f>'Sessions'!A182</x:f>
        <x:v>public_0178</x:v>
      </x:c>
      <x:c r="B182" t="str">
        <x:f>'Target Products'!B182</x:f>
        <x:v>B01FWQ8NH8</x:v>
      </x:c>
      <x:c r="C182" s="17" t="str">
        <x:f>"title: "&amp;'Target Products'!C182&amp;" | categories: "&amp;'Target Products'!D182&amp;" | features: "&amp;'Target Products'!F182&amp;" | details: "&amp;'Target Products'!G182&amp;" | description: "&amp;'Target Products'!H182</x:f>
        <x:v>title: Red Hot Chili Peppers Distressed Men's T-Shirt Black | categories: Clothing, Shoes &amp; Jewelry | Novelty &amp; More | Clothing | Novelty | Men | Shirts | T-Shirts | features: 100% Cotton | Made in the USA | Pull On closure | Machine Wash | Official Licensed T-shirt | Brand New !!!! | T-Shirt | 100% Cotton/High Quality Screen Printed | Sent Securely in Protective Packaging | details: Department: Mens | Date First Available: May 19, 2016 | description: Red Hot Chili Peppers Distressed Men's T-Shirt Black</x:v>
      </x:c>
      <x:c r="D182" s="17" t="str">
        <x:f>"title: "&amp;'Target Products'!C182&amp;" | leaf_category: "&amp;'Target Products'!E182&amp;" | store: "&amp;'Target Products'!L182&amp;" | details: "&amp;'Target Products'!G182</x:f>
        <x:v>title: Red Hot Chili Peppers Distressed Men's T-Shirt Black | leaf_category: T-Shirts | store: Bravado | details: Department: Mens | Date First Available: May 19, 2016</x:v>
      </x:c>
      <x:c r="E182" s="17" t="str">
        <x:f>"scenario: "&amp;'Sessions'!B182&amp;" | current_message: "&amp;'Sessions'!M182&amp;" | profile_soft_tags: "&amp;'Sessions'!I182</x:f>
        <x:v>scenario: buying | current_message: I'm looking for Shirts T-Shirts. A key requirement is: cotton. | profile_soft_tags: comfort | material | fit</x:v>
      </x:c>
      <x:c r="F182" s="17" t="str">
        <x:f>'Intent Cards'!D182&amp;IF('Intent Cards'!F182&lt;&gt;""," | "&amp;'Intent Cards'!F182,"")</x:f>
        <x:v>cotton | color: red</x:v>
      </x:c>
      <x:c r="G182" s="17" t="str">
        <x:f>'Sessions'!I182</x:f>
        <x:v>comfort | material | fit</x:v>
      </x:c>
      <x:c r="H182" s="77" t="n">
        <x:f>LEN(C182)</x:f>
        <x:v>508</x:v>
      </x:c>
      <x:c r="I182" s="77" t="n">
        <x:f>IF(H182&gt;2400,3,IF(H182&gt;1200,2,1))</x:f>
        <x:v>1</x:v>
      </x:c>
      <x:c r="J182" s="17" t="str">
        <x:f>IF('Sessions'!B182="intent_override","Drop superseded values before query embedding",IF('Sessions'!B182="boundary","Do not invent a value for no-preference attributes","Keep profile tags soft; current message wins"))</x:f>
        <x:v>Keep profile tags soft; current message wins</x:v>
      </x:c>
    </x:row>
    <x:row r="183" ht="72" customHeight="1">
      <x:c r="A183" t="str">
        <x:f>'Sessions'!A183</x:f>
        <x:v>public_0179</x:v>
      </x:c>
      <x:c r="B183" t="str">
        <x:f>'Target Products'!B183</x:f>
        <x:v>B08JK818ZD</x:v>
      </x:c>
      <x:c r="C183" s="17" t="str">
        <x:f>"title: "&amp;'Target Products'!C183&amp;" | categories: "&amp;'Target Products'!D183&amp;" | features: "&amp;'Target Products'!F183&amp;" | details: "&amp;'Target Products'!G183&amp;" | description: "&amp;'Target Products'!H183</x:f>
        <x:v>title: Azules Women's Long Sleeve Flowy Tunic | categories: Clothing, Shoes &amp; Jewelry | Women | Clothing | Tops, Tees &amp; Blouses | Tunics | features: 5% spandex | Made in the USA | Pull On closure | Wash cold | Lightweight and breathable material that feels soft against the skin, perfect for everyday wear. | Loose fitted long sleeve top that curves at the bottom for a stylish finish. | Wide selection of vibrant, clean, and classy colors/prints to choose from. | Made of 95% Rayon and 5% Spandex. | Quality manufactured. Made in the USA. | details: Department: womens | Date First Available: September 20, 2020 | Manufacturer: Azules | description: Our signature Azules Extra Soft Tunic Top comes in multiple vibrant colors. Perfect wear for every-occasion. This long sleeve tunic top features a curved hem, giving it a stylish and elegant finish. Ideal for pairing it with your favorite jeans or leggings. Evermore designed and made in the United States of America.</x:v>
      </x:c>
      <x:c r="D183" s="17" t="str">
        <x:f>"title: "&amp;'Target Products'!C183&amp;" | leaf_category: "&amp;'Target Products'!E183&amp;" | store: "&amp;'Target Products'!L183&amp;" | details: "&amp;'Target Products'!G183</x:f>
        <x:v>title: Azules Women's Long Sleeve Flowy Tunic | leaf_category: Tunics | store: Azules | details: Department: womens | Date First Available: September 20, 2020 | Manufacturer: Azules</x:v>
      </x:c>
      <x:c r="E183" s="17" t="str">
        <x:f>"scenario: "&amp;'Sessions'!B183&amp;" | current_message: "&amp;'Sessions'!M183&amp;" | profile_soft_tags: "&amp;'Sessions'!I183</x:f>
        <x:v>scenario: buying | current_message: I'm looking for Tees &amp; Blouses Tunics. A key requirement is: spandex. | profile_soft_tags: warmth | comfort | material | fit</x:v>
      </x:c>
      <x:c r="F183" s="17" t="str">
        <x:f>'Intent Cards'!D183&amp;IF('Intent Cards'!F183&lt;&gt;""," | "&amp;'Intent Cards'!F183,"")</x:f>
        <x:v>spandex | 5% spandex</x:v>
      </x:c>
      <x:c r="G183" s="17" t="str">
        <x:f>'Sessions'!I183</x:f>
        <x:v>warmth | comfort | material | fit</x:v>
      </x:c>
      <x:c r="H183" s="77" t="n">
        <x:f>LEN(C183)</x:f>
        <x:v>968</x:v>
      </x:c>
      <x:c r="I183" s="77" t="n">
        <x:f>IF(H183&gt;2400,3,IF(H183&gt;1200,2,1))</x:f>
        <x:v>1</x:v>
      </x:c>
      <x:c r="J183" s="17" t="str">
        <x:f>IF('Sessions'!B183="intent_override","Drop superseded values before query embedding",IF('Sessions'!B183="boundary","Do not invent a value for no-preference attributes","Keep profile tags soft; current message wins"))</x:f>
        <x:v>Keep profile tags soft; current message wins</x:v>
      </x:c>
    </x:row>
    <x:row r="184" ht="72" customHeight="1">
      <x:c r="A184" t="str">
        <x:f>'Sessions'!A184</x:f>
        <x:v>public_0180</x:v>
      </x:c>
      <x:c r="B184" t="str">
        <x:f>'Target Products'!B184</x:f>
        <x:v>B01HSMYV8E</x:v>
      </x:c>
      <x:c r="C184" s="17" t="str">
        <x:f>"title: "&amp;'Target Products'!C184&amp;" | categories: "&amp;'Target Products'!D184&amp;" | features: "&amp;'Target Products'!F184&amp;" | details: "&amp;'Target Products'!G184&amp;" | description: "&amp;'Target Products'!H184</x:f>
        <x:v>title: Saucony Women's Cohesion 10 Running Shoe | categories: Clothing, Shoes &amp; Jewelry | Women | Shoes | Fashion Sneakers | features: 100% Mesh | Imported | Rubber sole | GRID, Injection EVA, | details: Is Discontinued By Manufacturer: No | Product Dimensions: 11 x 4 x 7 inches; 9 Ounces | Item model number: GRID COHESION 10-W | Department: Womens | Date First Available: August 6, 2003 | Manufacturer: Saucony | description: The Cohesion 10 is your everyday training partner. Encased with excellent cushioning, flexibility, and comfort for crushing any activity, including conquering the longer roads ahead.Forefoot Stack Height: 17mm | Saucony is among the most respected names in running shoes. We offer a wide range of running and walking shoes, each with the Saucony trademark fit, feel and performance. We've spent years studying the biomechanics of top athletes. Our goal? To develop creatively engineered systems that maximize your performance in your specific activity, allowing you to focus on the activity instead of the equipment. From our studies have come many innovative Saucony concepts. Advanced technologies-like Grid, the first sole-based stability and cushioning system--provide an advantage to athletes of all types.</x:v>
      </x:c>
      <x:c r="D184" s="17" t="str">
        <x:f>"title: "&amp;'Target Products'!C184&amp;" | leaf_category: "&amp;'Target Products'!E184&amp;" | store: "&amp;'Target Products'!L184&amp;" | details: "&amp;'Target Products'!G184</x:f>
        <x:v>title: Saucony Women's Cohesion 10 Running Shoe | leaf_category: Fashion Sneakers | store: Saucony | details: Is Discontinued By Manufacturer: No | Product Dimensions: 11 x 4 x 7 inches; 9 Ounces | Item model number: GRID COHESION 10-W | Department: Womens | Date First Available: August 6, 2003 | Manufacturer: Saucony</x:v>
      </x:c>
      <x:c r="E184" s="17" t="str">
        <x:f>"scenario: "&amp;'Sessions'!B184&amp;" | current_message: "&amp;'Sessions'!M184&amp;" | profile_soft_tags: "&amp;'Sessions'!I184</x:f>
        <x:v>scenario: boundary | current_message: I'm looking for Shoes Fashion Sneakers, but I'm still exploring. | profile_soft_tags: material | comfort | fit | style</x:v>
      </x:c>
      <x:c r="F184" s="17" t="str">
        <x:f>'Intent Cards'!D184&amp;IF('Intent Cards'!F184&lt;&gt;""," | "&amp;'Intent Cards'!F184,"")</x:f>
        <x:v>100% Mesh | Imported</x:v>
      </x:c>
      <x:c r="G184" s="17" t="str">
        <x:f>'Sessions'!I184</x:f>
        <x:v>material | comfort | fit | style</x:v>
      </x:c>
      <x:c r="H184" s="77" t="n">
        <x:f>LEN(C184)</x:f>
        <x:v>1240</x:v>
      </x:c>
      <x:c r="I184" s="77" t="n">
        <x:f>IF(H184&gt;2400,3,IF(H184&gt;1200,2,1))</x:f>
        <x:v>2</x:v>
      </x:c>
      <x:c r="J184" s="17" t="str">
        <x:f>IF('Sessions'!B184="intent_override","Drop superseded values before query embedding",IF('Sessions'!B184="boundary","Do not invent a value for no-preference attributes","Keep profile tags soft; current message wins"))</x:f>
        <x:v>Do not invent a value for no-preference attributes</x:v>
      </x:c>
    </x:row>
    <x:row r="185" ht="72" customHeight="1">
      <x:c r="A185" t="str">
        <x:f>'Sessions'!A185</x:f>
        <x:v>public_0181</x:v>
      </x:c>
      <x:c r="B185" t="str">
        <x:f>'Target Products'!B185</x:f>
        <x:v>B08M3WKDFJ</x:v>
      </x:c>
      <x:c r="C185" s="17" t="str">
        <x:f>"title: "&amp;'Target Products'!C185&amp;" | categories: "&amp;'Target Products'!D185&amp;" | features: "&amp;'Target Products'!F185&amp;" | details: "&amp;'Target Products'!G185&amp;" | description: "&amp;'Target Products'!H185</x:f>
        <x:v>title: Fixmatti Women's 2 Piece Outfits Long Sleeve Pullover Sweatshirt Jogger Pants Sweatsuit | categories: Clothing, Shoes &amp; Jewelry | Women | Clothing | Active | Sets | Tracksuits | features: polyester | Drawstring closure | Hand Wash Only | Casual 2 piece active sweatsuit pant set | Long lantern sleeve turtleneck pullover sweatshirt top | Cropped jogger pants elastic high waist,back pocket | Tracksuit set for lounge, casual, running, workout, sport, outdoor, daily wear | Solid two piece sport sweatsuits,comfy and soft suit to wear all day long | details: Item model number: FMPLS1841 | Department: Womens | Date First Available: October 28, 2020 | description: </x:v>
      </x:c>
      <x:c r="D185" s="17" t="str">
        <x:f>"title: "&amp;'Target Products'!C185&amp;" | leaf_category: "&amp;'Target Products'!E185&amp;" | store: "&amp;'Target Products'!L185&amp;" | details: "&amp;'Target Products'!G185</x:f>
        <x:v>title: Fixmatti Women's 2 Piece Outfits Long Sleeve Pullover Sweatshirt Jogger Pants Sweatsuit | leaf_category: Tracksuits | store: Fixmatti | details: Item model number: FMPLS1841 | Department: Womens | Date First Available: October 28, 2020</x:v>
      </x:c>
      <x:c r="E185" s="17" t="str">
        <x:f>"scenario: "&amp;'Sessions'!B185&amp;" | current_message: "&amp;'Sessions'!M185&amp;" | profile_soft_tags: "&amp;'Sessions'!I185</x:f>
        <x:v>scenario: browsing | current_message: I'm looking for Sets Tracksuits, but I'm still exploring. | profile_soft_tags: warmth | comfort | material | fit</x:v>
      </x:c>
      <x:c r="F185" s="17" t="str">
        <x:f>'Intent Cards'!D185&amp;IF('Intent Cards'!F185&lt;&gt;""," | "&amp;'Intent Cards'!F185,"")</x:f>
        <x:v>polyester | Drawstring closure</x:v>
      </x:c>
      <x:c r="G185" s="17" t="str">
        <x:f>'Sessions'!I185</x:f>
        <x:v>warmth | comfort | material | fit</x:v>
      </x:c>
      <x:c r="H185" s="77" t="n">
        <x:f>LEN(C185)</x:f>
        <x:v>671</x:v>
      </x:c>
      <x:c r="I185" s="77" t="n">
        <x:f>IF(H185&gt;2400,3,IF(H185&gt;1200,2,1))</x:f>
        <x:v>1</x:v>
      </x:c>
      <x:c r="J185" s="17" t="str">
        <x:f>IF('Sessions'!B185="intent_override","Drop superseded values before query embedding",IF('Sessions'!B185="boundary","Do not invent a value for no-preference attributes","Keep profile tags soft; current message wins"))</x:f>
        <x:v>Keep profile tags soft; current message wins</x:v>
      </x:c>
    </x:row>
    <x:row r="186" ht="72" customHeight="1">
      <x:c r="A186" t="str">
        <x:f>'Sessions'!A186</x:f>
        <x:v>public_0182</x:v>
      </x:c>
      <x:c r="B186" t="str">
        <x:f>'Target Products'!B186</x:f>
        <x:v>B0C5XBLB2P</x:v>
      </x:c>
      <x:c r="C186" s="17" t="str">
        <x:f>"title: "&amp;'Target Products'!C186&amp;" | categories: "&amp;'Target Products'!D186&amp;" | features: "&amp;'Target Products'!F186&amp;" | details: "&amp;'Target Products'!G186&amp;" | description: "&amp;'Target Products'!H186</x:f>
        <x:v>title: ELFISH Mini RFID Aluminum Wallet Credit Cards Holder Business Card Case Metal ID Case for Men Women (Black Marble) | categories: Clothing, Shoes &amp; Jewelry | Women | Accessories | Wallets, Card Cases &amp; Money Organizers | Card &amp; ID Cases | Card Cases | features: UPDATED ALUMINUM WALLET with high quality aluminum materials and Environmentally friendly plastic(ABS) clasp closure | PEACE OF MIND when Travelling: It is a Must Have a protector case ID slots when on vacations or traveling overseas. Using on public transportation and crowded places - keep the worry away and your Bank Debit,ID,ATM Cards be protected all the time. | MOST RELIABLE RFID BLOCKING PROTECTION. Most RFID blocking hard shell aluma wallets can NOT block 125KHz signals. But Elfish metal id cases are able to Block both 13.56 MHz and 125KHz Signals. Don't give thieves any chance. | EASY TO OPEN AND CLOSE. Latches safely and securely when not in use. Rounded corner wouldn't damage on your clothes. With 7 accordion Slots, Capacity for up to more than 9 credit cards. | MONEY-BACK GUARANTEE - We know you'll love our case, that's why if you aren't 100 percent satisfied we will provide you with a refund or a replacement. | details: Product Dimensions: 4.3 x 3 x 1 inches | Item Weight: 2.46 ounces | Department: Womens | Manufacturer: ELFISH | Country of Origin: China | Item model number: CX1002 | Best Sellers Rank: [object Object] | Brand: ELFISH | Color: Black Marble | Material: Aluminum | Pattern: Marble | Special Feature: Rfid Blocking,Slim | description: </x:v>
      </x:c>
      <x:c r="D186" s="17" t="str">
        <x:f>"title: "&amp;'Target Products'!C186&amp;" | leaf_category: "&amp;'Target Products'!E186&amp;" | store: "&amp;'Target Products'!L186&amp;" | details: "&amp;'Target Products'!G186</x:f>
        <x:v>title: ELFISH Mini RFID Aluminum Wallet Credit Cards Holder Business Card Case Metal ID Case for Men Women (Black Marble) | leaf_category: Card Cases | store: ELFISH | details: Product Dimensions: 4.3 x 3 x 1 inches | Item Weight: 2.46 ounces | Department: Womens | Manufacturer: ELFISH | Country of Origin: China | Item model number: CX1002 | Best Sellers Rank: [object Object] | Brand: ELFISH | Color: Black Marble | Material: Aluminum | Pattern: Marble | Special Feature: Rfid Blocking,Slim</x:v>
      </x:c>
      <x:c r="E186" s="17" t="str">
        <x:f>"scenario: "&amp;'Sessions'!B186&amp;" | current_message: "&amp;'Sessions'!M186&amp;" | profile_soft_tags: "&amp;'Sessions'!I186</x:f>
        <x:v>scenario: browsing | current_message: I'm looking for Card &amp; ID Cases Card Cases, but I'm still exploring. | profile_soft_tags: comfort | material</x:v>
      </x:c>
      <x:c r="F186" s="17" t="str">
        <x:f>'Intent Cards'!D186&amp;IF('Intent Cards'!F186&lt;&gt;""," | "&amp;'Intent Cards'!F186,"")</x:f>
        <x:v>UPDATED ALUMINUM WALLET with high quality aluminum materials and Environmentally friendly plastic(ABS) clasp closure | color: black</x:v>
      </x:c>
      <x:c r="G186" s="17" t="str">
        <x:f>'Sessions'!I186</x:f>
        <x:v>comfort | material</x:v>
      </x:c>
      <x:c r="H186" s="77" t="n">
        <x:f>LEN(C186)</x:f>
        <x:v>1546</x:v>
      </x:c>
      <x:c r="I186" s="77" t="n">
        <x:f>IF(H186&gt;2400,3,IF(H186&gt;1200,2,1))</x:f>
        <x:v>2</x:v>
      </x:c>
      <x:c r="J186" s="17" t="str">
        <x:f>IF('Sessions'!B186="intent_override","Drop superseded values before query embedding",IF('Sessions'!B186="boundary","Do not invent a value for no-preference attributes","Keep profile tags soft; current message wins"))</x:f>
        <x:v>Keep profile tags soft; current message wins</x:v>
      </x:c>
    </x:row>
    <x:row r="187" ht="72" customHeight="1">
      <x:c r="A187" t="str">
        <x:f>'Sessions'!A187</x:f>
        <x:v>public_0183</x:v>
      </x:c>
      <x:c r="B187" t="str">
        <x:f>'Target Products'!B187</x:f>
        <x:v>B07Z2KSZR3</x:v>
      </x:c>
      <x:c r="C187" s="17" t="str">
        <x:f>"title: "&amp;'Target Products'!C187&amp;" | categories: "&amp;'Target Products'!D187&amp;" | features: "&amp;'Target Products'!F187&amp;" | details: "&amp;'Target Products'!G187&amp;" | description: "&amp;'Target Products'!H187</x:f>
        <x:v>title: SheIn Women's Double Breasted Long Vest Jacket Casual Sleeveless Pocket Outerwear Longline | categories: Clothing, Shoes &amp; Jewelry | Women | Clothing | Coats, Jackets &amp; Vests | Vests | features: 100% Polyester | Button closure | Hand Wash Only | Super soft, comfy, stretchy good, lightweight and close to your skin | Features: Plain color, double breasted front, lapel collar, side pockets, open front, casual cardigan vest for women | Long cardigan vest, casual loose fit, soft, comfy and easy to wear with your favorite pants, skirt, leggings or shorts | This women chic and cute sleeveless coat vest is a wardrobe must-have, great for office, work, meeting, travel, date, shopping | Please refer to the other sizes measurement in the Product Description | details: Department: Womens | Date First Available: October 12, 2019 | description: </x:v>
      </x:c>
      <x:c r="D187" s="17" t="str">
        <x:f>"title: "&amp;'Target Products'!C187&amp;" | leaf_category: "&amp;'Target Products'!E187&amp;" | store: "&amp;'Target Products'!L187&amp;" | details: "&amp;'Target Products'!G187</x:f>
        <x:v>title: SheIn Women's Double Breasted Long Vest Jacket Casual Sleeveless Pocket Outerwear Longline | leaf_category: Vests | store: SheIn | details: Department: Womens | Date First Available: October 12, 2019</x:v>
      </x:c>
      <x:c r="E187" s="17" t="str">
        <x:f>"scenario: "&amp;'Sessions'!B187&amp;" | current_message: "&amp;'Sessions'!M187&amp;" | profile_soft_tags: "&amp;'Sessions'!I187</x:f>
        <x:v>scenario: intent_override | current_message: I'm looking for Jackets &amp; Vests Vests. Hand Wash Only | profile_soft_tags: material | fit</x:v>
      </x:c>
      <x:c r="F187" s="17" t="str">
        <x:f>'Intent Cards'!D187&amp;IF('Intent Cards'!F187&lt;&gt;""," | "&amp;'Intent Cards'!F187,"")</x:f>
        <x:v>polyester | 100% Polyester</x:v>
      </x:c>
      <x:c r="G187" s="17" t="str">
        <x:f>'Sessions'!I187</x:f>
        <x:v>material | fit</x:v>
      </x:c>
      <x:c r="H187" s="77" t="n">
        <x:f>LEN(C187)</x:f>
        <x:v>850</x:v>
      </x:c>
      <x:c r="I187" s="77" t="n">
        <x:f>IF(H187&gt;2400,3,IF(H187&gt;1200,2,1))</x:f>
        <x:v>1</x:v>
      </x:c>
      <x:c r="J187" s="17" t="str">
        <x:f>IF('Sessions'!B187="intent_override","Drop superseded values before query embedding",IF('Sessions'!B187="boundary","Do not invent a value for no-preference attributes","Keep profile tags soft; current message wins"))</x:f>
        <x:v>Drop superseded values before query embedding</x:v>
      </x:c>
    </x:row>
    <x:row r="188" ht="72" customHeight="1">
      <x:c r="A188" t="str">
        <x:f>'Sessions'!A188</x:f>
        <x:v>public_0184</x:v>
      </x:c>
      <x:c r="B188" t="str">
        <x:f>'Target Products'!B188</x:f>
        <x:v>B0BWLFCTTF</x:v>
      </x:c>
      <x:c r="C188" s="17" t="str">
        <x:f>"title: "&amp;'Target Products'!C188&amp;" | categories: "&amp;'Target Products'!D188&amp;" | features: "&amp;'Target Products'!F188&amp;" | details: "&amp;'Target Products'!G188&amp;" | description: "&amp;'Target Products'!H188</x:f>
        <x:v>title: Ray-Ban Woman Sunglasses Black Frame, Green Classic G-15 Lenses, 57MM | categories: Clothing, Shoes &amp; Jewelry | Women | Accessories | Sunglasses &amp; Eyewear Accessories | Sunglasses | features: Composite/Plastic Frame. | Imported | Plastic,Nylon frame | Plastic lens | Non-Polarized | UV Protection Coating coating | Lens width: 57 millimeters | Lens height: 31 millimeters | Bridge: 19 millimeters | Arm: 135 millimeters | Every model in the Ray-Ban collection is the product of meticulous, original styling that translates the best of the latest fashion trends into an ever-contemporary look for millions of Ray-Ban wearers around the world. | Ray-Ban sizes refer to the width of one lens in millimeters. | Protective case included, cases come in a variety of colors. | Lenses are prescription-ready (Rx-able). | Ray-Ban products include an etched "RB" on the left lens. The RB is not a scratch or defect. | The shape and curvature of these sunglasses may need adjustments. Adjustments should only be made by a professional. | Made in Italy or China. | details: Department: womens | Date First Available: October 21, 2013 | description: Timeless and original, colorful and bold. Discover our iconic selection of Ray-Ban sunglasses and eyeglasses for both men and women made to match your style whilst defining your vision. Including the most-loved and best-selling models such as the legendary Aviator, Wayfarer, Clubmaster, Round and many more - not forgetting our fashionable new arrivals too. With different styles for every face shape, find your perfect pair.</x:v>
      </x:c>
      <x:c r="D188" s="17" t="str">
        <x:f>"title: "&amp;'Target Products'!C188&amp;" | leaf_category: "&amp;'Target Products'!E188&amp;" | store: "&amp;'Target Products'!L188&amp;" | details: "&amp;'Target Products'!G188</x:f>
        <x:v>title: Ray-Ban Woman Sunglasses Black Frame, Green Classic G-15 Lenses, 57MM | leaf_category: Sunglasses | store: Ray-Ban | details: Department: womens | Date First Available: October 21, 2013</x:v>
      </x:c>
      <x:c r="E188" s="17" t="str">
        <x:f>"scenario: "&amp;'Sessions'!B188&amp;" | current_message: "&amp;'Sessions'!M188&amp;" | profile_soft_tags: "&amp;'Sessions'!I188</x:f>
        <x:v>scenario: browsing | current_message: I'm looking for Sunglasses &amp; Eyewear Accessories Sunglasses, but I'm still exploring. | profile_soft_tags: fit | material | comfort | style</x:v>
      </x:c>
      <x:c r="F188" s="17" t="str">
        <x:f>'Intent Cards'!D188&amp;IF('Intent Cards'!F188&lt;&gt;""," | "&amp;'Intent Cards'!F188,"")</x:f>
        <x:v>nylon | color: black</x:v>
      </x:c>
      <x:c r="G188" s="17" t="str">
        <x:f>'Sessions'!I188</x:f>
        <x:v>fit | material | comfort | style</x:v>
      </x:c>
      <x:c r="H188" s="77" t="n">
        <x:f>LEN(C188)</x:f>
        <x:v>1570</x:v>
      </x:c>
      <x:c r="I188" s="77" t="n">
        <x:f>IF(H188&gt;2400,3,IF(H188&gt;1200,2,1))</x:f>
        <x:v>2</x:v>
      </x:c>
      <x:c r="J188" s="17" t="str">
        <x:f>IF('Sessions'!B188="intent_override","Drop superseded values before query embedding",IF('Sessions'!B188="boundary","Do not invent a value for no-preference attributes","Keep profile tags soft; current message wins"))</x:f>
        <x:v>Keep profile tags soft; current message wins</x:v>
      </x:c>
    </x:row>
    <x:row r="189" ht="72" customHeight="1">
      <x:c r="A189" t="str">
        <x:f>'Sessions'!A189</x:f>
        <x:v>public_0185</x:v>
      </x:c>
      <x:c r="B189" t="str">
        <x:f>'Target Products'!B189</x:f>
        <x:v>B0BCW4QKV5</x:v>
      </x:c>
      <x:c r="C189" s="17" t="str">
        <x:f>"title: "&amp;'Target Products'!C189&amp;" | categories: "&amp;'Target Products'!D189&amp;" | features: "&amp;'Target Products'!F189&amp;" | details: "&amp;'Target Products'!G189&amp;" | description: "&amp;'Target Products'!H189</x:f>
        <x:v>title: MIOTAN Boy Shorts Underwear for Women High Waisted Panties Cotton Boxer Briefs 4 Pack | categories: Clothing, Shoes &amp; Jewelry | Women | Clothing | Lingerie, Sleep &amp; Lounge | Lingerie | Panties | Boy Shorts | features: 92%Cotton/8%Spandex | Imported | Pull On closure | Machine Wash | MIOTAN Womens boy shorts underwear are made of high quality cotton fabric, comfortable and soft. 100% cotton crotch add more protection, breathable and Moisture wicking. | Double layer elastic designed waistband of our cotton boyshort underwear for women can avoid obvious waist marks on the skin, comfortable and full coverage. | Our high waisted boyshorts panties fit snug and supper comfy stay in place legs and waistband,no roll down, no pilling. Lengthen wide leg opening design avoid chaffing of the thighs. | Super soft boxer briefs underwear for women /girls /ladies,suitable for long time wear in daily for sleepwear, under dresses, skirts shorts, for dancing/sports like yoga, jogging, running, cycling, Gym. | If you have any questions, please feel free to contact us and we will help you solve them to your satisfaction. | details: Package Dimensions: 10.55 x 6.56 x 2.36 inches; 9.76 Ounces | Date First Available: September 2, 2022 | description: </x:v>
      </x:c>
      <x:c r="D189" s="17" t="str">
        <x:f>"title: "&amp;'Target Products'!C189&amp;" | leaf_category: "&amp;'Target Products'!E189&amp;" | store: "&amp;'Target Products'!L189&amp;" | details: "&amp;'Target Products'!G189</x:f>
        <x:v>title: MIOTAN Boy Shorts Underwear for Women High Waisted Panties Cotton Boxer Briefs 4 Pack | leaf_category: Boy Shorts | store: MIOTAN | details: Package Dimensions: 10.55 x 6.56 x 2.36 inches; 9.76 Ounces | Date First Available: September 2, 2022</x:v>
      </x:c>
      <x:c r="E189" s="17" t="str">
        <x:f>"scenario: "&amp;'Sessions'!B189&amp;" | current_message: "&amp;'Sessions'!M189&amp;" | profile_soft_tags: "&amp;'Sessions'!I189</x:f>
        <x:v>scenario: buying | current_message: I'm looking for Panties Boy Shorts. A key requirement is: cotton. | profile_soft_tags: comfort | style | material | fit</x:v>
      </x:c>
      <x:c r="F189" s="17" t="str">
        <x:f>'Intent Cards'!D189&amp;IF('Intent Cards'!F189&lt;&gt;""," | "&amp;'Intent Cards'!F189,"")</x:f>
        <x:v>cotton | 92%Cotton/8%Spandex</x:v>
      </x:c>
      <x:c r="G189" s="17" t="str">
        <x:f>'Sessions'!I189</x:f>
        <x:v>comfort | style | material | fit</x:v>
      </x:c>
      <x:c r="H189" s="77" t="n">
        <x:f>LEN(C189)</x:f>
        <x:v>1252</x:v>
      </x:c>
      <x:c r="I189" s="77" t="n">
        <x:f>IF(H189&gt;2400,3,IF(H189&gt;1200,2,1))</x:f>
        <x:v>2</x:v>
      </x:c>
      <x:c r="J189" s="17" t="str">
        <x:f>IF('Sessions'!B189="intent_override","Drop superseded values before query embedding",IF('Sessions'!B189="boundary","Do not invent a value for no-preference attributes","Keep profile tags soft; current message wins"))</x:f>
        <x:v>Keep profile tags soft; current message wins</x:v>
      </x:c>
    </x:row>
    <x:row r="190" ht="72" customHeight="1">
      <x:c r="A190" t="str">
        <x:f>'Sessions'!A190</x:f>
        <x:v>public_0186</x:v>
      </x:c>
      <x:c r="B190" t="str">
        <x:f>'Target Products'!B190</x:f>
        <x:v>B07XPLHXC1</x:v>
      </x:c>
      <x:c r="C190" s="17" t="str">
        <x:f>"title: "&amp;'Target Products'!C190&amp;" | categories: "&amp;'Target Products'!D190&amp;" | features: "&amp;'Target Products'!F190&amp;" | details: "&amp;'Target Products'!G190&amp;" | description: "&amp;'Target Products'!H190</x:f>
        <x:v>title: ASICS Women's Gel-Contend 6 Running Shoes | categories: Clothing, Shoes &amp; Jewelry | Women | Shoes | Athletic | Running | Road Running | features: 100% Synthetic | Rubber sole | AmpliFoam Midsole: Engineered to maintain durability at softer densities, providing better flexibility, comfort, and platform adaptability ideal for natural running. | Ortholite Sockliner: Moisture management (Ortholite is a registered trademark of O2 Partners LLC). | Rearfoot GEL technology cushioning system: Attenuates shock during impact phase and allows for a smooth transition to midstance. | GEL Technology: Cushioning provides excellent shock absorption | Ortholite Sockliner: Moisture management (Ortholite is a registered trademark of O2 Partners LLC). | details: Product Dimensions: 10 x 15 x 6 inches; 2 Pounds | Item model number: 1012A571 | Department: Womens | Date First Available: September 10, 2019 | Manufacturer: Asics | description: </x:v>
      </x:c>
      <x:c r="D190" s="17" t="str">
        <x:f>"title: "&amp;'Target Products'!C190&amp;" | leaf_category: "&amp;'Target Products'!E190&amp;" | store: "&amp;'Target Products'!L190&amp;" | details: "&amp;'Target Products'!G190</x:f>
        <x:v>title: ASICS Women's Gel-Contend 6 Running Shoes | leaf_category: Road Running | store: ASICS | details: Product Dimensions: 10 x 15 x 6 inches; 2 Pounds | Item model number: 1012A571 | Department: Womens | Date First Available: September 10, 2019 | Manufacturer: Asics</x:v>
      </x:c>
      <x:c r="E190" s="17" t="str">
        <x:f>"scenario: "&amp;'Sessions'!B190&amp;" | current_message: "&amp;'Sessions'!M190&amp;" | profile_soft_tags: "&amp;'Sessions'!I190</x:f>
        <x:v>scenario: intent_override | current_message: I'm looking for Running Road Running. Ortholite Sockliner: Moisture management (Ortholite is a registered trademark of O2 Partners LLC) | profile_soft_tags: material | comfort | fit | style</x:v>
      </x:c>
      <x:c r="F190" s="17" t="str">
        <x:f>'Intent Cards'!D190&amp;IF('Intent Cards'!F190&lt;&gt;""," | "&amp;'Intent Cards'!F190,"")</x:f>
        <x:v>100% Synthetic | Rubber sole</x:v>
      </x:c>
      <x:c r="G190" s="17" t="str">
        <x:f>'Sessions'!I190</x:f>
        <x:v>material | comfort | fit | style</x:v>
      </x:c>
      <x:c r="H190" s="77" t="n">
        <x:f>LEN(C190)</x:f>
        <x:v>939</x:v>
      </x:c>
      <x:c r="I190" s="77" t="n">
        <x:f>IF(H190&gt;2400,3,IF(H190&gt;1200,2,1))</x:f>
        <x:v>1</x:v>
      </x:c>
      <x:c r="J190" s="17" t="str">
        <x:f>IF('Sessions'!B190="intent_override","Drop superseded values before query embedding",IF('Sessions'!B190="boundary","Do not invent a value for no-preference attributes","Keep profile tags soft; current message wins"))</x:f>
        <x:v>Drop superseded values before query embedding</x:v>
      </x:c>
    </x:row>
    <x:row r="191" ht="72" customHeight="1">
      <x:c r="A191" t="str">
        <x:f>'Sessions'!A191</x:f>
        <x:v>public_0187</x:v>
      </x:c>
      <x:c r="B191" t="str">
        <x:f>'Target Products'!B191</x:f>
        <x:v>B000GQ1F3O</x:v>
      </x:c>
      <x:c r="C191" s="17" t="str">
        <x:f>"title: "&amp;'Target Products'!C191&amp;" | categories: "&amp;'Target Products'!D191&amp;" | features: "&amp;'Target Products'!F191&amp;" | details: "&amp;'Target Products'!G191&amp;" | description: "&amp;'Target Products'!H191</x:f>
        <x:v>title: Eastland Men's Newport Slip-On Shoe | categories: Clothing, Shoes &amp; Jewelry | Men | Shoes | Loafers &amp; Slip-Ons | features: 100% Leather | Leather sole | Leather slip-on featuring dual gore panels at entry and padded collar | Opanka stitch-to-sole construction for "no break-in" flexibility | Removable orthotic for cushion and support | Shock-absorbing PU outsole for durability and comfort | details: Package Dimensions: 12 x 8 x 4 inches; 12 Ounces | Department: mens | Date First Available: October 4, 2005 | Manufacturer: Eastland | description: You'll kick back in comfort with the Eastland Newport slip-on. Featuring a soft leather upper, these shoes have no mid soles so they'll feel broken-in right out of the box. With a durable PU outsole, unique Opanka stitch-to-sole construction and removable padded orthotics, these shoes are fit to handle all of your after-work and weekend activities. | Since 1955, Eastland's mission has been to supply the customer with top-quality comfortable, durable, contemporary casual footwear that is styled and priced right. Everything they do is driven by these five attributes: quality, comfort, durability, style, and affordable pricing. That is what makes Eastland shoes one of the best footwear values in the market.</x:v>
      </x:c>
      <x:c r="D191" s="17" t="str">
        <x:f>"title: "&amp;'Target Products'!C191&amp;" | leaf_category: "&amp;'Target Products'!E191&amp;" | store: "&amp;'Target Products'!L191&amp;" | details: "&amp;'Target Products'!G191</x:f>
        <x:v>title: Eastland Men's Newport Slip-On Shoe | leaf_category: Loafers &amp; Slip-Ons | store: Eastland | details: Package Dimensions: 12 x 8 x 4 inches; 12 Ounces | Department: mens | Date First Available: October 4, 2005 | Manufacturer: Eastland</x:v>
      </x:c>
      <x:c r="E191" s="17" t="str">
        <x:f>"scenario: "&amp;'Sessions'!B191&amp;" | current_message: "&amp;'Sessions'!M191&amp;" | profile_soft_tags: "&amp;'Sessions'!I191</x:f>
        <x:v>scenario: boundary | current_message: I'm looking for Shoes Loafers &amp; Slip-Ons, but I'm still exploring. | profile_soft_tags: weather | comfort | style</x:v>
      </x:c>
      <x:c r="F191" s="17" t="str">
        <x:f>'Intent Cards'!D191&amp;IF('Intent Cards'!F191&lt;&gt;""," | "&amp;'Intent Cards'!F191,"")</x:f>
        <x:v>leather | 100% Leather</x:v>
      </x:c>
      <x:c r="G191" s="17" t="str">
        <x:f>'Sessions'!I191</x:f>
        <x:v>weather | comfort | style</x:v>
      </x:c>
      <x:c r="H191" s="77" t="n">
        <x:f>LEN(C191)</x:f>
        <x:v>1270</x:v>
      </x:c>
      <x:c r="I191" s="77" t="n">
        <x:f>IF(H191&gt;2400,3,IF(H191&gt;1200,2,1))</x:f>
        <x:v>2</x:v>
      </x:c>
      <x:c r="J191" s="17" t="str">
        <x:f>IF('Sessions'!B191="intent_override","Drop superseded values before query embedding",IF('Sessions'!B191="boundary","Do not invent a value for no-preference attributes","Keep profile tags soft; current message wins"))</x:f>
        <x:v>Do not invent a value for no-preference attributes</x:v>
      </x:c>
    </x:row>
    <x:row r="192" ht="72" customHeight="1">
      <x:c r="A192" t="str">
        <x:f>'Sessions'!A192</x:f>
        <x:v>public_0188</x:v>
      </x:c>
      <x:c r="B192" t="str">
        <x:f>'Target Products'!B192</x:f>
        <x:v>B0B5ZS2J2W</x:v>
      </x:c>
      <x:c r="C192" s="17" t="str">
        <x:f>"title: "&amp;'Target Products'!C192&amp;" | categories: "&amp;'Target Products'!D192&amp;" | features: "&amp;'Target Products'!F192&amp;" | details: "&amp;'Target Products'!G192&amp;" | description: "&amp;'Target Products'!H192</x:f>
        <x:v>title: CLUCI Crossbody Purses for Women, Medium Size Zipper Pocket Adjustable Strap, Soft Leather Women's Shoulder Handbags | categories: Clothing, Shoes &amp; Jewelry | Women | Handbags &amp; Wallets | Crossbody Bags | features: Artificial Leather,Leather,Pu Leather | Imported | Zipper closure | 💧 [EASY TO MAINTAIN]:This leather multi pocket messenger bag is made of vegetarian PU leather on the outside, and consists of fabric lining and gold hardware on the inside. Artificial leather is durable and easy to clean. Just wipe with water to keep the appearance of this bag as new. | 👍 [Multi functional structure]: Everything a woman's purse needs is a spacious compartment and a gorgeous appearance. Our handmade messenger bag meets both requirements. This multi pocket women's purse has 2 external front zip pockets, 1 rear zip pocket, an internal zip pocket and an inset pocket for carrying your items. Zip pockets are smooth and easy to open and close. | 📑 [Perfect size]: This retro lightweight crossover bag is 9.05 "long x 1.96" wide x 9.64 "high, 0.99 pounds, and has an adjustable shoulder strap that can be adjusted from 12.6" to 22.4 ". This wallet is suitable for carrying wallet, iPad, mobile phone, comb, passport, powder puff, glasses, key ring and some cosmetic accessories. Unlike large handbags, you can organize your items well in this small and practical sling bag. | 🎉 [STYLISH&amp;FUNCTIONAL]: This messenger bag has an adjustable shoulder strap and a top zipper closure, which can be worn in many ways. On a sunny day, carrying a handbag is not an option. This is a women's sling bag, which can be used for daily commuting, air travel, visiting parks or spending the night with friends in clubs. | 🎁 [Meaningful gift]: Leather cross bag is the perfect combination of fashion, softness and durability. This small and cute messenger bag is the perfect gift for any occasion, such as Christmas, Valentine's Day, birthday, Mother's Day and the anniversary of a mother, wife or girlfriend. It is the only gift you will enjoy when going out for shopping, work, school, travel, business or vacation. | details: Is Discontinued By Manufacturer: No | Product Dimensions: 8.8 x 2.5 x 6.2 inches; 12.8 Ounces | Department: Womens | Date First Available: May 31, 2022 | Country of Origin: China | description: </x:v>
      </x:c>
      <x:c r="D192" s="17" t="str">
        <x:f>"title: "&amp;'Target Products'!C192&amp;" | leaf_category: "&amp;'Target Products'!E192&amp;" | store: "&amp;'Target Products'!L192&amp;" | details: "&amp;'Target Products'!G192</x:f>
        <x:v>title: CLUCI Crossbody Purses for Women, Medium Size Zipper Pocket Adjustable Strap, Soft Leather Women's Shoulder Handbags | leaf_category: Crossbody Bags | store: CLUCI | details: Is Discontinued By Manufacturer: No | Product Dimensions: 8.8 x 2.5 x 6.2 inches; 12.8 Ounces | Department: Womens | Date First Available: May 31, 2022 | Country of Origin: China</x:v>
      </x:c>
      <x:c r="E192" s="17" t="str">
        <x:f>"scenario: "&amp;'Sessions'!B192&amp;" | current_message: "&amp;'Sessions'!M192&amp;" | profile_soft_tags: "&amp;'Sessions'!I192</x:f>
        <x:v>scenario: buying | current_message: I'm looking for Handbags &amp; Wallets Crossbody Bags. A key requirement is: leather. | profile_soft_tags: material | fit</x:v>
      </x:c>
      <x:c r="F192" s="17" t="str">
        <x:f>'Intent Cards'!D192&amp;IF('Intent Cards'!F192&lt;&gt;""," | "&amp;'Intent Cards'!F192,"")</x:f>
        <x:v>leather | Artificial Leather,Leather,Pu Leather</x:v>
      </x:c>
      <x:c r="G192" s="17" t="str">
        <x:f>'Sessions'!I192</x:f>
        <x:v>material | fit</x:v>
      </x:c>
      <x:c r="H192" s="77" t="n">
        <x:f>LEN(C192)</x:f>
        <x:v>2317</x:v>
      </x:c>
      <x:c r="I192" s="77" t="n">
        <x:f>IF(H192&gt;2400,3,IF(H192&gt;1200,2,1))</x:f>
        <x:v>2</x:v>
      </x:c>
      <x:c r="J192" s="17" t="str">
        <x:f>IF('Sessions'!B192="intent_override","Drop superseded values before query embedding",IF('Sessions'!B192="boundary","Do not invent a value for no-preference attributes","Keep profile tags soft; current message wins"))</x:f>
        <x:v>Keep profile tags soft; current message wins</x:v>
      </x:c>
    </x:row>
    <x:row r="193" ht="72" customHeight="1">
      <x:c r="A193" t="str">
        <x:f>'Sessions'!A193</x:f>
        <x:v>public_0189</x:v>
      </x:c>
      <x:c r="B193" t="str">
        <x:f>'Target Products'!B193</x:f>
        <x:v>B0C614ZPK3</x:v>
      </x:c>
      <x:c r="C193" s="17" t="str">
        <x:f>"title: "&amp;'Target Products'!C193&amp;" | categories: "&amp;'Target Products'!D193&amp;" | features: "&amp;'Target Products'!F193&amp;" | details: "&amp;'Target Products'!G193&amp;" | description: "&amp;'Target Products'!H193</x:f>
        <x:v>title: Levi's Men's 505 Regular Fit Shorts (Also Available in Big &amp; Tall) | categories: Clothing, Shoes &amp; Jewelry | Men | Clothing | Shorts | Denim | features: 100% Cotton | Imported | Zipper closure | Machine Wash | Sits at waist | Extra room through seat and thigh | Falls at knee | Zip fly | Only available on Amazon | The model in the image is 6' 2" and is wearing 32 x 10. | Also available in Big and Tall for Color: Steel Black and Dachshund Roll | details: Item model number: 34505-2110 | Department: mens | Date First Available: May 23, 2023 | Manufacturer: Levi's | description: The original zip fly, created in 1967. Classic straight leg shorts. Made with our sustainable Water</x:v>
      </x:c>
      <x:c r="D193" s="17" t="str">
        <x:f>"title: "&amp;'Target Products'!C193&amp;" | leaf_category: "&amp;'Target Products'!E193&amp;" | store: "&amp;'Target Products'!L193&amp;" | details: "&amp;'Target Products'!G193</x:f>
        <x:v>title: Levi's Men's 505 Regular Fit Shorts (Also Available in Big &amp; Tall) | leaf_category: Denim | store: Levi's | details: Item model number: 34505-2110 | Department: mens | Date First Available: May 23, 2023 | Manufacturer: Levi's</x:v>
      </x:c>
      <x:c r="E193" s="17" t="str">
        <x:f>"scenario: "&amp;'Sessions'!B193&amp;" | current_message: "&amp;'Sessions'!M193&amp;" | profile_soft_tags: "&amp;'Sessions'!I193</x:f>
        <x:v>scenario: buying | current_message: I'm looking for Shorts Denim. A key requirement is: cotton. | profile_soft_tags: comfort | material</x:v>
      </x:c>
      <x:c r="F193" s="17" t="str">
        <x:f>'Intent Cards'!D193&amp;IF('Intent Cards'!F193&lt;&gt;""," | "&amp;'Intent Cards'!F193,"")</x:f>
        <x:v>cotton | color: black</x:v>
      </x:c>
      <x:c r="G193" s="17" t="str">
        <x:f>'Sessions'!I193</x:f>
        <x:v>comfort | material</x:v>
      </x:c>
      <x:c r="H193" s="77" t="n">
        <x:f>LEN(C193)</x:f>
        <x:v>687</x:v>
      </x:c>
      <x:c r="I193" s="77" t="n">
        <x:f>IF(H193&gt;2400,3,IF(H193&gt;1200,2,1))</x:f>
        <x:v>1</x:v>
      </x:c>
      <x:c r="J193" s="17" t="str">
        <x:f>IF('Sessions'!B193="intent_override","Drop superseded values before query embedding",IF('Sessions'!B193="boundary","Do not invent a value for no-preference attributes","Keep profile tags soft; current message wins"))</x:f>
        <x:v>Keep profile tags soft; current message wins</x:v>
      </x:c>
    </x:row>
    <x:row r="194" ht="72" customHeight="1">
      <x:c r="A194" t="str">
        <x:f>'Sessions'!A194</x:f>
        <x:v>public_0190</x:v>
      </x:c>
      <x:c r="B194" t="str">
        <x:f>'Target Products'!B194</x:f>
        <x:v>B01MQUDPPO</x:v>
      </x:c>
      <x:c r="C194" s="17" t="str">
        <x:f>"title: "&amp;'Target Products'!C194&amp;" | categories: "&amp;'Target Products'!D194&amp;" | features: "&amp;'Target Products'!F194&amp;" | details: "&amp;'Target Products'!G194&amp;" | description: "&amp;'Target Products'!H194</x:f>
        <x:v>title: Iflex Scrubs for Women, Yoga-Inspired Knit Waistband Scrub Pants CK002 | categories: Clothing, Shoes &amp; Jewelry | Women | Uniforms, Work &amp; Safety | Clothing | Medical | Scrub Bottoms | features: 94% Polyester, 6% Spandex | Imported | Pull On closure | Machine Wash | CONTEMPORARY FIT, PETITE SIZES UP TO 2XL - Cherokee iflex petite scrub pants for women come in the sizes you want with the features you need. Available in petite sizes from XXS to 2XL. These Contemporary fit mid rise womens scrubs pants are designed for style, comfort, easy care, and maximum durability. Stretch knit waistband for a comfortable and flattering fit. Straight leg. Petite inseam = 28 ½”. (Underscrub sold separately.) | YOGA-INSPIRED KNIT WAISTBAND - Love yoga pants? So do we! That's why we created these pull-on womens scrub pants featuring a comfy, wide tonal knit waistband with inside elastic. Soft enough to be comfortable. Secure enough to stay in place. These are yoga scrub pants women will buy again and again. Short inseam pants for women available. | SIX POCKETS FOR LOTS OF STORAGE - These stylish medical scrubs for women have a waistband pocket, two roomy front pockets, a coin pocket, and two welt cargo pockets. Plastic key clasp on Cherokee logo tape inside left front pocket to keep your keys secure. These are Cherokee iflex scrubs women petite will want in every color. | ADJUSTABLE HEM - Iflex nursing scrubs style CK002P feature flat bungee elastic at the inside bottom hem for adjustability. Cinch the elastic to create a gathered hem that can be pulled up or turned under. These straight leg petite Cherokee scrubs pants for women offer you style and flexibility. | FOUR-WAY STRETCH PERFORMANCE FABRIC - Iflex women scrubs are constructed from a polyester/spandex crosshatch dobby fabric. This lightweight yet durable fabric is soft and stretchy making it comfortable and easy care to outlast your toughest work shift. Moisture wicking helps move moisture away from the skin to keep you dry and comfortable. Look good and feel even better in these yoga-inspired stretchy nurse scrubs. These scrub petite pants for women are the ideal combination of fit and style. | details: Package Dimensions: 1 x 1 x 1 inches; 1 Pounds | Item model number: CK002 | Department: womens | Date First Available: August 16, 2016 | Manufacturer: Cherokee Scrubs Womens Child Code | description: A Contemporary fit, mid rise, straight leg pant features a comfort-fit knit waistband reinforced with inside elastic for extra support. Also featured are front pockets with signature logo rivets, logo tape with plastic key clasp (inside right pocket), two welt cargo pockets, a hidden waistband pocket, coin pocket and bungee cord at each leg hem for adjustability. Inseam: 31”. This durable crosshatch stretch dobby fabric combined with soft knit panels provide maximum comfort, movement and flexibility.</x:v>
      </x:c>
      <x:c r="D194" s="17" t="str">
        <x:f>"title: "&amp;'Target Products'!C194&amp;" | leaf_category: "&amp;'Target Products'!E194&amp;" | store: "&amp;'Target Products'!L194&amp;" | details: "&amp;'Target Products'!G194</x:f>
        <x:v>title: Iflex Scrubs for Women, Yoga-Inspired Knit Waistband Scrub Pants CK002 | leaf_category: Scrub Bottoms | store: Cherokee | details: Package Dimensions: 1 x 1 x 1 inches; 1 Pounds | Item model number: CK002 | Department: womens | Date First Available: August 16, 2016 | Manufacturer: Cherokee Scrubs Womens Child Code</x:v>
      </x:c>
      <x:c r="E194" s="17" t="str">
        <x:f>"scenario: "&amp;'Sessions'!B194&amp;" | current_message: "&amp;'Sessions'!M194&amp;" | profile_soft_tags: "&amp;'Sessions'!I194</x:f>
        <x:v>scenario: buying | current_message: I'm looking for Medical Scrub Bottoms. A key requirement is: polyester. | profile_soft_tags: material | fit</x:v>
      </x:c>
      <x:c r="F194" s="17" t="str">
        <x:f>'Intent Cards'!D194&amp;IF('Intent Cards'!F194&lt;&gt;""," | "&amp;'Intent Cards'!F194,"")</x:f>
        <x:v>polyester | 94% Polyester, 6% Spandex</x:v>
      </x:c>
      <x:c r="G194" s="17" t="str">
        <x:f>'Sessions'!I194</x:f>
        <x:v>material | fit</x:v>
      </x:c>
      <x:c r="H194" s="77" t="n">
        <x:f>LEN(C194)</x:f>
        <x:v>2893</x:v>
      </x:c>
      <x:c r="I194" s="77" t="n">
        <x:f>IF(H194&gt;2400,3,IF(H194&gt;1200,2,1))</x:f>
        <x:v>3</x:v>
      </x:c>
      <x:c r="J194" s="17" t="str">
        <x:f>IF('Sessions'!B194="intent_override","Drop superseded values before query embedding",IF('Sessions'!B194="boundary","Do not invent a value for no-preference attributes","Keep profile tags soft; current message wins"))</x:f>
        <x:v>Keep profile tags soft; current message wins</x:v>
      </x:c>
    </x:row>
    <x:row r="195" ht="72" customHeight="1">
      <x:c r="A195" t="str">
        <x:f>'Sessions'!A195</x:f>
        <x:v>public_0191</x:v>
      </x:c>
      <x:c r="B195" t="str">
        <x:f>'Target Products'!B195</x:f>
        <x:v>B083TB1NDK</x:v>
      </x:c>
      <x:c r="C195" s="17" t="str">
        <x:f>"title: "&amp;'Target Products'!C195&amp;" | categories: "&amp;'Target Products'!D195&amp;" | features: "&amp;'Target Products'!F195&amp;" | details: "&amp;'Target Products'!G195&amp;" | description: "&amp;'Target Products'!H195</x:f>
        <x:v>title: CS CELERSPORT 3 Pairs Compression Socks for Men and Women 20-30 mmHg Running Support Socks | categories: Clothing, Shoes &amp; Jewelry | Men | Clothing | Active | features: Polyamide,Mesh | Machine Wash | Moisture Wicking &amp; Breathable: These compression socks for women are made of lightweight farbic and polyamide, Moisture-wicking yarn and breathable mesh pulls perspiration away from the skin to help keep your feet stay dry, cool, and keep your feet dry all day. Perfect for any season, be it summer or winter! | Friction &amp; Shock Protection: Our mens compression socks use the seamless toe design, these compression socks for men circulation have targeted cushioning on the footbed for shock absorption, Cushion on the toe and in bottom with thicker yarn , reduces the impact and friction when your move, and increasing the performance and durance. | Promote Blood Circulation: This support socks are provided with several zones of graduated for boost venous flow. They are designed to promote blood circulation and oxygen flow preventing cramping ,fatigue, swelling, and helps in muscle recovery, varicose veins and diabetic. Provides true graduated compression to support your legs, help relieve pain &amp; discomfort related to plantar fasciitis. | 3 Sizes To Choose: We have 3 sizes for options to meet the demands of you as well as your family and your friends. These pregnancy compression socks 20-30 mmhg are perfect for running, travel, flight, pregnancy, edema, maternity, medical treatment. Great gift choice for joggers, athletes, workout fanatics, office workers. | CelerSport Best Customer Service: Order now and find the different on your feet. you will be 100% satisfied with our compression stockings! If you have any problem in size, or if you have any quality problem, please contact us, we only want to give you the best service! | details: Department: unisex-adult | Date First Available: January 13, 2020 | Manufacturer: CelerSport | description: </x:v>
      </x:c>
      <x:c r="D195" s="17" t="str">
        <x:f>"title: "&amp;'Target Products'!C195&amp;" | leaf_category: "&amp;'Target Products'!E195&amp;" | store: "&amp;'Target Products'!L195&amp;" | details: "&amp;'Target Products'!G195</x:f>
        <x:v>title: CS CELERSPORT 3 Pairs Compression Socks for Men and Women 20-30 mmHg Running Support Socks | leaf_category: Active | store: CS CELERSPORT | details: Department: unisex-adult | Date First Available: January 13, 2020 | Manufacturer: CelerSport</x:v>
      </x:c>
      <x:c r="E195" s="17" t="str">
        <x:f>"scenario: "&amp;'Sessions'!B195&amp;" | current_message: "&amp;'Sessions'!M195&amp;" | profile_soft_tags: "&amp;'Sessions'!I195</x:f>
        <x:v>scenario: browsing | current_message: I'm looking for Men Active, but I'm still exploring. | profile_soft_tags: performance | comfort | material | fit</x:v>
      </x:c>
      <x:c r="F195" s="17" t="str">
        <x:f>'Intent Cards'!D195&amp;IF('Intent Cards'!F195&lt;&gt;""," | "&amp;'Intent Cards'!F195,"")</x:f>
        <x:v>Polyamide,Mesh | Machine Wash</x:v>
      </x:c>
      <x:c r="G195" s="17" t="str">
        <x:f>'Sessions'!I195</x:f>
        <x:v>performance | comfort | material | fit</x:v>
      </x:c>
      <x:c r="H195" s="77" t="n">
        <x:f>LEN(C195)</x:f>
        <x:v>1971</x:v>
      </x:c>
      <x:c r="I195" s="77" t="n">
        <x:f>IF(H195&gt;2400,3,IF(H195&gt;1200,2,1))</x:f>
        <x:v>2</x:v>
      </x:c>
      <x:c r="J195" s="17" t="str">
        <x:f>IF('Sessions'!B195="intent_override","Drop superseded values before query embedding",IF('Sessions'!B195="boundary","Do not invent a value for no-preference attributes","Keep profile tags soft; current message wins"))</x:f>
        <x:v>Keep profile tags soft; current message wins</x:v>
      </x:c>
    </x:row>
    <x:row r="196" ht="72" customHeight="1">
      <x:c r="A196" t="str">
        <x:f>'Sessions'!A196</x:f>
        <x:v>public_0192</x:v>
      </x:c>
      <x:c r="B196" t="str">
        <x:f>'Target Products'!B196</x:f>
        <x:v>B0C62MF2HV</x:v>
      </x:c>
      <x:c r="C196" s="17" t="str">
        <x:f>"title: "&amp;'Target Products'!C196&amp;" | categories: "&amp;'Target Products'!D196&amp;" | features: "&amp;'Target Products'!F196&amp;" | details: "&amp;'Target Products'!G196&amp;" | description: "&amp;'Target Products'!H196</x:f>
        <x:v>title: adidas unisex adult Adilette Clog Slide Sandal, Pink Tint/White/Pink Tint, 12 Women Men US | categories: Clothing, Shoes &amp; Jewelry | Men | Shoes | Athletic | Sport Sandals &amp; Slides | features: 100% Textile Synthetics | Imported | Ethylene Vinyl Acetate sole | Sport-inspired clogs for every day | Regular fit | Slip-on construction for easy on and off | Synthetic upper for durability and light weight; Contoured footbed for a natural feel | Unisex product is men's sizing; women should size down 1 to 1.5 sizes | details: Package Dimensions: 15.31 x 10.87 x 5.35 inches; 4.4 Ounces | Item model number: LEQ20 | Department: Unisex-adult | Date First Available: June 1, 2021 | Manufacturer: adidas | description: Whether you're walking to the gym for an early-morning workout or taking the dog around the block, slip your feet into the comfy contoured footbeds of these Adilette Clogs. Kinda like the iconic adidas slides, but with the toes covered. Yeah, you're gonna like these.</x:v>
      </x:c>
      <x:c r="D196" s="17" t="str">
        <x:f>"title: "&amp;'Target Products'!C196&amp;" | leaf_category: "&amp;'Target Products'!E196&amp;" | store: "&amp;'Target Products'!L196&amp;" | details: "&amp;'Target Products'!G196</x:f>
        <x:v>title: adidas unisex adult Adilette Clog Slide Sandal, Pink Tint/White/Pink Tint, 12 Women Men US | leaf_category: Sport Sandals &amp; Slides | store: adidas | details: Package Dimensions: 15.31 x 10.87 x 5.35 inches; 4.4 Ounces | Item model number: LEQ20 | Department: Unisex-adult | Date First Available: June 1, 2021 | Manufacturer: adidas</x:v>
      </x:c>
      <x:c r="E196" s="17" t="str">
        <x:f>"scenario: "&amp;'Sessions'!B196&amp;" | current_message: "&amp;'Sessions'!M196&amp;" | profile_soft_tags: "&amp;'Sessions'!I196</x:f>
        <x:v>scenario: boundary | current_message: I'm looking for Athletic Sport Sandals &amp; Slides, but I'm still exploring. | profile_soft_tags: comfort | fit | style</x:v>
      </x:c>
      <x:c r="F196" s="17" t="str">
        <x:f>'Intent Cards'!D196&amp;IF('Intent Cards'!F196&lt;&gt;""," | "&amp;'Intent Cards'!F196,"")</x:f>
        <x:v>100% Textile Synthetics | color: pink</x:v>
      </x:c>
      <x:c r="G196" s="17" t="str">
        <x:f>'Sessions'!I196</x:f>
        <x:v>comfort | fit | style</x:v>
      </x:c>
      <x:c r="H196" s="77" t="n">
        <x:f>LEN(C196)</x:f>
        <x:v>986</x:v>
      </x:c>
      <x:c r="I196" s="77" t="n">
        <x:f>IF(H196&gt;2400,3,IF(H196&gt;1200,2,1))</x:f>
        <x:v>1</x:v>
      </x:c>
      <x:c r="J196" s="17" t="str">
        <x:f>IF('Sessions'!B196="intent_override","Drop superseded values before query embedding",IF('Sessions'!B196="boundary","Do not invent a value for no-preference attributes","Keep profile tags soft; current message wins"))</x:f>
        <x:v>Do not invent a value for no-preference attributes</x:v>
      </x:c>
    </x:row>
    <x:row r="197" ht="72" customHeight="1">
      <x:c r="A197" t="str">
        <x:f>'Sessions'!A197</x:f>
        <x:v>public_0193</x:v>
      </x:c>
      <x:c r="B197" t="str">
        <x:f>'Target Products'!B197</x:f>
        <x:v>B07YM55NLW</x:v>
      </x:c>
      <x:c r="C197" s="17" t="str">
        <x:f>"title: "&amp;'Target Products'!C197&amp;" | categories: "&amp;'Target Products'!D197&amp;" | features: "&amp;'Target Products'!F197&amp;" | details: "&amp;'Target Products'!G197&amp;" | description: "&amp;'Target Products'!H197</x:f>
        <x:v>title: Shimmer Anna Shine USA American Flag Patriotic Scarf | categories: Clothing, Shoes &amp; Jewelry | Women | Accessories | Scarves &amp; Wraps | Fashion Scarves | features: Chiffon | Hand Wash Only | Soft and lightweight chiffon fabric. | Beautiful traditional Patriotic colors of Red, White and Blue. | Size: Length 57 inches X Width 27 inches | details: Department: womens | Date First Available: October 1, 2019 | description: </x:v>
      </x:c>
      <x:c r="D197" s="17" t="str">
        <x:f>"title: "&amp;'Target Products'!C197&amp;" | leaf_category: "&amp;'Target Products'!E197&amp;" | store: "&amp;'Target Products'!L197&amp;" | details: "&amp;'Target Products'!G197</x:f>
        <x:v>title: Shimmer Anna Shine USA American Flag Patriotic Scarf | leaf_category: Fashion Scarves | store: Shimmer Anna Shine | details: Department: womens | Date First Available: October 1, 2019</x:v>
      </x:c>
      <x:c r="E197" s="17" t="str">
        <x:f>"scenario: "&amp;'Sessions'!B197&amp;" | current_message: "&amp;'Sessions'!M197&amp;" | profile_soft_tags: "&amp;'Sessions'!I197</x:f>
        <x:v>scenario: buying | current_message: I'm looking for Scarves &amp; Wraps Fashion Scarves. A key requirement is: fabric. | profile_soft_tags: material | fit</x:v>
      </x:c>
      <x:c r="F197" s="17" t="str">
        <x:f>'Intent Cards'!D197&amp;IF('Intent Cards'!F197&lt;&gt;""," | "&amp;'Intent Cards'!F197,"")</x:f>
        <x:v>fabric | color: red</x:v>
      </x:c>
      <x:c r="G197" s="17" t="str">
        <x:f>'Sessions'!I197</x:f>
        <x:v>material | fit</x:v>
      </x:c>
      <x:c r="H197" s="77" t="n">
        <x:f>LEN(C197)</x:f>
        <x:v>427</x:v>
      </x:c>
      <x:c r="I197" s="77" t="n">
        <x:f>IF(H197&gt;2400,3,IF(H197&gt;1200,2,1))</x:f>
        <x:v>1</x:v>
      </x:c>
      <x:c r="J197" s="17" t="str">
        <x:f>IF('Sessions'!B197="intent_override","Drop superseded values before query embedding",IF('Sessions'!B197="boundary","Do not invent a value for no-preference attributes","Keep profile tags soft; current message wins"))</x:f>
        <x:v>Keep profile tags soft; current message wins</x:v>
      </x:c>
    </x:row>
    <x:row r="198" ht="72" customHeight="1">
      <x:c r="A198" t="str">
        <x:f>'Sessions'!A198</x:f>
        <x:v>public_0194</x:v>
      </x:c>
      <x:c r="B198" t="str">
        <x:f>'Target Products'!B198</x:f>
        <x:v>B09WR1NZ48</x:v>
      </x:c>
      <x:c r="C198" s="17" t="str">
        <x:f>"title: "&amp;'Target Products'!C198&amp;" | categories: "&amp;'Target Products'!D198&amp;" | features: "&amp;'Target Products'!F198&amp;" | details: "&amp;'Target Products'!G198&amp;" | description: "&amp;'Target Products'!H198</x:f>
        <x:v>title: Graphic Tees for Women Short Sleeve Tshirts,Womens Summer Tops Crewneck Shirt Blouse | categories: Clothing, Shoes &amp; Jewelry | Women | Clothing | Tops, Tees &amp; Blouses | T-Shirts | features: 95% Rayon, 5% Spandex | Pull On closure | Hand Wash Only | SUPERLATIVE MATERIAL: Cotton blend.The fabric is soft and comfortable with a little bit stretch, light weight, breathable and not see through. Super soft, cool, flexible and fitness makes you a wonderful wearing experience. This premium t-shirt is also specially strongly skin-friendly, with very smooth feel. | CUTE FALL SHIRT: It's fall yall cute letter print shirt, funny leopard pumpkin graphic t-shirt tops, great gift for mom grandmother aunt for Halloween, autumn, Thanksgiving or Christmas | EASY TO MATCH: Perfect for casual sports or work wear, good choice to match with your favorite skinny jeans or leggings, make you look very cute, great to wear as casual street style t-shirt. suit for summer casual, home, party, club, holiday, school, street, beach | CARE INSTRUCTIONS: Please don't put it in the dryer, suggest to hand/machine wash cold water, do not dry clean, not bleach, hang to dry. | SIZE INFORMATION: There are four sizes for your choice(Small, Medium, Large, X-Large). You can get more information from the size chart picture, one size larger is more convenient to knot | details: Department: Womens | Date First Available: June 10, 2020 | description: </x:v>
      </x:c>
      <x:c r="D198" s="17" t="str">
        <x:f>"title: "&amp;'Target Products'!C198&amp;" | leaf_category: "&amp;'Target Products'!E198&amp;" | store: "&amp;'Target Products'!L198&amp;" | details: "&amp;'Target Products'!G198</x:f>
        <x:v>title: Graphic Tees for Women Short Sleeve Tshirts,Womens Summer Tops Crewneck Shirt Blouse | leaf_category: T-Shirts | store: Aoang | details: Department: Womens | Date First Available: June 10, 2020</x:v>
      </x:c>
      <x:c r="E198" s="17" t="str">
        <x:f>"scenario: "&amp;'Sessions'!B198&amp;" | current_message: "&amp;'Sessions'!M198&amp;" | profile_soft_tags: "&amp;'Sessions'!I198</x:f>
        <x:v>scenario: buying | current_message: I'm looking for Tees &amp; Blouses T-Shirts. A key requirement is: rayon. | profile_soft_tags: warmth | weather | comfort | fit</x:v>
      </x:c>
      <x:c r="F198" s="17" t="str">
        <x:f>'Intent Cards'!D198&amp;IF('Intent Cards'!F198&lt;&gt;""," | "&amp;'Intent Cards'!F198,"")</x:f>
        <x:v>rayon | 95% Rayon, 5% Spandex</x:v>
      </x:c>
      <x:c r="G198" s="17" t="str">
        <x:f>'Sessions'!I198</x:f>
        <x:v>warmth | weather | comfort | fit</x:v>
      </x:c>
      <x:c r="H198" s="77" t="n">
        <x:f>LEN(C198)</x:f>
        <x:v>1434</x:v>
      </x:c>
      <x:c r="I198" s="77" t="n">
        <x:f>IF(H198&gt;2400,3,IF(H198&gt;1200,2,1))</x:f>
        <x:v>2</x:v>
      </x:c>
      <x:c r="J198" s="17" t="str">
        <x:f>IF('Sessions'!B198="intent_override","Drop superseded values before query embedding",IF('Sessions'!B198="boundary","Do not invent a value for no-preference attributes","Keep profile tags soft; current message wins"))</x:f>
        <x:v>Keep profile tags soft; current message wins</x:v>
      </x:c>
    </x:row>
    <x:row r="199" ht="72" customHeight="1">
      <x:c r="A199" t="str">
        <x:f>'Sessions'!A199</x:f>
        <x:v>public_0195</x:v>
      </x:c>
      <x:c r="B199" t="str">
        <x:f>'Target Products'!B199</x:f>
        <x:v>B072M4K5LF</x:v>
      </x:c>
      <x:c r="C199" s="17" t="str">
        <x:f>"title: "&amp;'Target Products'!C199&amp;" | categories: "&amp;'Target Products'!D199&amp;" | features: "&amp;'Target Products'!F199&amp;" | details: "&amp;'Target Products'!G199&amp;" | description: "&amp;'Target Products'!H199</x:f>
        <x:v>title: Floerns Women's Ruffle Off Shoulder Rose Embroidery Loose Blouse Top | categories: Clothing, Shoes &amp; Jewelry | Women | Clothing | Tops, Tees &amp; Blouses | Blouses &amp; Button-Down Shirts | features: 100% Rayon | Pull On closure | 100%Rayon | Off the shoulder, short sleeve, ruffle, loose, thin | Loose casual blouse, fit for everyday dressing, for women, for summer | Model: Height:178cm/5'10", Bust:84cm/33", Waist:64cm/25", Hip:90cm/35", Wear: S | Please refer to Size Chart in Product Description as below | details: Department: Womens | Date First Available: June 1, 2017 | description: </x:v>
      </x:c>
      <x:c r="D199" s="17" t="str">
        <x:f>"title: "&amp;'Target Products'!C199&amp;" | leaf_category: "&amp;'Target Products'!E199&amp;" | store: "&amp;'Target Products'!L199&amp;" | details: "&amp;'Target Products'!G199</x:f>
        <x:v>title: Floerns Women's Ruffle Off Shoulder Rose Embroidery Loose Blouse Top | leaf_category: Blouses &amp; Button-Down Shirts | store: Floerns | details: Department: Womens | Date First Available: June 1, 2017</x:v>
      </x:c>
      <x:c r="E199" s="17" t="str">
        <x:f>"scenario: "&amp;'Sessions'!B199&amp;" | current_message: "&amp;'Sessions'!M199&amp;" | profile_soft_tags: "&amp;'Sessions'!I199</x:f>
        <x:v>scenario: browsing | current_message: I'm looking for Tees &amp; Blouses Blouses &amp; Button-Down Shirts, but I'm still exploring. | profile_soft_tags: material | fit</x:v>
      </x:c>
      <x:c r="F199" s="17" t="str">
        <x:f>'Intent Cards'!D199&amp;IF('Intent Cards'!F199&lt;&gt;""," | "&amp;'Intent Cards'!F199,"")</x:f>
        <x:v>rayon | 100% Rayon</x:v>
      </x:c>
      <x:c r="G199" s="17" t="str">
        <x:f>'Sessions'!I199</x:f>
        <x:v>material | fit</x:v>
      </x:c>
      <x:c r="H199" s="77" t="n">
        <x:f>LEN(C199)</x:f>
        <x:v>593</x:v>
      </x:c>
      <x:c r="I199" s="77" t="n">
        <x:f>IF(H199&gt;2400,3,IF(H199&gt;1200,2,1))</x:f>
        <x:v>1</x:v>
      </x:c>
      <x:c r="J199" s="17" t="str">
        <x:f>IF('Sessions'!B199="intent_override","Drop superseded values before query embedding",IF('Sessions'!B199="boundary","Do not invent a value for no-preference attributes","Keep profile tags soft; current message wins"))</x:f>
        <x:v>Keep profile tags soft; current message wins</x:v>
      </x:c>
    </x:row>
    <x:row r="200" ht="72" customHeight="1">
      <x:c r="A200" t="str">
        <x:f>'Sessions'!A200</x:f>
        <x:v>public_0196</x:v>
      </x:c>
      <x:c r="B200" t="str">
        <x:f>'Target Products'!B200</x:f>
        <x:v>B073T364MM</x:v>
      </x:c>
      <x:c r="C200" s="17" t="str">
        <x:f>"title: "&amp;'Target Products'!C200&amp;" | categories: "&amp;'Target Products'!D200&amp;" | features: "&amp;'Target Products'!F200&amp;" | details: "&amp;'Target Products'!G200&amp;" | description: "&amp;'Target Products'!H200</x:f>
        <x:v>title: DREAM PAIRS Women's Sole-Simple Ballerina Walking Flats Shoes | categories: Clothing, Shoes &amp; Jewelry | Women | Shoes | Flats | features: Rubber sole | Design in USA | Heel height: 0.15" (approx) | Ultra Flexible Rubber Outsole | Ultra Soft Lining For Best Comfort | Premium Latex Cushioned Foot-Bed, for Ultimate Comfort | details: Department: Womens | Date First Available: March 1, 2017 | description: </x:v>
      </x:c>
      <x:c r="D200" s="17" t="str">
        <x:f>"title: "&amp;'Target Products'!C200&amp;" | leaf_category: "&amp;'Target Products'!E200&amp;" | store: "&amp;'Target Products'!L200&amp;" | details: "&amp;'Target Products'!G200</x:f>
        <x:v>title: DREAM PAIRS Women's Sole-Simple Ballerina Walking Flats Shoes | leaf_category: Flats | store: DREAM PAIRS | details: Department: Womens | Date First Available: March 1, 2017</x:v>
      </x:c>
      <x:c r="E200" s="17" t="str">
        <x:f>"scenario: "&amp;'Sessions'!B200&amp;" | current_message: "&amp;'Sessions'!M200&amp;" | profile_soft_tags: "&amp;'Sessions'!I200</x:f>
        <x:v>scenario: browsing | current_message: I'm looking for Shoes Flats, but I'm still exploring. | profile_soft_tags: material | fit | comfort | style</x:v>
      </x:c>
      <x:c r="F200" s="17" t="str">
        <x:f>'Intent Cards'!D200&amp;IF('Intent Cards'!F200&lt;&gt;""," | "&amp;'Intent Cards'!F200,"")</x:f>
        <x:v>Rubber sole | Design in USA</x:v>
      </x:c>
      <x:c r="G200" s="17" t="str">
        <x:f>'Sessions'!I200</x:f>
        <x:v>material | fit | comfort | style</x:v>
      </x:c>
      <x:c r="H200" s="77" t="n">
        <x:f>LEN(C200)</x:f>
        <x:v>412</x:v>
      </x:c>
      <x:c r="I200" s="77" t="n">
        <x:f>IF(H200&gt;2400,3,IF(H200&gt;1200,2,1))</x:f>
        <x:v>1</x:v>
      </x:c>
      <x:c r="J200" s="17" t="str">
        <x:f>IF('Sessions'!B200="intent_override","Drop superseded values before query embedding",IF('Sessions'!B200="boundary","Do not invent a value for no-preference attributes","Keep profile tags soft; current message wins"))</x:f>
        <x:v>Keep profile tags soft; current message wins</x:v>
      </x:c>
    </x:row>
    <x:row r="201" ht="72" customHeight="1">
      <x:c r="A201" t="str">
        <x:f>'Sessions'!A201</x:f>
        <x:v>public_0197</x:v>
      </x:c>
      <x:c r="B201" t="str">
        <x:f>'Target Products'!B201</x:f>
        <x:v>B07FDNP55K</x:v>
      </x:c>
      <x:c r="C201" s="17" t="str">
        <x:f>"title: "&amp;'Target Products'!C201&amp;" | categories: "&amp;'Target Products'!D201&amp;" | features: "&amp;'Target Products'!F201&amp;" | details: "&amp;'Target Products'!G201&amp;" | description: "&amp;'Target Products'!H201</x:f>
        <x:v>title: Watch Band Strap Link Pins Remover Repair Tool,24 in 1 Kit with 6 Extra Tips Replacement,20PCS Cotter Pin,Spring Bar Tool Set,1PCS Head Hammer | categories: Clothing, Shoes &amp; Jewelry | Shoe, Jewelry &amp; Watch Accessories | Watch Accessories | Repair Tools &amp; Kits | features: What is in the package?EFIXTK watch band tool kit comes with a watch band link pin remover with 6 extra tips, a plastic watch holder, a dual head hammer, 4 pin punches,20pcs cotter pins and a glasses cloth. A perfect kit for watch band link remove and watch repair | Easy to use: Size your watch band yourself with this small, simple tool effectively without wiggling | Fit for different sizes,Fit bands up to 30mm wide ,6 replacement pins and an adjustable base allow for use with different band thicknesses | VALUE KIT FOR MONEY SAVING - This watch band link remover is great for removing and inserting spring bars straps, and widely used in up to 30mm wide watch band replace, watch repair and jewelry making | Package contents: 1PCS All-Metal Watch Band Link Remover，1PCS Holder,1PCS Head Hammer,1PCS Glasses Cloth,20pcs Cotter pins | details: Is Discontinued By Manufacturer: No | Package Dimensions: 7.95 x 4.57 x 1.26 inches; 9.59 Ounces | Item model number: EFTK0711001 | Department: unisex-adult | Date First Available: July 11, 2018 | Manufacturer: EFIXTK | description: </x:v>
      </x:c>
      <x:c r="D201" s="17" t="str">
        <x:f>"title: "&amp;'Target Products'!C201&amp;" | leaf_category: "&amp;'Target Products'!E201&amp;" | store: "&amp;'Target Products'!L201&amp;" | details: "&amp;'Target Products'!G201</x:f>
        <x:v>title: Watch Band Strap Link Pins Remover Repair Tool,24 in 1 Kit with 6 Extra Tips Replacement,20PCS Cotter Pin,Spring Bar Tool Set,1PCS Head Hammer | leaf_category: Repair Tools &amp; Kits | store: EFIXTK | details: Is Discontinued By Manufacturer: No | Package Dimensions: 7.95 x 4.57 x 1.26 inches; 9.59 Ounces | Item model number: EFTK0711001 | Department: unisex-adult | Date First Available: July 11, 2018 | Manufacturer: EFIXTK</x:v>
      </x:c>
      <x:c r="E201" s="17" t="str">
        <x:f>"scenario: "&amp;'Sessions'!B201&amp;" | current_message: "&amp;'Sessions'!M201&amp;" | profile_soft_tags: "&amp;'Sessions'!I201</x:f>
        <x:v>scenario: intent_override | current_message: I'm looking for Watch Accessories Repair Tools &amp; Kits. VALUE KIT FOR MONEY SAVING - This watch band link remover is great for removing and inserting spring bars straps, and widely used in up to 30mm wide watch band replace, watch repai | profile_soft_tags: material | fit</x:v>
      </x:c>
      <x:c r="F201" s="17" t="str">
        <x:f>'Intent Cards'!D201&amp;IF('Intent Cards'!F201&lt;&gt;""," | "&amp;'Intent Cards'!F201,"")</x:f>
        <x:v>What is in the package?EFIXTK watch band tool kit comes with a watch band link pin remover with 6 extra tips, a plastic watch holder, a dual head hammer, 4 pin punches,20pcs cotter | Easy to use: Size your watch band yourself with this small, simple tool effectively without wiggling</x:v>
      </x:c>
      <x:c r="G201" s="17" t="str">
        <x:f>'Sessions'!I201</x:f>
        <x:v>material | fit</x:v>
      </x:c>
      <x:c r="H201" s="77" t="n">
        <x:f>LEN(C201)</x:f>
        <x:v>1361</x:v>
      </x:c>
      <x:c r="I201" s="77" t="n">
        <x:f>IF(H201&gt;2400,3,IF(H201&gt;1200,2,1))</x:f>
        <x:v>2</x:v>
      </x:c>
      <x:c r="J201" s="17" t="str">
        <x:f>IF('Sessions'!B201="intent_override","Drop superseded values before query embedding",IF('Sessions'!B201="boundary","Do not invent a value for no-preference attributes","Keep profile tags soft; current message wins"))</x:f>
        <x:v>Drop superseded values before query embedding</x:v>
      </x:c>
    </x:row>
    <x:row r="202" ht="72" customHeight="1">
      <x:c r="A202" t="str">
        <x:f>'Sessions'!A202</x:f>
        <x:v>public_0198</x:v>
      </x:c>
      <x:c r="B202" t="str">
        <x:f>'Target Products'!B202</x:f>
        <x:v>B08K1ZJZ4N</x:v>
      </x:c>
      <x:c r="C202" s="17" t="str">
        <x:f>"title: "&amp;'Target Products'!C202&amp;" | categories: "&amp;'Target Products'!D202&amp;" | features: "&amp;'Target Products'!F202&amp;" | details: "&amp;'Target Products'!G202&amp;" | description: "&amp;'Target Products'!H202</x:f>
        <x:v>title: lola mae Quilted Crossbody Bag, Medium Lightweight Shoulder Purse Top Zipper Tassel Accent | categories: Clothing, Shoes &amp; Jewelry | Women | Handbags &amp; Wallets | Crossbody Bags | features: PU | Imported | * Big enough to fit a wallet and large cell phone - This small crossbody bag is an updated larger version with plenty of room, Perfect size for your everyday use! the purse size is 9.5" (L) x 2.25" (D) x 6.50" (H), the long shoulder strap is adjustable from 22" to 25" drop, from 48" to 54" in length | * Multi pockets - This side purse has 1 open phone pocket outside , 1 zip pocket &amp; 1 slip pocket inside to secure your credit card, phone and keys etc. The detachable chain strap can be replaced easily for a new look, the tassel is also removable | * Trendy design and good quality - This stylish camera purse is well made with soft faux leather and metal hardwares, great quality makes it look like a high end expensive designer purse, many compliments wherever you go, You will love this bag! | * Match your style - With so many different colors and patterns, such as black, nude, beige, taupe,tan, hunter green, yellow, you will find a right color for teen girls, girlfriends and mothers; This going out purse makes a great gift for Valentine's Day, Mother's Day, Easter, Christmas, New year, anniversaries, and other special occasions. | * Money back guaranteed - Shop confidently with these cross body purses for you and your family with 100% satisfaction! please contact us If you have any issues with your purchase, our customer service team will assist you | details: Product Dimensions: 9.5 x 2.25 x 6.5 inches; 1.05 Pounds | Item model number: LM692B | Department: Womens | Date First Available: September 14, 2022 | Country of Origin: China | description: </x:v>
      </x:c>
      <x:c r="D202" s="17" t="str">
        <x:f>"title: "&amp;'Target Products'!C202&amp;" | leaf_category: "&amp;'Target Products'!E202&amp;" | store: "&amp;'Target Products'!L202&amp;" | details: "&amp;'Target Products'!G202</x:f>
        <x:v>title: lola mae Quilted Crossbody Bag, Medium Lightweight Shoulder Purse Top Zipper Tassel Accent | leaf_category: Crossbody Bags | store: lola mae | details: Product Dimensions: 9.5 x 2.25 x 6.5 inches; 1.05 Pounds | Item model number: LM692B | Department: Womens | Date First Available: September 14, 2022 | Country of Origin: China</x:v>
      </x:c>
      <x:c r="E202" s="17" t="str">
        <x:f>"scenario: "&amp;'Sessions'!B202&amp;" | current_message: "&amp;'Sessions'!M202&amp;" | profile_soft_tags: "&amp;'Sessions'!I202</x:f>
        <x:v>scenario: intent_override | current_message: I'm looking for Handbags &amp; Wallets Crossbody Bags. Imported | profile_soft_tags: material | durability | fit | comfort</x:v>
      </x:c>
      <x:c r="F202" s="17" t="str">
        <x:f>'Intent Cards'!D202&amp;IF('Intent Cards'!F202&lt;&gt;""," | "&amp;'Intent Cards'!F202,"")</x:f>
        <x:v>leather | color: black</x:v>
      </x:c>
      <x:c r="G202" s="17" t="str">
        <x:f>'Sessions'!I202</x:f>
        <x:v>material | durability | fit | comfort</x:v>
      </x:c>
      <x:c r="H202" s="77" t="n">
        <x:f>LEN(C202)</x:f>
        <x:v>1782</x:v>
      </x:c>
      <x:c r="I202" s="77" t="n">
        <x:f>IF(H202&gt;2400,3,IF(H202&gt;1200,2,1))</x:f>
        <x:v>2</x:v>
      </x:c>
      <x:c r="J202" s="17" t="str">
        <x:f>IF('Sessions'!B202="intent_override","Drop superseded values before query embedding",IF('Sessions'!B202="boundary","Do not invent a value for no-preference attributes","Keep profile tags soft; current message wins"))</x:f>
        <x:v>Drop superseded values before query embedding</x:v>
      </x:c>
    </x:row>
    <x:row r="203" ht="72" customHeight="1">
      <x:c r="A203" t="str">
        <x:f>'Sessions'!A203</x:f>
        <x:v>public_0199</x:v>
      </x:c>
      <x:c r="B203" t="str">
        <x:f>'Target Products'!B203</x:f>
        <x:v>B089M57PSQ</x:v>
      </x:c>
      <x:c r="C203" s="17" t="str">
        <x:f>"title: "&amp;'Target Products'!C203&amp;" | categories: "&amp;'Target Products'!D203&amp;" | features: "&amp;'Target Products'!F203&amp;" | details: "&amp;'Target Products'!G203&amp;" | description: "&amp;'Target Products'!H203</x:f>
        <x:v>title: Boboking 100% Cotton Little Boys Briefs Soft Dinosaur Truck Toddler Underwear | categories: Clothing, Shoes &amp; Jewelry | Boys | Clothing | Underwear | Briefs | features: Imported | Machine Wash | 100% Cotton Size:3T (2-3), 4T (3-4), 5 (5-6), 6 (6-7), 8 (7-8), 10 (9-10), 12 (10-12) | Machine wash,boys briefs Cloth material is very soft and comfy,and breathable. extra strength and durability; | The cute designed boy short cut covers your entire backside and sits right on your waistline with a covered elastic band for additional comfort | Breathable, thread does not stick, no smell,we offer this boys underwear made with super soft fabrics from brands. | Package included:Pack of 6 Kids series undies. Each package contains 6 different prints to suit your choice and style | details: Item model number: BOboys8866 | Department: Boys | Date First Available: June 3, 2020 | description: </x:v>
      </x:c>
      <x:c r="D203" s="17" t="str">
        <x:f>"title: "&amp;'Target Products'!C203&amp;" | leaf_category: "&amp;'Target Products'!E203&amp;" | store: "&amp;'Target Products'!L203&amp;" | details: "&amp;'Target Products'!G203</x:f>
        <x:v>title: Boboking 100% Cotton Little Boys Briefs Soft Dinosaur Truck Toddler Underwear | leaf_category: Briefs | store: Boboking | details: Item model number: BOboys8866 | Department: Boys | Date First Available: June 3, 2020</x:v>
      </x:c>
      <x:c r="E203" s="17" t="str">
        <x:f>"scenario: "&amp;'Sessions'!B203&amp;" | current_message: "&amp;'Sessions'!M203&amp;" | profile_soft_tags: "&amp;'Sessions'!I203</x:f>
        <x:v>scenario: buying | current_message: I'm looking for Underwear Briefs. A key requirement is: cotton. | profile_soft_tags: material | fit</x:v>
      </x:c>
      <x:c r="F203" s="17" t="str">
        <x:f>'Intent Cards'!D203&amp;IF('Intent Cards'!F203&lt;&gt;""," | "&amp;'Intent Cards'!F203,"")</x:f>
        <x:v>cotton | Imported</x:v>
      </x:c>
      <x:c r="G203" s="17" t="str">
        <x:f>'Sessions'!I203</x:f>
        <x:v>material | fit</x:v>
      </x:c>
      <x:c r="H203" s="77" t="n">
        <x:f>LEN(C203)</x:f>
        <x:v>895</x:v>
      </x:c>
      <x:c r="I203" s="77" t="n">
        <x:f>IF(H203&gt;2400,3,IF(H203&gt;1200,2,1))</x:f>
        <x:v>1</x:v>
      </x:c>
      <x:c r="J203" s="17" t="str">
        <x:f>IF('Sessions'!B203="intent_override","Drop superseded values before query embedding",IF('Sessions'!B203="boundary","Do not invent a value for no-preference attributes","Keep profile tags soft; current message wins"))</x:f>
        <x:v>Keep profile tags soft; current message wins</x:v>
      </x:c>
    </x:row>
    <x:row r="204" ht="72" customHeight="1">
      <x:c r="A204" t="str">
        <x:f>'Sessions'!A204</x:f>
        <x:v>public_0200</x:v>
      </x:c>
      <x:c r="B204" t="str">
        <x:f>'Target Products'!B204</x:f>
        <x:v>B07VFZ2FC2</x:v>
      </x:c>
      <x:c r="C204" s="17" t="str">
        <x:f>"title: "&amp;'Target Products'!C204&amp;" | categories: "&amp;'Target Products'!D204&amp;" | features: "&amp;'Target Products'!F204&amp;" | details: "&amp;'Target Products'!G204&amp;" | description: "&amp;'Target Products'!H204</x:f>
        <x:v>title: FUNKYMONKEY Mens Bathroom Shower Slippers Indoor Home Beach Non Slip Sandal | categories: Clothing, Shoes &amp; Jewelry | Men | features: Ethylene Vinyl Acetate sole | Heel measures approximately 2.3 centimeters | 【Concise Style】Diamond pattern and raised design, pure color, casual style are quite suitable for home and any other casual occasion. | 【Soft &amp; Lightweight】Which only weight about 200g, lightweight and durable EVA material can arbitrary bending, thick soles design with light rebound ability, give your feet ultimate comfort and pain relief. | 【Anti Slip】Anti Slip: Sole with diamond-shaped raised design, electing High-Elastic EVA material, has good slip resistance, coupled with the pressure of the human body weight increased friction to keep balance better, especially used in the bath. | 【Widely Occasions】Perfect for all season, Indoor bedroom, Bathroom, Living room, Spa, Gym, Swimming pool, Beach, Holiday, Leisure, public showers, steam rooms, dorms, camps, pools, locker rooms. | 【Satisfaction Guaranteed】We take customer service seriously and hope that you are satisfied with the shopping experience. If you have any questions or comments, please feel free to contact us and we will do our best to meet your needs. | details: Department: mens | Date First Available: July 20, 2019 | description: </x:v>
      </x:c>
      <x:c r="D204" s="17" t="str">
        <x:f>"title: "&amp;'Target Products'!C204&amp;" | leaf_category: "&amp;'Target Products'!E204&amp;" | store: "&amp;'Target Products'!L204&amp;" | details: "&amp;'Target Products'!G204</x:f>
        <x:v>title: FUNKYMONKEY Mens Bathroom Shower Slippers Indoor Home Beach Non Slip Sandal | leaf_category: Men | store: FUNKYMONKEY | details: Department: mens | Date First Available: July 20, 2019</x:v>
      </x:c>
      <x:c r="E204" s="17" t="str">
        <x:f>"scenario: "&amp;'Sessions'!B204&amp;" | current_message: "&amp;'Sessions'!M204&amp;" | profile_soft_tags: "&amp;'Sessions'!I204</x:f>
        <x:v>scenario: buying | current_message: I'm looking for Shoes &amp; Jewelry Men. A key requirement is: Ethylene Vinyl Acetate sole. | profile_soft_tags: material | comfort | fit | style</x:v>
      </x:c>
      <x:c r="F204" s="17" t="str">
        <x:f>'Intent Cards'!D204&amp;IF('Intent Cards'!F204&lt;&gt;""," | "&amp;'Intent Cards'!F204,"")</x:f>
        <x:v>Ethylene Vinyl Acetate sole | Heel measures approximately 2.3 centimeters</x:v>
      </x:c>
      <x:c r="G204" s="17" t="str">
        <x:f>'Sessions'!I204</x:f>
        <x:v>material | comfort | fit | style</x:v>
      </x:c>
      <x:c r="H204" s="77" t="n">
        <x:f>LEN(C204)</x:f>
        <x:v>1324</x:v>
      </x:c>
      <x:c r="I204" s="77" t="n">
        <x:f>IF(H204&gt;2400,3,IF(H204&gt;1200,2,1))</x:f>
        <x:v>2</x:v>
      </x:c>
      <x:c r="J204" s="17" t="str">
        <x:f>IF('Sessions'!B204="intent_override","Drop superseded values before query embedding",IF('Sessions'!B204="boundary","Do not invent a value for no-preference attributes","Keep profile tags soft; current message wins"))</x:f>
        <x:v>Keep profile tags soft; current message wins</x:v>
      </x:c>
    </x:row>
  </x:sheetData>
  <x:mergeCells>
    <x:mergeCell ref="A1:J1"/>
    <x:mergeCell ref="A2:J2"/>
  </x:mergeCells>
  <x:pageMargins left="0.7" right="0.7" top="0.75" bottom="0.75" header="0.3" footer="0.3"/>
  <x:legacyDrawing xmlns:r="http://schemas.openxmlformats.org/officeDocument/2006/relationships" r:id="Ra025953198c44225"/>
  <x:tableParts count="1">
    <x:tablePart xmlns:r="http://schemas.openxmlformats.org/officeDocument/2006/relationships" r:id="R5abc78aa9dc6434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2" hidden="0" customWidth="1"/>
    <x:col min="4" max="4" width="25" hidden="0" customWidth="1"/>
    <x:col min="5" max="5" width="25" hidden="0" customWidth="1"/>
    <x:col min="6" max="6" width="24" hidden="0" customWidth="1"/>
    <x:col min="7" max="7" width="30" hidden="0" customWidth="1"/>
    <x:col min="8" max="8" width="28" hidden="0" customWidth="1"/>
  </x:cols>
  <x:sheetData>
    <x:row r="1" ht="34" customHeight="1">
      <x:c r="A1" s="4" t="str">
        <x:v>Conversation Control-Flow Diagram</x:v>
      </x:c>
    </x:row>
    <x:row r="2" ht="30" customHeight="1">
      <x:c r="A2" s="8" t="str">
        <x:v>The structurally complete set of scenario paths. A session ends on a valid hit or after turn 10.</x:v>
      </x:c>
      <x:c r="B2" s="8" t="str">
        <x:v>The structurally complete set of scenario paths. A session ends on a valid hit or after turn 10.</x:v>
      </x:c>
      <x:c r="C2" s="8" t="str">
        <x:v>The structurally complete set of scenario paths. A session ends on a valid hit or after turn 10.</x:v>
      </x:c>
      <x:c r="D2" s="8" t="str">
        <x:v>The structurally complete set of scenario paths. A session ends on a valid hit or after turn 10.</x:v>
      </x:c>
      <x:c r="E2" s="8" t="str">
        <x:v>The structurally complete set of scenario paths. A session ends on a valid hit or after turn 10.</x:v>
      </x:c>
      <x:c r="F2" s="8" t="str">
        <x:v>The structurally complete set of scenario paths. A session ends on a valid hit or after turn 10.</x:v>
      </x:c>
      <x:c r="G2" s="8" t="str">
        <x:v>The structurally complete set of scenario paths. A session ends on a valid hit or after turn 10.</x:v>
      </x:c>
      <x:c r="H2" s="8" t="str">
        <x:v>The structurally complete set of scenario paths. A session ends on a valid hit or after turn 10.</x:v>
      </x:c>
    </x:row>
    <x:row r="4" ht="28" customHeight="1">
      <x:c r="A4" s="40" t="str">
        <x:v>Scenario</x:v>
      </x:c>
      <x:c r="B4" s="41" t="str">
        <x:v>Share</x:v>
      </x:c>
      <x:c r="C4" s="41" t="str">
        <x:v>Initial customer state</x:v>
      </x:c>
      <x:c r="D4" s="41" t="str">
        <x:v>Agent's best next move</x:v>
      </x:c>
      <x:c r="E4" s="41" t="str">
        <x:v>Simulator branch</x:v>
      </x:c>
      <x:c r="F4" s="41" t="str">
        <x:v>State update</x:v>
      </x:c>
      <x:c r="G4" s="41" t="str">
        <x:v>Retrieval implication</x:v>
      </x:c>
      <x:c r="H4" s="42" t="str">
        <x:v>Failure to avoid</x:v>
      </x:c>
    </x:row>
    <x:row r="5">
      <x:c r="A5" s="80" t="str">
        <x:v>Buying</x:v>
      </x:c>
      <x:c r="B5" s="59" t="str">
        <x:v>40%</x:v>
      </x:c>
      <x:c r="C5" s="59" t="str">
        <x:v>Category + one hard constraint disclosed on turn 1</x:v>
      </x:c>
      <x:c r="D5" s="59" t="str">
        <x:v>Retrieve immediately; ask only the highest-value missing attribute</x:v>
      </x:c>
      <x:c r="E5" s="59" t="str">
        <x:v>Matching ask reveals up to 2 undisclosed constraints; non-match says no additional preference</x:v>
      </x:c>
      <x:c r="F5" s="59" t="str">
        <x:v>Add positive constraint with provenance and strength</x:v>
      </x:c>
      <x:c r="G5" s="59" t="str">
        <x:v>Hybrid retrieval; exact lexical terms and filters are unusually valuable</x:v>
      </x:c>
      <x:c r="H5" s="59" t="str">
        <x:v>Wasting early turns on generic questions</x:v>
      </x:c>
    </x:row>
    <x:row r="6">
      <x:c r="A6" s="80" t="str">
        <x:v>Browsing</x:v>
      </x:c>
      <x:c r="B6" s="59" t="str">
        <x:v>40%</x:v>
      </x:c>
      <x:c r="C6" s="59" t="str">
        <x:v>Vague category exploration</x:v>
      </x:c>
      <x:c r="D6" s="59" t="str">
        <x:v>Ask one discriminative attribute, while still returning candidates</x:v>
      </x:c>
      <x:c r="E6" s="59" t="str">
        <x:v>Reply reveals matching constraint or says no additional preference</x:v>
      </x:c>
      <x:c r="F6" s="59" t="str">
        <x:v>Grow active demand state turn by turn</x:v>
      </x:c>
      <x:c r="G6" s="59" t="str">
        <x:v>Dense/category retrieval early; shift toward BM25/filters after clarification</x:v>
      </x:c>
      <x:c r="H6" s="59" t="str">
        <x:v>Over-filtering before sufficient evidence</x:v>
      </x:c>
    </x:row>
    <x:row r="7">
      <x:c r="A7" s="80" t="str">
        <x:v>Intent Override</x:v>
      </x:c>
      <x:c r="B7" s="59" t="str">
        <x:v>15%</x:v>
      </x:c>
      <x:c r="C7" s="59" t="str">
        <x:v>Initial preference is deliberately replaced on turn 3 or 4</x:v>
      </x:c>
      <x:c r="D7" s="59" t="str">
        <x:v>Maintain slot history and detect replacement</x:v>
      </x:c>
      <x:c r="E7" s="59" t="str">
        <x:v>Scheduled override message occurs automatically; target cannot convert before it</x:v>
      </x:c>
      <x:c r="F7" s="59" t="str">
        <x:v>Mark conflicting old slot superseded; preserve compatible slots; invalidate stale candidate cache</x:v>
      </x:c>
      <x:c r="G7" s="59" t="str">
        <x:v>Recompile query from active state and search full catalog again</x:v>
      </x:c>
      <x:c r="H7" s="59" t="str">
        <x:v>Appending old and new preferences into one embedding</x:v>
      </x:c>
    </x:row>
    <x:row r="8">
      <x:c r="A8" s="80" t="str">
        <x:v>Boundary</x:v>
      </x:c>
      <x:c r="B8" s="59" t="str">
        <x:v>5%</x:v>
      </x:c>
      <x:c r="C8" s="59" t="str">
        <x:v>Vague exploration; first asked attribute may have no preference</x:v>
      </x:c>
      <x:c r="D8" s="59" t="str">
        <x:v>Accept no-preference and choose another useful attribute</x:v>
      </x:c>
      <x:c r="E8" s="59" t="str">
        <x:v>First attribute ask returns no preference; later asks follow normal constraint matching</x:v>
      </x:c>
      <x:c r="F8" s="59" t="str">
        <x:v>Mark no-preference explicitly so it is not asked repeatedly</x:v>
      </x:c>
      <x:c r="G8" s="59" t="str">
        <x:v>Do not filter or score on the absent attribute</x:v>
      </x:c>
      <x:c r="H8" s="59" t="str">
        <x:v>Inventing a preference or repeatedly asking it</x:v>
      </x:c>
    </x:row>
    <x:row r="10">
      <x:c r="A10" s="31" t="str">
        <x:v>Universal turn loop</x:v>
      </x:c>
      <x:c r="B10" s="31"/>
      <x:c r="C10" s="31"/>
      <x:c r="D10" s="31"/>
      <x:c r="E10" s="31"/>
      <x:c r="F10" s="31"/>
      <x:c r="G10" s="31"/>
      <x:c r="H10" s="31"/>
    </x:row>
    <x:row r="12" ht="54" customHeight="1">
      <x:c r="A12" s="85" t="str">
        <x:v>1. Receive message</x:v>
      </x:c>
      <x:c r="B12" s="85" t="str">
        <x:v>→ 2. Update active slots</x:v>
      </x:c>
      <x:c r="C12" s="85" t="str">
        <x:v>→ 3. Compile queries</x:v>
      </x:c>
      <x:c r="D12" s="85" t="str">
        <x:v>→ 4. Retrieve candidates</x:v>
      </x:c>
      <x:c r="E12" s="85" t="str">
        <x:v>→ 5. Rerank / validate</x:v>
      </x:c>
      <x:c r="F12" s="85" t="str">
        <x:v>→ 6. Recommend top 10</x:v>
      </x:c>
      <x:c r="G12" s="85" t="str">
        <x:v>→ 7. Ask one attribute</x:v>
      </x:c>
      <x:c r="H12" s="85" t="str">
        <x:v>→ 8. Hit or next turn</x:v>
      </x:c>
    </x:row>
    <x:row r="14" ht="28" customHeight="1">
      <x:c r="A14" s="40" t="str">
        <x:v>State field</x:v>
      </x:c>
      <x:c r="B14" s="41" t="str">
        <x:v>value</x:v>
      </x:c>
      <x:c r="C14" s="41" t="str">
        <x:v>polarity</x:v>
      </x:c>
      <x:c r="D14" s="41" t="str">
        <x:v>strength</x:v>
      </x:c>
      <x:c r="E14" s="41" t="str">
        <x:v>status</x:v>
      </x:c>
      <x:c r="F14" s="41" t="str">
        <x:v>confidence</x:v>
      </x:c>
      <x:c r="G14" s="41" t="str">
        <x:v>provenance</x:v>
      </x:c>
      <x:c r="H14" s="42" t="str">
        <x:v>source turn</x:v>
      </x:c>
    </x:row>
    <x:row r="15">
      <x:c r="A15" s="24" t="str">
        <x:v>Example: material</x:v>
      </x:c>
      <x:c r="B15" s="24" t="str">
        <x:v>cotton</x:v>
      </x:c>
      <x:c r="C15" s="24" t="str">
        <x:v>positive</x:v>
      </x:c>
      <x:c r="D15" s="24" t="str">
        <x:v>hard</x:v>
      </x:c>
      <x:c r="E15" s="24" t="str">
        <x:v>active</x:v>
      </x:c>
      <x:c r="F15" s="24" t="str">
        <x:v>1.0</x:v>
      </x:c>
      <x:c r="G15" s="24" t="str">
        <x:v>explicit user reply</x:v>
      </x:c>
      <x:c r="H15" s="24" t="str">
        <x:v>2</x:v>
      </x:c>
    </x:row>
    <x:row r="16">
      <x:c r="A16" s="24" t="str">
        <x:v>Example: style</x:v>
      </x:c>
      <x:c r="B16" s="24" t="str">
        <x:v>old preference</x:v>
      </x:c>
      <x:c r="C16" s="24" t="str">
        <x:v>positive</x:v>
      </x:c>
      <x:c r="D16" s="24" t="str">
        <x:v>soft</x:v>
      </x:c>
      <x:c r="E16" s="24" t="str">
        <x:v>superseded</x:v>
      </x:c>
      <x:c r="F16" s="24" t="str">
        <x:v>1.0</x:v>
      </x:c>
      <x:c r="G16" s="24" t="str">
        <x:v>override history</x:v>
      </x:c>
      <x:c r="H16" s="24" t="str">
        <x:v>1</x:v>
      </x:c>
    </x:row>
    <x:row r="17">
      <x:c r="A17" s="24" t="str">
        <x:v>Example: color</x:v>
      </x:c>
      <x:c r="B17" s="24" t="str">
        <x:v>none</x:v>
      </x:c>
      <x:c r="C17" s="24" t="str">
        <x:v>neutral</x:v>
      </x:c>
      <x:c r="D17" s="24" t="str">
        <x:v>none</x:v>
      </x:c>
      <x:c r="E17" s="24" t="str">
        <x:v>no-preference</x:v>
      </x:c>
      <x:c r="F17" s="24" t="str">
        <x:v>1.0</x:v>
      </x:c>
      <x:c r="G17" s="24" t="str">
        <x:v>boundary reply</x:v>
      </x:c>
      <x:c r="H17" s="24" t="str">
        <x:v>2</x:v>
      </x:c>
    </x:row>
    <x:row r="18">
      <x:c r="A18" s="24" t="str">
        <x:v>Rule</x:v>
      </x:c>
      <x:c r="B18" s="24" t="str">
        <x:v>Current explicit statements outrank profile priors</x:v>
      </x:c>
      <x:c r="C18" s="24" t="str">
        <x:v>Keep negatives explicit</x:v>
      </x:c>
      <x:c r="D18" s="24" t="str">
        <x:v>Hard filters; soft scores</x:v>
      </x:c>
      <x:c r="E18" s="24" t="str">
        <x:v>Only active values enter query</x:v>
      </x:c>
      <x:c r="F18" s="24" t="str">
        <x:v>Avoid false precision</x:v>
      </x:c>
      <x:c r="G18" s="24" t="str">
        <x:v>Never treat cache as truth</x:v>
      </x:c>
      <x:c r="H18" s="24" t="str">
        <x:v>Track origin for overrides</x:v>
      </x:c>
    </x:row>
  </x:sheetData>
  <x:mergeCells>
    <x:mergeCell ref="A1:H1"/>
    <x:mergeCell ref="A2:H2"/>
    <x:mergeCell ref="A10:H10"/>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8" hidden="0" customWidth="1"/>
    <x:col min="4" max="4" width="14" hidden="0" customWidth="1"/>
    <x:col min="5" max="5" width="24" hidden="0" customWidth="1"/>
    <x:col min="6" max="6" width="14" hidden="0" customWidth="1"/>
    <x:col min="7" max="7" width="14" hidden="0" customWidth="1"/>
    <x:col min="8" max="8" width="4" hidden="0" customWidth="1"/>
    <x:col min="9" max="9" width="35" hidden="0" customWidth="1"/>
    <x:col min="10" max="10" width="14" hidden="0" customWidth="1"/>
    <x:col min="11" max="11" width="14" hidden="0" customWidth="1"/>
    <x:col min="12" max="12" width="4" hidden="0" customWidth="1"/>
    <x:col min="13" max="13" width="14" hidden="0" customWidth="1"/>
    <x:col min="14" max="14" width="14" hidden="0" customWidth="1"/>
  </x:cols>
  <x:sheetData>
    <x:row r="1" ht="34" customHeight="1">
      <x:c r="A1" s="4" t="str">
        <x:v>Audit Tables &amp; Chart Sources</x:v>
      </x:c>
    </x:row>
    <x:row r="2" ht="30" customHeight="1">
      <x:c r="A2" s="8" t="str">
        <x:v>Formula-backed summaries used by the dashboard. Keep this sheet visible so every chart can be traced.</x:v>
      </x:c>
      <x:c r="B2" s="8" t="str">
        <x:v>Formula-backed summaries used by the dashboard. Keep this sheet visible so every chart can be traced.</x:v>
      </x:c>
      <x:c r="C2" s="8" t="str">
        <x:v>Formula-backed summaries used by the dashboard. Keep this sheet visible so every chart can be traced.</x:v>
      </x:c>
      <x:c r="D2" s="8" t="str">
        <x:v>Formula-backed summaries used by the dashboard. Keep this sheet visible so every chart can be traced.</x:v>
      </x:c>
      <x:c r="E2" s="8" t="str">
        <x:v>Formula-backed summaries used by the dashboard. Keep this sheet visible so every chart can be traced.</x:v>
      </x:c>
      <x:c r="F2" s="8" t="str">
        <x:v>Formula-backed summaries used by the dashboard. Keep this sheet visible so every chart can be traced.</x:v>
      </x:c>
      <x:c r="G2" s="8" t="str">
        <x:v>Formula-backed summaries used by the dashboard. Keep this sheet visible so every chart can be traced.</x:v>
      </x:c>
      <x:c r="H2" s="8" t="str">
        <x:v>Formula-backed summaries used by the dashboard. Keep this sheet visible so every chart can be traced.</x:v>
      </x:c>
      <x:c r="I2" s="8" t="str">
        <x:v>Formula-backed summaries used by the dashboard. Keep this sheet visible so every chart can be traced.</x:v>
      </x:c>
      <x:c r="J2" s="8" t="str">
        <x:v>Formula-backed summaries used by the dashboard. Keep this sheet visible so every chart can be traced.</x:v>
      </x:c>
      <x:c r="K2" s="8" t="str">
        <x:v>Formula-backed summaries used by the dashboard. Keep this sheet visible so every chart can be traced.</x:v>
      </x:c>
      <x:c r="L2" s="8" t="str">
        <x:v>Formula-backed summaries used by the dashboard. Keep this sheet visible so every chart can be traced.</x:v>
      </x:c>
      <x:c r="M2" s="8" t="str">
        <x:v>Formula-backed summaries used by the dashboard. Keep this sheet visible so every chart can be traced.</x:v>
      </x:c>
      <x:c r="N2" s="8" t="str">
        <x:v>Formula-backed summaries used by the dashboard. Keep this sheet visible so every chart can be traced.</x:v>
      </x:c>
    </x:row>
    <x:row r="4" ht="28" customHeight="1">
      <x:c r="A4" s="40" t="str">
        <x:v>scenario_type</x:v>
      </x:c>
      <x:c r="B4" s="41" t="str">
        <x:v>count</x:v>
      </x:c>
      <x:c r="C4" s="42" t="str">
        <x:v>share</x:v>
      </x:c>
      <x:c r="E4" s="40" t="str">
        <x:v>difficulty</x:v>
      </x:c>
      <x:c r="F4" s="41" t="str">
        <x:v>count</x:v>
      </x:c>
      <x:c r="G4" s="42" t="str">
        <x:v>share</x:v>
      </x:c>
      <x:c r="I4" s="40" t="str">
        <x:v>rating_style</x:v>
      </x:c>
      <x:c r="J4" s="41" t="str">
        <x:v>count</x:v>
      </x:c>
      <x:c r="K4" s="42" t="str">
        <x:v>share</x:v>
      </x:c>
      <x:c r="M4" s="40" t="str">
        <x:v>title_present</x:v>
      </x:c>
      <x:c r="N4" s="41" t="str">
        <x:v>categories_present</x:v>
      </x:c>
      <x:c r="O4" s="41" t="str">
        <x:v>features_present</x:v>
      </x:c>
      <x:c r="P4" s="41" t="str">
        <x:v>details_present</x:v>
      </x:c>
      <x:c r="Q4" s="41" t="str">
        <x:v>description_present</x:v>
      </x:c>
      <x:c r="R4" s="41" t="str">
        <x:v>price_present</x:v>
      </x:c>
      <x:c r="S4" s="41" t="str">
        <x:v>average_rating_present</x:v>
      </x:c>
      <x:c r="T4" s="41" t="str">
        <x:v>rating_number_present</x:v>
      </x:c>
      <x:c r="U4" s="42" t="str">
        <x:v>store_present</x:v>
      </x:c>
    </x:row>
    <x:row r="5">
      <x:c r="A5" t="str">
        <x:v>buying</x:v>
      </x:c>
      <x:c r="B5" t="n">
        <x:f>COUNTIF('Sessions'!$B$5:$B$204,A5)</x:f>
        <x:v>80</x:v>
      </x:c>
      <x:c r="C5" s="78" t="n">
        <x:f>B5/SUM($B$5:$B$8)</x:f>
        <x:v>0.4</x:v>
      </x:c>
      <x:c r="E5" t="str">
        <x:v>easy</x:v>
      </x:c>
      <x:c r="F5" t="n">
        <x:f>COUNTIF('Sessions'!$C$5:$C$204,E5)</x:f>
        <x:v>80</x:v>
      </x:c>
      <x:c r="G5" s="78" t="n">
        <x:f>F5/SUM($F$5:$F$7)</x:f>
        <x:v>0.4</x:v>
      </x:c>
      <x:c r="I5" t="str">
        <x:v>usually positive</x:v>
      </x:c>
      <x:c r="J5" t="n">
        <x:f>COUNTIF('Sessions'!$G$5:$G$204,I5)</x:f>
        <x:v>134</x:v>
      </x:c>
      <x:c r="K5" s="78" t="n">
        <x:f>J5/SUM($J$5:$J$7)</x:f>
        <x:v>0.67</x:v>
      </x:c>
      <x:c r="M5" t="n">
        <x:f>IF(LEN('Target Products'!C5)&gt;0,1,0)</x:f>
        <x:v>1</x:v>
      </x:c>
      <x:c r="N5" t="n">
        <x:f>IF(LEN('Target Products'!D5)&gt;0,1,0)</x:f>
        <x:v>1</x:v>
      </x:c>
      <x:c r="O5" t="n">
        <x:f>IF(LEN('Target Products'!F5)&gt;0,1,0)</x:f>
        <x:v>1</x:v>
      </x:c>
      <x:c r="P5" t="n">
        <x:f>IF(LEN('Target Products'!G5)&gt;0,1,0)</x:f>
        <x:v>1</x:v>
      </x:c>
      <x:c r="Q5" t="n">
        <x:f>IF(LEN('Target Products'!H5)&gt;0,1,0)</x:f>
        <x:v>1</x:v>
      </x:c>
      <x:c r="R5" t="n">
        <x:f>IF(ISNUMBER('Target Products'!I5),1,0)</x:f>
        <x:v>1</x:v>
      </x:c>
      <x:c r="S5" t="n">
        <x:f>IF(ISNUMBER('Target Products'!J5),1,0)</x:f>
        <x:v>1</x:v>
      </x:c>
      <x:c r="T5" t="n">
        <x:f>IF(ISNUMBER('Target Products'!K5),1,0)</x:f>
        <x:v>1</x:v>
      </x:c>
      <x:c r="U5" t="n">
        <x:f>IF(LEN('Target Products'!L5)&gt;0,1,0)</x:f>
        <x:v>1</x:v>
      </x:c>
    </x:row>
    <x:row r="6">
      <x:c r="A6" t="str">
        <x:v>browsing</x:v>
      </x:c>
      <x:c r="B6" t="n">
        <x:f>COUNTIF('Sessions'!$B$5:$B$204,A6)</x:f>
        <x:v>80</x:v>
      </x:c>
      <x:c r="C6" s="78" t="n">
        <x:f>B6/SUM($B$5:$B$8)</x:f>
        <x:v>0.4</x:v>
      </x:c>
      <x:c r="E6" t="str">
        <x:v>medium</x:v>
      </x:c>
      <x:c r="F6" t="n">
        <x:f>COUNTIF('Sessions'!$C$5:$C$204,E6)</x:f>
        <x:v>90</x:v>
      </x:c>
      <x:c r="G6" s="78" t="n">
        <x:f>F6/SUM($F$5:$F$7)</x:f>
        <x:v>0.45</x:v>
      </x:c>
      <x:c r="I6" t="str">
        <x:v>mixed</x:v>
      </x:c>
      <x:c r="J6" t="n">
        <x:f>COUNTIF('Sessions'!$G$5:$G$204,I6)</x:f>
        <x:v>21</x:v>
      </x:c>
      <x:c r="K6" s="78" t="n">
        <x:f>J6/SUM($J$5:$J$7)</x:f>
        <x:v>0.105</x:v>
      </x:c>
      <x:c r="M6" t="n">
        <x:f>IF(LEN('Target Products'!C6)&gt;0,1,0)</x:f>
        <x:v>1</x:v>
      </x:c>
      <x:c r="N6" t="n">
        <x:f>IF(LEN('Target Products'!D6)&gt;0,1,0)</x:f>
        <x:v>1</x:v>
      </x:c>
      <x:c r="O6" t="n">
        <x:f>IF(LEN('Target Products'!F6)&gt;0,1,0)</x:f>
        <x:v>1</x:v>
      </x:c>
      <x:c r="P6" t="n">
        <x:f>IF(LEN('Target Products'!G6)&gt;0,1,0)</x:f>
        <x:v>1</x:v>
      </x:c>
      <x:c r="Q6" t="n">
        <x:f>IF(LEN('Target Products'!H6)&gt;0,1,0)</x:f>
        <x:v>0</x:v>
      </x:c>
      <x:c r="R6" t="n">
        <x:f>IF(ISNUMBER('Target Products'!I6),1,0)</x:f>
        <x:v>1</x:v>
      </x:c>
      <x:c r="S6" t="n">
        <x:f>IF(ISNUMBER('Target Products'!J6),1,0)</x:f>
        <x:v>1</x:v>
      </x:c>
      <x:c r="T6" t="n">
        <x:f>IF(ISNUMBER('Target Products'!K6),1,0)</x:f>
        <x:v>1</x:v>
      </x:c>
      <x:c r="U6" t="n">
        <x:f>IF(LEN('Target Products'!L6)&gt;0,1,0)</x:f>
        <x:v>1</x:v>
      </x:c>
    </x:row>
    <x:row r="7">
      <x:c r="A7" t="str">
        <x:v>intent_override</x:v>
      </x:c>
      <x:c r="B7" t="n">
        <x:f>COUNTIF('Sessions'!$B$5:$B$204,A7)</x:f>
        <x:v>30</x:v>
      </x:c>
      <x:c r="C7" s="78" t="n">
        <x:f>B7/SUM($B$5:$B$8)</x:f>
        <x:v>0.15</x:v>
      </x:c>
      <x:c r="E7" t="str">
        <x:v>hard</x:v>
      </x:c>
      <x:c r="F7" t="n">
        <x:f>COUNTIF('Sessions'!$C$5:$C$204,E7)</x:f>
        <x:v>30</x:v>
      </x:c>
      <x:c r="G7" s="78" t="n">
        <x:f>F7/SUM($F$5:$F$7)</x:f>
        <x:v>0.15</x:v>
      </x:c>
      <x:c r="I7" t="str">
        <x:v>critical</x:v>
      </x:c>
      <x:c r="J7" t="n">
        <x:f>COUNTIF('Sessions'!$G$5:$G$204,I7)</x:f>
        <x:v>45</x:v>
      </x:c>
      <x:c r="K7" s="78" t="n">
        <x:f>J7/SUM($J$5:$J$7)</x:f>
        <x:v>0.225</x:v>
      </x:c>
      <x:c r="M7" t="n">
        <x:f>IF(LEN('Target Products'!C7)&gt;0,1,0)</x:f>
        <x:v>1</x:v>
      </x:c>
      <x:c r="N7" t="n">
        <x:f>IF(LEN('Target Products'!D7)&gt;0,1,0)</x:f>
        <x:v>1</x:v>
      </x:c>
      <x:c r="O7" t="n">
        <x:f>IF(LEN('Target Products'!F7)&gt;0,1,0)</x:f>
        <x:v>1</x:v>
      </x:c>
      <x:c r="P7" t="n">
        <x:f>IF(LEN('Target Products'!G7)&gt;0,1,0)</x:f>
        <x:v>1</x:v>
      </x:c>
      <x:c r="Q7" t="n">
        <x:f>IF(LEN('Target Products'!H7)&gt;0,1,0)</x:f>
        <x:v>1</x:v>
      </x:c>
      <x:c r="R7" t="n">
        <x:f>IF(ISNUMBER('Target Products'!I7),1,0)</x:f>
        <x:v>1</x:v>
      </x:c>
      <x:c r="S7" t="n">
        <x:f>IF(ISNUMBER('Target Products'!J7),1,0)</x:f>
        <x:v>1</x:v>
      </x:c>
      <x:c r="T7" t="n">
        <x:f>IF(ISNUMBER('Target Products'!K7),1,0)</x:f>
        <x:v>1</x:v>
      </x:c>
      <x:c r="U7" t="n">
        <x:f>IF(LEN('Target Products'!L7)&gt;0,1,0)</x:f>
        <x:v>1</x:v>
      </x:c>
    </x:row>
    <x:row r="8">
      <x:c r="A8" t="str">
        <x:v>boundary</x:v>
      </x:c>
      <x:c r="B8" t="n">
        <x:f>COUNTIF('Sessions'!$B$5:$B$204,A8)</x:f>
        <x:v>10</x:v>
      </x:c>
      <x:c r="C8" s="78" t="n">
        <x:f>B8/SUM($B$5:$B$8)</x:f>
        <x:v>0.05</x:v>
      </x:c>
      <x:c r="M8" t="n">
        <x:f>IF(LEN('Target Products'!C8)&gt;0,1,0)</x:f>
        <x:v>1</x:v>
      </x:c>
      <x:c r="N8" t="n">
        <x:f>IF(LEN('Target Products'!D8)&gt;0,1,0)</x:f>
        <x:v>1</x:v>
      </x:c>
      <x:c r="O8" t="n">
        <x:f>IF(LEN('Target Products'!F8)&gt;0,1,0)</x:f>
        <x:v>1</x:v>
      </x:c>
      <x:c r="P8" t="n">
        <x:f>IF(LEN('Target Products'!G8)&gt;0,1,0)</x:f>
        <x:v>1</x:v>
      </x:c>
      <x:c r="Q8" t="n">
        <x:f>IF(LEN('Target Products'!H8)&gt;0,1,0)</x:f>
        <x:v>1</x:v>
      </x:c>
      <x:c r="R8" t="n">
        <x:f>IF(ISNUMBER('Target Products'!I8),1,0)</x:f>
        <x:v>1</x:v>
      </x:c>
      <x:c r="S8" t="n">
        <x:f>IF(ISNUMBER('Target Products'!J8),1,0)</x:f>
        <x:v>1</x:v>
      </x:c>
      <x:c r="T8" t="n">
        <x:f>IF(ISNUMBER('Target Products'!K8),1,0)</x:f>
        <x:v>1</x:v>
      </x:c>
      <x:c r="U8" t="n">
        <x:f>IF(LEN('Target Products'!L8)&gt;0,1,0)</x:f>
        <x:v>1</x:v>
      </x:c>
    </x:row>
    <x:row r="9">
      <x:c r="M9" t="n">
        <x:f>IF(LEN('Target Products'!C9)&gt;0,1,0)</x:f>
        <x:v>1</x:v>
      </x:c>
      <x:c r="N9" t="n">
        <x:f>IF(LEN('Target Products'!D9)&gt;0,1,0)</x:f>
        <x:v>1</x:v>
      </x:c>
      <x:c r="O9" t="n">
        <x:f>IF(LEN('Target Products'!F9)&gt;0,1,0)</x:f>
        <x:v>1</x:v>
      </x:c>
      <x:c r="P9" t="n">
        <x:f>IF(LEN('Target Products'!G9)&gt;0,1,0)</x:f>
        <x:v>1</x:v>
      </x:c>
      <x:c r="Q9" t="n">
        <x:f>IF(LEN('Target Products'!H9)&gt;0,1,0)</x:f>
        <x:v>0</x:v>
      </x:c>
      <x:c r="R9" t="n">
        <x:f>IF(ISNUMBER('Target Products'!I9),1,0)</x:f>
        <x:v>1</x:v>
      </x:c>
      <x:c r="S9" t="n">
        <x:f>IF(ISNUMBER('Target Products'!J9),1,0)</x:f>
        <x:v>1</x:v>
      </x:c>
      <x:c r="T9" t="n">
        <x:f>IF(ISNUMBER('Target Products'!K9),1,0)</x:f>
        <x:v>1</x:v>
      </x:c>
      <x:c r="U9" t="n">
        <x:f>IF(LEN('Target Products'!L9)&gt;0,1,0)</x:f>
        <x:v>1</x:v>
      </x:c>
    </x:row>
    <x:row r="10">
      <x:c r="M10" t="n">
        <x:f>IF(LEN('Target Products'!C10)&gt;0,1,0)</x:f>
        <x:v>1</x:v>
      </x:c>
      <x:c r="N10" t="n">
        <x:f>IF(LEN('Target Products'!D10)&gt;0,1,0)</x:f>
        <x:v>1</x:v>
      </x:c>
      <x:c r="O10" t="n">
        <x:f>IF(LEN('Target Products'!F10)&gt;0,1,0)</x:f>
        <x:v>1</x:v>
      </x:c>
      <x:c r="P10" t="n">
        <x:f>IF(LEN('Target Products'!G10)&gt;0,1,0)</x:f>
        <x:v>1</x:v>
      </x:c>
      <x:c r="Q10" t="n">
        <x:f>IF(LEN('Target Products'!H10)&gt;0,1,0)</x:f>
        <x:v>1</x:v>
      </x:c>
      <x:c r="R10" t="n">
        <x:f>IF(ISNUMBER('Target Products'!I10),1,0)</x:f>
        <x:v>1</x:v>
      </x:c>
      <x:c r="S10" t="n">
        <x:f>IF(ISNUMBER('Target Products'!J10),1,0)</x:f>
        <x:v>1</x:v>
      </x:c>
      <x:c r="T10" t="n">
        <x:f>IF(ISNUMBER('Target Products'!K10),1,0)</x:f>
        <x:v>1</x:v>
      </x:c>
      <x:c r="U10" t="n">
        <x:f>IF(LEN('Target Products'!L10)&gt;0,1,0)</x:f>
        <x:v>1</x:v>
      </x:c>
    </x:row>
    <x:row r="11">
      <x:c r="M11" t="n">
        <x:f>IF(LEN('Target Products'!C11)&gt;0,1,0)</x:f>
        <x:v>1</x:v>
      </x:c>
      <x:c r="N11" t="n">
        <x:f>IF(LEN('Target Products'!D11)&gt;0,1,0)</x:f>
        <x:v>1</x:v>
      </x:c>
      <x:c r="O11" t="n">
        <x:f>IF(LEN('Target Products'!F11)&gt;0,1,0)</x:f>
        <x:v>1</x:v>
      </x:c>
      <x:c r="P11" t="n">
        <x:f>IF(LEN('Target Products'!G11)&gt;0,1,0)</x:f>
        <x:v>1</x:v>
      </x:c>
      <x:c r="Q11" t="n">
        <x:f>IF(LEN('Target Products'!H11)&gt;0,1,0)</x:f>
        <x:v>0</x:v>
      </x:c>
      <x:c r="R11" t="n">
        <x:f>IF(ISNUMBER('Target Products'!I11),1,0)</x:f>
        <x:v>1</x:v>
      </x:c>
      <x:c r="S11" t="n">
        <x:f>IF(ISNUMBER('Target Products'!J11),1,0)</x:f>
        <x:v>1</x:v>
      </x:c>
      <x:c r="T11" t="n">
        <x:f>IF(ISNUMBER('Target Products'!K11),1,0)</x:f>
        <x:v>1</x:v>
      </x:c>
      <x:c r="U11" t="n">
        <x:f>IF(LEN('Target Products'!L11)&gt;0,1,0)</x:f>
        <x:v>1</x:v>
      </x:c>
    </x:row>
    <x:row r="12" ht="28" customHeight="1">
      <x:c r="A12" s="40" t="str">
        <x:v>preference_tag</x:v>
      </x:c>
      <x:c r="B12" s="41" t="str">
        <x:v>session_count</x:v>
      </x:c>
      <x:c r="C12" s="42" t="str">
        <x:v>share_of_sessions</x:v>
      </x:c>
      <x:c r="E12" s="40" t="str">
        <x:v>product_field</x:v>
      </x:c>
      <x:c r="F12" s="41" t="str">
        <x:v>present_count</x:v>
      </x:c>
      <x:c r="G12" s="42" t="str">
        <x:v>coverage</x:v>
      </x:c>
      <x:c r="I12" s="40" t="str">
        <x:v>catalog_category</x:v>
      </x:c>
      <x:c r="J12" s="41" t="str">
        <x:v>target_count</x:v>
      </x:c>
      <x:c r="K12" s="42" t="str">
        <x:v>share</x:v>
      </x:c>
      <x:c r="M12" t="n">
        <x:f>IF(LEN('Target Products'!C12)&gt;0,1,0)</x:f>
        <x:v>1</x:v>
      </x:c>
      <x:c r="N12" t="n">
        <x:f>IF(LEN('Target Products'!D12)&gt;0,1,0)</x:f>
        <x:v>1</x:v>
      </x:c>
      <x:c r="O12" t="n">
        <x:f>IF(LEN('Target Products'!F12)&gt;0,1,0)</x:f>
        <x:v>1</x:v>
      </x:c>
      <x:c r="P12" t="n">
        <x:f>IF(LEN('Target Products'!G12)&gt;0,1,0)</x:f>
        <x:v>1</x:v>
      </x:c>
      <x:c r="Q12" t="n">
        <x:f>IF(LEN('Target Products'!H12)&gt;0,1,0)</x:f>
        <x:v>1</x:v>
      </x:c>
      <x:c r="R12" t="n">
        <x:f>IF(ISNUMBER('Target Products'!I12),1,0)</x:f>
        <x:v>1</x:v>
      </x:c>
      <x:c r="S12" t="n">
        <x:f>IF(ISNUMBER('Target Products'!J12),1,0)</x:f>
        <x:v>1</x:v>
      </x:c>
      <x:c r="T12" t="n">
        <x:f>IF(ISNUMBER('Target Products'!K12),1,0)</x:f>
        <x:v>1</x:v>
      </x:c>
      <x:c r="U12" t="n">
        <x:f>IF(LEN('Target Products'!L12)&gt;0,1,0)</x:f>
        <x:v>1</x:v>
      </x:c>
    </x:row>
    <x:row r="13">
      <x:c r="A13" t="str">
        <x:v>comfort</x:v>
      </x:c>
      <x:c r="B13" t="n">
        <x:f>COUNTIF('Profile Tags'!$D$5:$D$670,A13)</x:f>
        <x:v>144</x:v>
      </x:c>
      <x:c r="C13" s="78" t="n">
        <x:f>B13/200</x:f>
        <x:v>0.72</x:v>
      </x:c>
      <x:c r="E13" t="str">
        <x:v>title</x:v>
      </x:c>
      <x:c r="F13" t="n">
        <x:f>SUM(M$5:M$204)</x:f>
        <x:v>200</x:v>
      </x:c>
      <x:c r="G13" s="78" t="n">
        <x:f>F13/200</x:f>
        <x:v>1</x:v>
      </x:c>
      <x:c r="I13" t="str">
        <x:v>Clothing, Shoes &amp; Jewelry</x:v>
      </x:c>
      <x:c r="J13" t="n">
        <x:v>200</x:v>
      </x:c>
      <x:c r="K13" s="78" t="n">
        <x:f>J13/200</x:f>
        <x:v>1</x:v>
      </x:c>
      <x:c r="M13" t="n">
        <x:f>IF(LEN('Target Products'!C13)&gt;0,1,0)</x:f>
        <x:v>1</x:v>
      </x:c>
      <x:c r="N13" t="n">
        <x:f>IF(LEN('Target Products'!D13)&gt;0,1,0)</x:f>
        <x:v>1</x:v>
      </x:c>
      <x:c r="O13" t="n">
        <x:f>IF(LEN('Target Products'!F13)&gt;0,1,0)</x:f>
        <x:v>1</x:v>
      </x:c>
      <x:c r="P13" t="n">
        <x:f>IF(LEN('Target Products'!G13)&gt;0,1,0)</x:f>
        <x:v>1</x:v>
      </x:c>
      <x:c r="Q13" t="n">
        <x:f>IF(LEN('Target Products'!H13)&gt;0,1,0)</x:f>
        <x:v>0</x:v>
      </x:c>
      <x:c r="R13" t="n">
        <x:f>IF(ISNUMBER('Target Products'!I13),1,0)</x:f>
        <x:v>1</x:v>
      </x:c>
      <x:c r="S13" t="n">
        <x:f>IF(ISNUMBER('Target Products'!J13),1,0)</x:f>
        <x:v>1</x:v>
      </x:c>
      <x:c r="T13" t="n">
        <x:f>IF(ISNUMBER('Target Products'!K13),1,0)</x:f>
        <x:v>1</x:v>
      </x:c>
      <x:c r="U13" t="n">
        <x:f>IF(LEN('Target Products'!L13)&gt;0,1,0)</x:f>
        <x:v>1</x:v>
      </x:c>
    </x:row>
    <x:row r="14">
      <x:c r="A14" t="str">
        <x:v>durability</x:v>
      </x:c>
      <x:c r="B14" t="n">
        <x:f>COUNTIF('Profile Tags'!$D$5:$D$670,A14)</x:f>
        <x:v>47</x:v>
      </x:c>
      <x:c r="C14" s="78" t="n">
        <x:f>B14/200</x:f>
        <x:v>0.235</x:v>
      </x:c>
      <x:c r="E14" t="str">
        <x:v>categories</x:v>
      </x:c>
      <x:c r="F14" t="n">
        <x:f>SUM(N$5:N$204)</x:f>
        <x:v>200</x:v>
      </x:c>
      <x:c r="G14" s="78" t="n">
        <x:f>F14/200</x:f>
        <x:v>1</x:v>
      </x:c>
      <x:c r="I14" t="str">
        <x:v>Women</x:v>
      </x:c>
      <x:c r="J14" t="n">
        <x:v>133</x:v>
      </x:c>
      <x:c r="K14" s="78" t="n">
        <x:f>J14/200</x:f>
        <x:v>0.665</x:v>
      </x:c>
      <x:c r="M14" t="n">
        <x:f>IF(LEN('Target Products'!C14)&gt;0,1,0)</x:f>
        <x:v>1</x:v>
      </x:c>
      <x:c r="N14" t="n">
        <x:f>IF(LEN('Target Products'!D14)&gt;0,1,0)</x:f>
        <x:v>1</x:v>
      </x:c>
      <x:c r="O14" t="n">
        <x:f>IF(LEN('Target Products'!F14)&gt;0,1,0)</x:f>
        <x:v>1</x:v>
      </x:c>
      <x:c r="P14" t="n">
        <x:f>IF(LEN('Target Products'!G14)&gt;0,1,0)</x:f>
        <x:v>1</x:v>
      </x:c>
      <x:c r="Q14" t="n">
        <x:f>IF(LEN('Target Products'!H14)&gt;0,1,0)</x:f>
        <x:v>0</x:v>
      </x:c>
      <x:c r="R14" t="n">
        <x:f>IF(ISNUMBER('Target Products'!I14),1,0)</x:f>
        <x:v>1</x:v>
      </x:c>
      <x:c r="S14" t="n">
        <x:f>IF(ISNUMBER('Target Products'!J14),1,0)</x:f>
        <x:v>1</x:v>
      </x:c>
      <x:c r="T14" t="n">
        <x:f>IF(ISNUMBER('Target Products'!K14),1,0)</x:f>
        <x:v>1</x:v>
      </x:c>
      <x:c r="U14" t="n">
        <x:f>IF(LEN('Target Products'!L14)&gt;0,1,0)</x:f>
        <x:v>1</x:v>
      </x:c>
    </x:row>
    <x:row r="15">
      <x:c r="A15" t="str">
        <x:v>fit</x:v>
      </x:c>
      <x:c r="B15" t="n">
        <x:f>COUNTIF('Profile Tags'!$D$5:$D$670,A15)</x:f>
        <x:v>163</x:v>
      </x:c>
      <x:c r="C15" s="78" t="n">
        <x:f>B15/200</x:f>
        <x:v>0.815</x:v>
      </x:c>
      <x:c r="E15" t="str">
        <x:v>features</x:v>
      </x:c>
      <x:c r="F15" t="n">
        <x:f>SUM(O$5:O$204)</x:f>
        <x:v>200</x:v>
      </x:c>
      <x:c r="G15" s="78" t="n">
        <x:f>F15/200</x:f>
        <x:v>1</x:v>
      </x:c>
      <x:c r="I15" t="str">
        <x:v>Clothing</x:v>
      </x:c>
      <x:c r="J15" t="n">
        <x:v>102</x:v>
      </x:c>
      <x:c r="K15" s="78" t="n">
        <x:f>J15/200</x:f>
        <x:v>0.51</x:v>
      </x:c>
      <x:c r="M15" t="n">
        <x:f>IF(LEN('Target Products'!C15)&gt;0,1,0)</x:f>
        <x:v>1</x:v>
      </x:c>
      <x:c r="N15" t="n">
        <x:f>IF(LEN('Target Products'!D15)&gt;0,1,0)</x:f>
        <x:v>1</x:v>
      </x:c>
      <x:c r="O15" t="n">
        <x:f>IF(LEN('Target Products'!F15)&gt;0,1,0)</x:f>
        <x:v>1</x:v>
      </x:c>
      <x:c r="P15" t="n">
        <x:f>IF(LEN('Target Products'!G15)&gt;0,1,0)</x:f>
        <x:v>1</x:v>
      </x:c>
      <x:c r="Q15" t="n">
        <x:f>IF(LEN('Target Products'!H15)&gt;0,1,0)</x:f>
        <x:v>1</x:v>
      </x:c>
      <x:c r="R15" t="n">
        <x:f>IF(ISNUMBER('Target Products'!I15),1,0)</x:f>
        <x:v>1</x:v>
      </x:c>
      <x:c r="S15" t="n">
        <x:f>IF(ISNUMBER('Target Products'!J15),1,0)</x:f>
        <x:v>1</x:v>
      </x:c>
      <x:c r="T15" t="n">
        <x:f>IF(ISNUMBER('Target Products'!K15),1,0)</x:f>
        <x:v>1</x:v>
      </x:c>
      <x:c r="U15" t="n">
        <x:f>IF(LEN('Target Products'!L15)&gt;0,1,0)</x:f>
        <x:v>1</x:v>
      </x:c>
    </x:row>
    <x:row r="16">
      <x:c r="A16" t="str">
        <x:v>general shopping</x:v>
      </x:c>
      <x:c r="B16" t="n">
        <x:f>COUNTIF('Profile Tags'!$D$5:$D$670,A16)</x:f>
        <x:v>1</x:v>
      </x:c>
      <x:c r="C16" s="78" t="n">
        <x:f>B16/200</x:f>
        <x:v>0.005</x:v>
      </x:c>
      <x:c r="E16" t="str">
        <x:v>details</x:v>
      </x:c>
      <x:c r="F16" t="n">
        <x:f>SUM(P$5:P$204)</x:f>
        <x:v>200</x:v>
      </x:c>
      <x:c r="G16" s="78" t="n">
        <x:f>F16/200</x:f>
        <x:v>1</x:v>
      </x:c>
      <x:c r="I16" t="str">
        <x:v>Men</x:v>
      </x:c>
      <x:c r="J16" t="n">
        <x:v>55</x:v>
      </x:c>
      <x:c r="K16" s="78" t="n">
        <x:f>J16/200</x:f>
        <x:v>0.275</x:v>
      </x:c>
      <x:c r="M16" t="n">
        <x:f>IF(LEN('Target Products'!C16)&gt;0,1,0)</x:f>
        <x:v>1</x:v>
      </x:c>
      <x:c r="N16" t="n">
        <x:f>IF(LEN('Target Products'!D16)&gt;0,1,0)</x:f>
        <x:v>1</x:v>
      </x:c>
      <x:c r="O16" t="n">
        <x:f>IF(LEN('Target Products'!F16)&gt;0,1,0)</x:f>
        <x:v>1</x:v>
      </x:c>
      <x:c r="P16" t="n">
        <x:f>IF(LEN('Target Products'!G16)&gt;0,1,0)</x:f>
        <x:v>1</x:v>
      </x:c>
      <x:c r="Q16" t="n">
        <x:f>IF(LEN('Target Products'!H16)&gt;0,1,0)</x:f>
        <x:v>0</x:v>
      </x:c>
      <x:c r="R16" t="n">
        <x:f>IF(ISNUMBER('Target Products'!I16),1,0)</x:f>
        <x:v>1</x:v>
      </x:c>
      <x:c r="S16" t="n">
        <x:f>IF(ISNUMBER('Target Products'!J16),1,0)</x:f>
        <x:v>1</x:v>
      </x:c>
      <x:c r="T16" t="n">
        <x:f>IF(ISNUMBER('Target Products'!K16),1,0)</x:f>
        <x:v>1</x:v>
      </x:c>
      <x:c r="U16" t="n">
        <x:f>IF(LEN('Target Products'!L16)&gt;0,1,0)</x:f>
        <x:v>1</x:v>
      </x:c>
    </x:row>
    <x:row r="17">
      <x:c r="A17" t="str">
        <x:v>material</x:v>
      </x:c>
      <x:c r="B17" t="n">
        <x:f>COUNTIF('Profile Tags'!$D$5:$D$670,A17)</x:f>
        <x:v>154</x:v>
      </x:c>
      <x:c r="C17" s="78" t="n">
        <x:f>B17/200</x:f>
        <x:v>0.77</x:v>
      </x:c>
      <x:c r="E17" t="str">
        <x:v>description</x:v>
      </x:c>
      <x:c r="F17" t="n">
        <x:f>SUM(Q$5:Q$204)</x:f>
        <x:v>89</x:v>
      </x:c>
      <x:c r="G17" s="78" t="n">
        <x:f>F17/200</x:f>
        <x:v>0.445</x:v>
      </x:c>
      <x:c r="I17" t="str">
        <x:v>Shoes</x:v>
      </x:c>
      <x:c r="J17" t="n">
        <x:v>39</x:v>
      </x:c>
      <x:c r="K17" s="78" t="n">
        <x:f>J17/200</x:f>
        <x:v>0.195</x:v>
      </x:c>
      <x:c r="M17" t="n">
        <x:f>IF(LEN('Target Products'!C17)&gt;0,1,0)</x:f>
        <x:v>1</x:v>
      </x:c>
      <x:c r="N17" t="n">
        <x:f>IF(LEN('Target Products'!D17)&gt;0,1,0)</x:f>
        <x:v>1</x:v>
      </x:c>
      <x:c r="O17" t="n">
        <x:f>IF(LEN('Target Products'!F17)&gt;0,1,0)</x:f>
        <x:v>1</x:v>
      </x:c>
      <x:c r="P17" t="n">
        <x:f>IF(LEN('Target Products'!G17)&gt;0,1,0)</x:f>
        <x:v>1</x:v>
      </x:c>
      <x:c r="Q17" t="n">
        <x:f>IF(LEN('Target Products'!H17)&gt;0,1,0)</x:f>
        <x:v>1</x:v>
      </x:c>
      <x:c r="R17" t="n">
        <x:f>IF(ISNUMBER('Target Products'!I17),1,0)</x:f>
        <x:v>0</x:v>
      </x:c>
      <x:c r="S17" t="n">
        <x:f>IF(ISNUMBER('Target Products'!J17),1,0)</x:f>
        <x:v>1</x:v>
      </x:c>
      <x:c r="T17" t="n">
        <x:f>IF(ISNUMBER('Target Products'!K17),1,0)</x:f>
        <x:v>1</x:v>
      </x:c>
      <x:c r="U17" t="n">
        <x:f>IF(LEN('Target Products'!L17)&gt;0,1,0)</x:f>
        <x:v>1</x:v>
      </x:c>
    </x:row>
    <x:row r="18">
      <x:c r="A18" t="str">
        <x:v>performance</x:v>
      </x:c>
      <x:c r="B18" t="n">
        <x:f>COUNTIF('Profile Tags'!$D$5:$D$670,A18)</x:f>
        <x:v>26</x:v>
      </x:c>
      <x:c r="C18" s="78" t="n">
        <x:f>B18/200</x:f>
        <x:v>0.13</x:v>
      </x:c>
      <x:c r="E18" t="str">
        <x:v>price</x:v>
      </x:c>
      <x:c r="F18" t="n">
        <x:f>SUM(R$5:R$204)</x:f>
        <x:v>178</x:v>
      </x:c>
      <x:c r="G18" s="78" t="n">
        <x:f>F18/200</x:f>
        <x:v>0.89</x:v>
      </x:c>
      <x:c r="I18" t="str">
        <x:v>Accessories</x:v>
      </x:c>
      <x:c r="J18" t="n">
        <x:v>18</x:v>
      </x:c>
      <x:c r="K18" s="78" t="n">
        <x:f>J18/200</x:f>
        <x:v>0.09</x:v>
      </x:c>
      <x:c r="M18" t="n">
        <x:f>IF(LEN('Target Products'!C18)&gt;0,1,0)</x:f>
        <x:v>1</x:v>
      </x:c>
      <x:c r="N18" t="n">
        <x:f>IF(LEN('Target Products'!D18)&gt;0,1,0)</x:f>
        <x:v>1</x:v>
      </x:c>
      <x:c r="O18" t="n">
        <x:f>IF(LEN('Target Products'!F18)&gt;0,1,0)</x:f>
        <x:v>1</x:v>
      </x:c>
      <x:c r="P18" t="n">
        <x:f>IF(LEN('Target Products'!G18)&gt;0,1,0)</x:f>
        <x:v>1</x:v>
      </x:c>
      <x:c r="Q18" t="n">
        <x:f>IF(LEN('Target Products'!H18)&gt;0,1,0)</x:f>
        <x:v>1</x:v>
      </x:c>
      <x:c r="R18" t="n">
        <x:f>IF(ISNUMBER('Target Products'!I18),1,0)</x:f>
        <x:v>1</x:v>
      </x:c>
      <x:c r="S18" t="n">
        <x:f>IF(ISNUMBER('Target Products'!J18),1,0)</x:f>
        <x:v>1</x:v>
      </x:c>
      <x:c r="T18" t="n">
        <x:f>IF(ISNUMBER('Target Products'!K18),1,0)</x:f>
        <x:v>1</x:v>
      </x:c>
      <x:c r="U18" t="n">
        <x:f>IF(LEN('Target Products'!L18)&gt;0,1,0)</x:f>
        <x:v>1</x:v>
      </x:c>
    </x:row>
    <x:row r="19">
      <x:c r="A19" t="str">
        <x:v>style</x:v>
      </x:c>
      <x:c r="B19" t="n">
        <x:f>COUNTIF('Profile Tags'!$D$5:$D$670,A19)</x:f>
        <x:v>101</x:v>
      </x:c>
      <x:c r="C19" s="78" t="n">
        <x:f>B19/200</x:f>
        <x:v>0.505</x:v>
      </x:c>
      <x:c r="E19" t="str">
        <x:v>average_rating</x:v>
      </x:c>
      <x:c r="F19" t="n">
        <x:f>SUM(S$5:S$204)</x:f>
        <x:v>200</x:v>
      </x:c>
      <x:c r="G19" s="78" t="n">
        <x:f>F19/200</x:f>
        <x:v>1</x:v>
      </x:c>
      <x:c r="I19" t="str">
        <x:v>Lingerie, Sleep &amp; Lounge</x:v>
      </x:c>
      <x:c r="J19" t="n">
        <x:v>17</x:v>
      </x:c>
      <x:c r="K19" s="78" t="n">
        <x:f>J19/200</x:f>
        <x:v>0.085</x:v>
      </x:c>
      <x:c r="M19" t="n">
        <x:f>IF(LEN('Target Products'!C19)&gt;0,1,0)</x:f>
        <x:v>1</x:v>
      </x:c>
      <x:c r="N19" t="n">
        <x:f>IF(LEN('Target Products'!D19)&gt;0,1,0)</x:f>
        <x:v>1</x:v>
      </x:c>
      <x:c r="O19" t="n">
        <x:f>IF(LEN('Target Products'!F19)&gt;0,1,0)</x:f>
        <x:v>1</x:v>
      </x:c>
      <x:c r="P19" t="n">
        <x:f>IF(LEN('Target Products'!G19)&gt;0,1,0)</x:f>
        <x:v>1</x:v>
      </x:c>
      <x:c r="Q19" t="n">
        <x:f>IF(LEN('Target Products'!H19)&gt;0,1,0)</x:f>
        <x:v>1</x:v>
      </x:c>
      <x:c r="R19" t="n">
        <x:f>IF(ISNUMBER('Target Products'!I19),1,0)</x:f>
        <x:v>0</x:v>
      </x:c>
      <x:c r="S19" t="n">
        <x:f>IF(ISNUMBER('Target Products'!J19),1,0)</x:f>
        <x:v>1</x:v>
      </x:c>
      <x:c r="T19" t="n">
        <x:f>IF(ISNUMBER('Target Products'!K19),1,0)</x:f>
        <x:v>1</x:v>
      </x:c>
      <x:c r="U19" t="n">
        <x:f>IF(LEN('Target Products'!L19)&gt;0,1,0)</x:f>
        <x:v>1</x:v>
      </x:c>
    </x:row>
    <x:row r="20">
      <x:c r="A20" t="str">
        <x:v>warmth</x:v>
      </x:c>
      <x:c r="B20" t="n">
        <x:f>COUNTIF('Profile Tags'!$D$5:$D$670,A20)</x:f>
        <x:v>18</x:v>
      </x:c>
      <x:c r="C20" s="78" t="n">
        <x:f>B20/200</x:f>
        <x:v>0.09</x:v>
      </x:c>
      <x:c r="E20" t="str">
        <x:v>rating_number</x:v>
      </x:c>
      <x:c r="F20" t="n">
        <x:f>SUM(T$5:T$204)</x:f>
        <x:v>200</x:v>
      </x:c>
      <x:c r="G20" s="78" t="n">
        <x:f>F20/200</x:f>
        <x:v>1</x:v>
      </x:c>
      <x:c r="I20" t="str">
        <x:v>Lingerie</x:v>
      </x:c>
      <x:c r="J20" t="n">
        <x:v>14</x:v>
      </x:c>
      <x:c r="K20" s="78" t="n">
        <x:f>J20/200</x:f>
        <x:v>0.07</x:v>
      </x:c>
      <x:c r="M20" t="n">
        <x:f>IF(LEN('Target Products'!C20)&gt;0,1,0)</x:f>
        <x:v>1</x:v>
      </x:c>
      <x:c r="N20" t="n">
        <x:f>IF(LEN('Target Products'!D20)&gt;0,1,0)</x:f>
        <x:v>1</x:v>
      </x:c>
      <x:c r="O20" t="n">
        <x:f>IF(LEN('Target Products'!F20)&gt;0,1,0)</x:f>
        <x:v>1</x:v>
      </x:c>
      <x:c r="P20" t="n">
        <x:f>IF(LEN('Target Products'!G20)&gt;0,1,0)</x:f>
        <x:v>1</x:v>
      </x:c>
      <x:c r="Q20" t="n">
        <x:f>IF(LEN('Target Products'!H20)&gt;0,1,0)</x:f>
        <x:v>1</x:v>
      </x:c>
      <x:c r="R20" t="n">
        <x:f>IF(ISNUMBER('Target Products'!I20),1,0)</x:f>
        <x:v>1</x:v>
      </x:c>
      <x:c r="S20" t="n">
        <x:f>IF(ISNUMBER('Target Products'!J20),1,0)</x:f>
        <x:v>1</x:v>
      </x:c>
      <x:c r="T20" t="n">
        <x:f>IF(ISNUMBER('Target Products'!K20),1,0)</x:f>
        <x:v>1</x:v>
      </x:c>
      <x:c r="U20" t="n">
        <x:f>IF(LEN('Target Products'!L20)&gt;0,1,0)</x:f>
        <x:v>1</x:v>
      </x:c>
    </x:row>
    <x:row r="21">
      <x:c r="A21" t="str">
        <x:v>weather</x:v>
      </x:c>
      <x:c r="B21" t="n">
        <x:f>COUNTIF('Profile Tags'!$D$5:$D$670,A21)</x:f>
        <x:v>12</x:v>
      </x:c>
      <x:c r="C21" s="78" t="n">
        <x:f>B21/200</x:f>
        <x:v>0.06</x:v>
      </x:c>
      <x:c r="E21" t="str">
        <x:v>store</x:v>
      </x:c>
      <x:c r="F21" t="n">
        <x:f>SUM(U$5:U$204)</x:f>
        <x:v>200</x:v>
      </x:c>
      <x:c r="G21" s="78" t="n">
        <x:f>F21/200</x:f>
        <x:v>1</x:v>
      </x:c>
      <x:c r="I21" t="str">
        <x:v>Tops, Tees &amp; Blouses</x:v>
      </x:c>
      <x:c r="J21" t="n">
        <x:v>14</x:v>
      </x:c>
      <x:c r="K21" s="78" t="n">
        <x:f>J21/200</x:f>
        <x:v>0.07</x:v>
      </x:c>
      <x:c r="M21" t="n">
        <x:f>IF(LEN('Target Products'!C21)&gt;0,1,0)</x:f>
        <x:v>1</x:v>
      </x:c>
      <x:c r="N21" t="n">
        <x:f>IF(LEN('Target Products'!D21)&gt;0,1,0)</x:f>
        <x:v>1</x:v>
      </x:c>
      <x:c r="O21" t="n">
        <x:f>IF(LEN('Target Products'!F21)&gt;0,1,0)</x:f>
        <x:v>1</x:v>
      </x:c>
      <x:c r="P21" t="n">
        <x:f>IF(LEN('Target Products'!G21)&gt;0,1,0)</x:f>
        <x:v>1</x:v>
      </x:c>
      <x:c r="Q21" t="n">
        <x:f>IF(LEN('Target Products'!H21)&gt;0,1,0)</x:f>
        <x:v>0</x:v>
      </x:c>
      <x:c r="R21" t="n">
        <x:f>IF(ISNUMBER('Target Products'!I21),1,0)</x:f>
        <x:v>1</x:v>
      </x:c>
      <x:c r="S21" t="n">
        <x:f>IF(ISNUMBER('Target Products'!J21),1,0)</x:f>
        <x:v>1</x:v>
      </x:c>
      <x:c r="T21" t="n">
        <x:f>IF(ISNUMBER('Target Products'!K21),1,0)</x:f>
        <x:v>1</x:v>
      </x:c>
      <x:c r="U21" t="n">
        <x:f>IF(LEN('Target Products'!L21)&gt;0,1,0)</x:f>
        <x:v>1</x:v>
      </x:c>
    </x:row>
    <x:row r="22">
      <x:c r="I22" t="str">
        <x:v>Athletic</x:v>
      </x:c>
      <x:c r="J22" t="n">
        <x:v>13</x:v>
      </x:c>
      <x:c r="K22" s="78" t="n">
        <x:f>J22/200</x:f>
        <x:v>0.065</x:v>
      </x:c>
      <x:c r="M22" t="n">
        <x:f>IF(LEN('Target Products'!C22)&gt;0,1,0)</x:f>
        <x:v>1</x:v>
      </x:c>
      <x:c r="N22" t="n">
        <x:f>IF(LEN('Target Products'!D22)&gt;0,1,0)</x:f>
        <x:v>1</x:v>
      </x:c>
      <x:c r="O22" t="n">
        <x:f>IF(LEN('Target Products'!F22)&gt;0,1,0)</x:f>
        <x:v>1</x:v>
      </x:c>
      <x:c r="P22" t="n">
        <x:f>IF(LEN('Target Products'!G22)&gt;0,1,0)</x:f>
        <x:v>1</x:v>
      </x:c>
      <x:c r="Q22" t="n">
        <x:f>IF(LEN('Target Products'!H22)&gt;0,1,0)</x:f>
        <x:v>1</x:v>
      </x:c>
      <x:c r="R22" t="n">
        <x:f>IF(ISNUMBER('Target Products'!I22),1,0)</x:f>
        <x:v>1</x:v>
      </x:c>
      <x:c r="S22" t="n">
        <x:f>IF(ISNUMBER('Target Products'!J22),1,0)</x:f>
        <x:v>1</x:v>
      </x:c>
      <x:c r="T22" t="n">
        <x:f>IF(ISNUMBER('Target Products'!K22),1,0)</x:f>
        <x:v>1</x:v>
      </x:c>
      <x:c r="U22" t="n">
        <x:f>IF(LEN('Target Products'!L22)&gt;0,1,0)</x:f>
        <x:v>1</x:v>
      </x:c>
    </x:row>
    <x:row r="23">
      <x:c r="I23" t="str">
        <x:v>Jewelry</x:v>
      </x:c>
      <x:c r="J23" t="n">
        <x:v>11</x:v>
      </x:c>
      <x:c r="K23" s="78" t="n">
        <x:f>J23/200</x:f>
        <x:v>0.055</x:v>
      </x:c>
      <x:c r="M23" t="n">
        <x:f>IF(LEN('Target Products'!C23)&gt;0,1,0)</x:f>
        <x:v>1</x:v>
      </x:c>
      <x:c r="N23" t="n">
        <x:f>IF(LEN('Target Products'!D23)&gt;0,1,0)</x:f>
        <x:v>1</x:v>
      </x:c>
      <x:c r="O23" t="n">
        <x:f>IF(LEN('Target Products'!F23)&gt;0,1,0)</x:f>
        <x:v>1</x:v>
      </x:c>
      <x:c r="P23" t="n">
        <x:f>IF(LEN('Target Products'!G23)&gt;0,1,0)</x:f>
        <x:v>1</x:v>
      </x:c>
      <x:c r="Q23" t="n">
        <x:f>IF(LEN('Target Products'!H23)&gt;0,1,0)</x:f>
        <x:v>0</x:v>
      </x:c>
      <x:c r="R23" t="n">
        <x:f>IF(ISNUMBER('Target Products'!I23),1,0)</x:f>
        <x:v>1</x:v>
      </x:c>
      <x:c r="S23" t="n">
        <x:f>IF(ISNUMBER('Target Products'!J23),1,0)</x:f>
        <x:v>1</x:v>
      </x:c>
      <x:c r="T23" t="n">
        <x:f>IF(ISNUMBER('Target Products'!K23),1,0)</x:f>
        <x:v>1</x:v>
      </x:c>
      <x:c r="U23" t="n">
        <x:f>IF(LEN('Target Products'!L23)&gt;0,1,0)</x:f>
        <x:v>1</x:v>
      </x:c>
    </x:row>
    <x:row r="24">
      <x:c r="I24" t="str">
        <x:v>Sport Specific Clothing</x:v>
      </x:c>
      <x:c r="J24" t="n">
        <x:v>9</x:v>
      </x:c>
      <x:c r="K24" s="78" t="n">
        <x:f>J24/200</x:f>
        <x:v>0.045</x:v>
      </x:c>
      <x:c r="M24" t="n">
        <x:f>IF(LEN('Target Products'!C24)&gt;0,1,0)</x:f>
        <x:v>1</x:v>
      </x:c>
      <x:c r="N24" t="n">
        <x:f>IF(LEN('Target Products'!D24)&gt;0,1,0)</x:f>
        <x:v>1</x:v>
      </x:c>
      <x:c r="O24" t="n">
        <x:f>IF(LEN('Target Products'!F24)&gt;0,1,0)</x:f>
        <x:v>1</x:v>
      </x:c>
      <x:c r="P24" t="n">
        <x:f>IF(LEN('Target Products'!G24)&gt;0,1,0)</x:f>
        <x:v>1</x:v>
      </x:c>
      <x:c r="Q24" t="n">
        <x:f>IF(LEN('Target Products'!H24)&gt;0,1,0)</x:f>
        <x:v>1</x:v>
      </x:c>
      <x:c r="R24" t="n">
        <x:f>IF(ISNUMBER('Target Products'!I24),1,0)</x:f>
        <x:v>1</x:v>
      </x:c>
      <x:c r="S24" t="n">
        <x:f>IF(ISNUMBER('Target Products'!J24),1,0)</x:f>
        <x:v>1</x:v>
      </x:c>
      <x:c r="T24" t="n">
        <x:f>IF(ISNUMBER('Target Products'!K24),1,0)</x:f>
        <x:v>1</x:v>
      </x:c>
      <x:c r="U24" t="n">
        <x:f>IF(LEN('Target Products'!L24)&gt;0,1,0)</x:f>
        <x:v>1</x:v>
      </x:c>
    </x:row>
    <x:row r="25">
      <x:c r="I25" t="str">
        <x:v>Dresses</x:v>
      </x:c>
      <x:c r="J25" t="n">
        <x:v>8</x:v>
      </x:c>
      <x:c r="K25" s="78" t="n">
        <x:f>J25/200</x:f>
        <x:v>0.04</x:v>
      </x:c>
      <x:c r="M25" t="n">
        <x:f>IF(LEN('Target Products'!C25)&gt;0,1,0)</x:f>
        <x:v>1</x:v>
      </x:c>
      <x:c r="N25" t="n">
        <x:f>IF(LEN('Target Products'!D25)&gt;0,1,0)</x:f>
        <x:v>1</x:v>
      </x:c>
      <x:c r="O25" t="n">
        <x:f>IF(LEN('Target Products'!F25)&gt;0,1,0)</x:f>
        <x:v>1</x:v>
      </x:c>
      <x:c r="P25" t="n">
        <x:f>IF(LEN('Target Products'!G25)&gt;0,1,0)</x:f>
        <x:v>1</x:v>
      </x:c>
      <x:c r="Q25" t="n">
        <x:f>IF(LEN('Target Products'!H25)&gt;0,1,0)</x:f>
        <x:v>1</x:v>
      </x:c>
      <x:c r="R25" t="n">
        <x:f>IF(ISNUMBER('Target Products'!I25),1,0)</x:f>
        <x:v>1</x:v>
      </x:c>
      <x:c r="S25" t="n">
        <x:f>IF(ISNUMBER('Target Products'!J25),1,0)</x:f>
        <x:v>1</x:v>
      </x:c>
      <x:c r="T25" t="n">
        <x:f>IF(ISNUMBER('Target Products'!K25),1,0)</x:f>
        <x:v>1</x:v>
      </x:c>
      <x:c r="U25" t="n">
        <x:f>IF(LEN('Target Products'!L25)&gt;0,1,0)</x:f>
        <x:v>1</x:v>
      </x:c>
    </x:row>
    <x:row r="26" ht="28" customHeight="1">
      <x:c r="A26" s="40" t="str">
        <x:v>scenario</x:v>
      </x:c>
      <x:c r="B26" s="41" t="str">
        <x:v>easy</x:v>
      </x:c>
      <x:c r="C26" s="41" t="str">
        <x:v>medium</x:v>
      </x:c>
      <x:c r="D26" s="41" t="str">
        <x:v>hard</x:v>
      </x:c>
      <x:c r="E26" s="42" t="str">
        <x:v>total</x:v>
      </x:c>
      <x:c r="I26" t="str">
        <x:v>Sleep &amp; Lounge</x:v>
      </x:c>
      <x:c r="J26" t="n">
        <x:v>8</x:v>
      </x:c>
      <x:c r="K26" s="78" t="n">
        <x:f>J26/200</x:f>
        <x:v>0.04</x:v>
      </x:c>
      <x:c r="M26" t="n">
        <x:f>IF(LEN('Target Products'!C26)&gt;0,1,0)</x:f>
        <x:v>1</x:v>
      </x:c>
      <x:c r="N26" t="n">
        <x:f>IF(LEN('Target Products'!D26)&gt;0,1,0)</x:f>
        <x:v>1</x:v>
      </x:c>
      <x:c r="O26" t="n">
        <x:f>IF(LEN('Target Products'!F26)&gt;0,1,0)</x:f>
        <x:v>1</x:v>
      </x:c>
      <x:c r="P26" t="n">
        <x:f>IF(LEN('Target Products'!G26)&gt;0,1,0)</x:f>
        <x:v>1</x:v>
      </x:c>
      <x:c r="Q26" t="n">
        <x:f>IF(LEN('Target Products'!H26)&gt;0,1,0)</x:f>
        <x:v>0</x:v>
      </x:c>
      <x:c r="R26" t="n">
        <x:f>IF(ISNUMBER('Target Products'!I26),1,0)</x:f>
        <x:v>1</x:v>
      </x:c>
      <x:c r="S26" t="n">
        <x:f>IF(ISNUMBER('Target Products'!J26),1,0)</x:f>
        <x:v>1</x:v>
      </x:c>
      <x:c r="T26" t="n">
        <x:f>IF(ISNUMBER('Target Products'!K26),1,0)</x:f>
        <x:v>1</x:v>
      </x:c>
      <x:c r="U26" t="n">
        <x:f>IF(LEN('Target Products'!L26)&gt;0,1,0)</x:f>
        <x:v>1</x:v>
      </x:c>
    </x:row>
    <x:row r="27">
      <x:c r="A27" t="str">
        <x:v>buying</x:v>
      </x:c>
      <x:c r="B27" t="n">
        <x:f>COUNTIFS('Sessions'!$B$5:$B$204,$A27,'Sessions'!$C$5:$C$204,"easy")</x:f>
        <x:v>80</x:v>
      </x:c>
      <x:c r="C27" t="n">
        <x:f>COUNTIFS('Sessions'!$B$5:$B$204,$A27,'Sessions'!$C$5:$C$204,"medium")</x:f>
        <x:v>0</x:v>
      </x:c>
      <x:c r="D27" t="n">
        <x:f>COUNTIFS('Sessions'!$B$5:$B$204,$A27,'Sessions'!$C$5:$C$204,"hard")</x:f>
        <x:v>0</x:v>
      </x:c>
      <x:c r="E27" t="n">
        <x:f>SUM(B27:D27)</x:f>
        <x:v>80</x:v>
      </x:c>
      <x:c r="I27" t="str">
        <x:v>Active</x:v>
      </x:c>
      <x:c r="J27" t="n">
        <x:v>7</x:v>
      </x:c>
      <x:c r="K27" s="78" t="n">
        <x:f>J27/200</x:f>
        <x:v>0.035</x:v>
      </x:c>
      <x:c r="M27" t="n">
        <x:f>IF(LEN('Target Products'!C27)&gt;0,1,0)</x:f>
        <x:v>1</x:v>
      </x:c>
      <x:c r="N27" t="n">
        <x:f>IF(LEN('Target Products'!D27)&gt;0,1,0)</x:f>
        <x:v>1</x:v>
      </x:c>
      <x:c r="O27" t="n">
        <x:f>IF(LEN('Target Products'!F27)&gt;0,1,0)</x:f>
        <x:v>1</x:v>
      </x:c>
      <x:c r="P27" t="n">
        <x:f>IF(LEN('Target Products'!G27)&gt;0,1,0)</x:f>
        <x:v>1</x:v>
      </x:c>
      <x:c r="Q27" t="n">
        <x:f>IF(LEN('Target Products'!H27)&gt;0,1,0)</x:f>
        <x:v>1</x:v>
      </x:c>
      <x:c r="R27" t="n">
        <x:f>IF(ISNUMBER('Target Products'!I27),1,0)</x:f>
        <x:v>1</x:v>
      </x:c>
      <x:c r="S27" t="n">
        <x:f>IF(ISNUMBER('Target Products'!J27),1,0)</x:f>
        <x:v>1</x:v>
      </x:c>
      <x:c r="T27" t="n">
        <x:f>IF(ISNUMBER('Target Products'!K27),1,0)</x:f>
        <x:v>1</x:v>
      </x:c>
      <x:c r="U27" t="n">
        <x:f>IF(LEN('Target Products'!L27)&gt;0,1,0)</x:f>
        <x:v>1</x:v>
      </x:c>
    </x:row>
    <x:row r="28">
      <x:c r="A28" t="str">
        <x:v>browsing</x:v>
      </x:c>
      <x:c r="B28" t="n">
        <x:f>COUNTIFS('Sessions'!$B$5:$B$204,$A28,'Sessions'!$C$5:$C$204,"easy")</x:f>
        <x:v>0</x:v>
      </x:c>
      <x:c r="C28" t="n">
        <x:f>COUNTIFS('Sessions'!$B$5:$B$204,$A28,'Sessions'!$C$5:$C$204,"medium")</x:f>
        <x:v>80</x:v>
      </x:c>
      <x:c r="D28" t="n">
        <x:f>COUNTIFS('Sessions'!$B$5:$B$204,$A28,'Sessions'!$C$5:$C$204,"hard")</x:f>
        <x:v>0</x:v>
      </x:c>
      <x:c r="E28" t="n">
        <x:f>SUM(B28:D28)</x:f>
        <x:v>80</x:v>
      </x:c>
      <x:c r="I28" t="str">
        <x:v>Novelty</x:v>
      </x:c>
      <x:c r="J28" t="n">
        <x:v>7</x:v>
      </x:c>
      <x:c r="K28" s="78" t="n">
        <x:f>J28/200</x:f>
        <x:v>0.035</x:v>
      </x:c>
      <x:c r="M28" t="n">
        <x:f>IF(LEN('Target Products'!C28)&gt;0,1,0)</x:f>
        <x:v>1</x:v>
      </x:c>
      <x:c r="N28" t="n">
        <x:f>IF(LEN('Target Products'!D28)&gt;0,1,0)</x:f>
        <x:v>1</x:v>
      </x:c>
      <x:c r="O28" t="n">
        <x:f>IF(LEN('Target Products'!F28)&gt;0,1,0)</x:f>
        <x:v>1</x:v>
      </x:c>
      <x:c r="P28" t="n">
        <x:f>IF(LEN('Target Products'!G28)&gt;0,1,0)</x:f>
        <x:v>1</x:v>
      </x:c>
      <x:c r="Q28" t="n">
        <x:f>IF(LEN('Target Products'!H28)&gt;0,1,0)</x:f>
        <x:v>1</x:v>
      </x:c>
      <x:c r="R28" t="n">
        <x:f>IF(ISNUMBER('Target Products'!I28),1,0)</x:f>
        <x:v>1</x:v>
      </x:c>
      <x:c r="S28" t="n">
        <x:f>IF(ISNUMBER('Target Products'!J28),1,0)</x:f>
        <x:v>1</x:v>
      </x:c>
      <x:c r="T28" t="n">
        <x:f>IF(ISNUMBER('Target Products'!K28),1,0)</x:f>
        <x:v>1</x:v>
      </x:c>
      <x:c r="U28" t="n">
        <x:f>IF(LEN('Target Products'!L28)&gt;0,1,0)</x:f>
        <x:v>1</x:v>
      </x:c>
    </x:row>
    <x:row r="29">
      <x:c r="A29" t="str">
        <x:v>intent_override</x:v>
      </x:c>
      <x:c r="B29" t="n">
        <x:f>COUNTIFS('Sessions'!$B$5:$B$204,$A29,'Sessions'!$C$5:$C$204,"easy")</x:f>
        <x:v>0</x:v>
      </x:c>
      <x:c r="C29" t="n">
        <x:f>COUNTIFS('Sessions'!$B$5:$B$204,$A29,'Sessions'!$C$5:$C$204,"medium")</x:f>
        <x:v>0</x:v>
      </x:c>
      <x:c r="D29" t="n">
        <x:f>COUNTIFS('Sessions'!$B$5:$B$204,$A29,'Sessions'!$C$5:$C$204,"hard")</x:f>
        <x:v>30</x:v>
      </x:c>
      <x:c r="E29" t="n">
        <x:f>SUM(B29:D29)</x:f>
        <x:v>30</x:v>
      </x:c>
      <x:c r="I29" t="str">
        <x:v>Novelty &amp; More</x:v>
      </x:c>
      <x:c r="J29" t="n">
        <x:v>7</x:v>
      </x:c>
      <x:c r="K29" s="78" t="n">
        <x:f>J29/200</x:f>
        <x:v>0.035</x:v>
      </x:c>
      <x:c r="M29" t="n">
        <x:f>IF(LEN('Target Products'!C29)&gt;0,1,0)</x:f>
        <x:v>1</x:v>
      </x:c>
      <x:c r="N29" t="n">
        <x:f>IF(LEN('Target Products'!D29)&gt;0,1,0)</x:f>
        <x:v>1</x:v>
      </x:c>
      <x:c r="O29" t="n">
        <x:f>IF(LEN('Target Products'!F29)&gt;0,1,0)</x:f>
        <x:v>1</x:v>
      </x:c>
      <x:c r="P29" t="n">
        <x:f>IF(LEN('Target Products'!G29)&gt;0,1,0)</x:f>
        <x:v>1</x:v>
      </x:c>
      <x:c r="Q29" t="n">
        <x:f>IF(LEN('Target Products'!H29)&gt;0,1,0)</x:f>
        <x:v>0</x:v>
      </x:c>
      <x:c r="R29" t="n">
        <x:f>IF(ISNUMBER('Target Products'!I29),1,0)</x:f>
        <x:v>1</x:v>
      </x:c>
      <x:c r="S29" t="n">
        <x:f>IF(ISNUMBER('Target Products'!J29),1,0)</x:f>
        <x:v>1</x:v>
      </x:c>
      <x:c r="T29" t="n">
        <x:f>IF(ISNUMBER('Target Products'!K29),1,0)</x:f>
        <x:v>1</x:v>
      </x:c>
      <x:c r="U29" t="n">
        <x:f>IF(LEN('Target Products'!L29)&gt;0,1,0)</x:f>
        <x:v>1</x:v>
      </x:c>
    </x:row>
    <x:row r="30">
      <x:c r="A30" t="str">
        <x:v>boundary</x:v>
      </x:c>
      <x:c r="B30" t="n">
        <x:f>COUNTIFS('Sessions'!$B$5:$B$204,$A30,'Sessions'!$C$5:$C$204,"easy")</x:f>
        <x:v>0</x:v>
      </x:c>
      <x:c r="C30" t="n">
        <x:f>COUNTIFS('Sessions'!$B$5:$B$204,$A30,'Sessions'!$C$5:$C$204,"medium")</x:f>
        <x:v>10</x:v>
      </x:c>
      <x:c r="D30" t="n">
        <x:f>COUNTIFS('Sessions'!$B$5:$B$204,$A30,'Sessions'!$C$5:$C$204,"hard")</x:f>
        <x:v>0</x:v>
      </x:c>
      <x:c r="E30" t="n">
        <x:f>SUM(B30:D30)</x:f>
        <x:v>10</x:v>
      </x:c>
      <x:c r="I30" t="str">
        <x:v>T-Shirts</x:v>
      </x:c>
      <x:c r="J30" t="n">
        <x:v>7</x:v>
      </x:c>
      <x:c r="K30" s="78" t="n">
        <x:f>J30/200</x:f>
        <x:v>0.035</x:v>
      </x:c>
      <x:c r="M30" t="n">
        <x:f>IF(LEN('Target Products'!C30)&gt;0,1,0)</x:f>
        <x:v>1</x:v>
      </x:c>
      <x:c r="N30" t="n">
        <x:f>IF(LEN('Target Products'!D30)&gt;0,1,0)</x:f>
        <x:v>1</x:v>
      </x:c>
      <x:c r="O30" t="n">
        <x:f>IF(LEN('Target Products'!F30)&gt;0,1,0)</x:f>
        <x:v>1</x:v>
      </x:c>
      <x:c r="P30" t="n">
        <x:f>IF(LEN('Target Products'!G30)&gt;0,1,0)</x:f>
        <x:v>1</x:v>
      </x:c>
      <x:c r="Q30" t="n">
        <x:f>IF(LEN('Target Products'!H30)&gt;0,1,0)</x:f>
        <x:v>1</x:v>
      </x:c>
      <x:c r="R30" t="n">
        <x:f>IF(ISNUMBER('Target Products'!I30),1,0)</x:f>
        <x:v>1</x:v>
      </x:c>
      <x:c r="S30" t="n">
        <x:f>IF(ISNUMBER('Target Products'!J30),1,0)</x:f>
        <x:v>1</x:v>
      </x:c>
      <x:c r="T30" t="n">
        <x:f>IF(ISNUMBER('Target Products'!K30),1,0)</x:f>
        <x:v>1</x:v>
      </x:c>
      <x:c r="U30" t="n">
        <x:f>IF(LEN('Target Products'!L30)&gt;0,1,0)</x:f>
        <x:v>1</x:v>
      </x:c>
    </x:row>
    <x:row r="31">
      <x:c r="I31" t="str">
        <x:v>Walking</x:v>
      </x:c>
      <x:c r="J31" t="n">
        <x:v>7</x:v>
      </x:c>
      <x:c r="K31" s="78" t="n">
        <x:f>J31/200</x:f>
        <x:v>0.035</x:v>
      </x:c>
      <x:c r="M31" t="n">
        <x:f>IF(LEN('Target Products'!C31)&gt;0,1,0)</x:f>
        <x:v>1</x:v>
      </x:c>
      <x:c r="N31" t="n">
        <x:f>IF(LEN('Target Products'!D31)&gt;0,1,0)</x:f>
        <x:v>1</x:v>
      </x:c>
      <x:c r="O31" t="n">
        <x:f>IF(LEN('Target Products'!F31)&gt;0,1,0)</x:f>
        <x:v>1</x:v>
      </x:c>
      <x:c r="P31" t="n">
        <x:f>IF(LEN('Target Products'!G31)&gt;0,1,0)</x:f>
        <x:v>1</x:v>
      </x:c>
      <x:c r="Q31" t="n">
        <x:f>IF(LEN('Target Products'!H31)&gt;0,1,0)</x:f>
        <x:v>1</x:v>
      </x:c>
      <x:c r="R31" t="n">
        <x:f>IF(ISNUMBER('Target Products'!I31),1,0)</x:f>
        <x:v>1</x:v>
      </x:c>
      <x:c r="S31" t="n">
        <x:f>IF(ISNUMBER('Target Products'!J31),1,0)</x:f>
        <x:v>1</x:v>
      </x:c>
      <x:c r="T31" t="n">
        <x:f>IF(ISNUMBER('Target Products'!K31),1,0)</x:f>
        <x:v>1</x:v>
      </x:c>
      <x:c r="U31" t="n">
        <x:f>IF(LEN('Target Products'!L31)&gt;0,1,0)</x:f>
        <x:v>1</x:v>
      </x:c>
    </x:row>
    <x:row r="32" ht="28" customHeight="1">
      <x:c r="A32" s="40"/>
      <x:c r="B32" s="41" t="str">
        <x:v>fit</x:v>
      </x:c>
      <x:c r="C32" s="41" t="str">
        <x:v>material</x:v>
      </x:c>
      <x:c r="D32" s="41" t="str">
        <x:v>comfort</x:v>
      </x:c>
      <x:c r="E32" s="42" t="str">
        <x:v>style</x:v>
      </x:c>
      <x:c r="I32" t="str">
        <x:v>Bras</x:v>
      </x:c>
      <x:c r="J32" t="n">
        <x:v>6</x:v>
      </x:c>
      <x:c r="K32" s="78" t="n">
        <x:f>J32/200</x:f>
        <x:v>0.03</x:v>
      </x:c>
      <x:c r="M32" t="n">
        <x:f>IF(LEN('Target Products'!C32)&gt;0,1,0)</x:f>
        <x:v>1</x:v>
      </x:c>
      <x:c r="N32" t="n">
        <x:f>IF(LEN('Target Products'!D32)&gt;0,1,0)</x:f>
        <x:v>1</x:v>
      </x:c>
      <x:c r="O32" t="n">
        <x:f>IF(LEN('Target Products'!F32)&gt;0,1,0)</x:f>
        <x:v>1</x:v>
      </x:c>
      <x:c r="P32" t="n">
        <x:f>IF(LEN('Target Products'!G32)&gt;0,1,0)</x:f>
        <x:v>1</x:v>
      </x:c>
      <x:c r="Q32" t="n">
        <x:f>IF(LEN('Target Products'!H32)&gt;0,1,0)</x:f>
        <x:v>0</x:v>
      </x:c>
      <x:c r="R32" t="n">
        <x:f>IF(ISNUMBER('Target Products'!I32),1,0)</x:f>
        <x:v>1</x:v>
      </x:c>
      <x:c r="S32" t="n">
        <x:f>IF(ISNUMBER('Target Products'!J32),1,0)</x:f>
        <x:v>1</x:v>
      </x:c>
      <x:c r="T32" t="n">
        <x:f>IF(ISNUMBER('Target Products'!K32),1,0)</x:f>
        <x:v>1</x:v>
      </x:c>
      <x:c r="U32" t="n">
        <x:f>IF(LEN('Target Products'!L32)&gt;0,1,0)</x:f>
        <x:v>1</x:v>
      </x:c>
    </x:row>
    <x:row r="33" ht="28" customHeight="1">
      <x:c r="A33" s="92" t="str">
        <x:v>fit</x:v>
      </x:c>
      <x:c r="B33" t="n">
        <x:v>163</x:v>
      </x:c>
      <x:c r="C33" t="n">
        <x:v>131</x:v>
      </x:c>
      <x:c r="D33" t="n">
        <x:v>116</x:v>
      </x:c>
      <x:c r="E33" t="n">
        <x:v>81</x:v>
      </x:c>
      <x:c r="I33" t="str">
        <x:v>Luggage &amp; Travel Gear</x:v>
      </x:c>
      <x:c r="J33" t="n">
        <x:v>6</x:v>
      </x:c>
      <x:c r="K33" s="78" t="n">
        <x:f>J33/200</x:f>
        <x:v>0.03</x:v>
      </x:c>
      <x:c r="M33" t="n">
        <x:f>IF(LEN('Target Products'!C33)&gt;0,1,0)</x:f>
        <x:v>1</x:v>
      </x:c>
      <x:c r="N33" t="n">
        <x:f>IF(LEN('Target Products'!D33)&gt;0,1,0)</x:f>
        <x:v>1</x:v>
      </x:c>
      <x:c r="O33" t="n">
        <x:f>IF(LEN('Target Products'!F33)&gt;0,1,0)</x:f>
        <x:v>1</x:v>
      </x:c>
      <x:c r="P33" t="n">
        <x:f>IF(LEN('Target Products'!G33)&gt;0,1,0)</x:f>
        <x:v>1</x:v>
      </x:c>
      <x:c r="Q33" t="n">
        <x:f>IF(LEN('Target Products'!H33)&gt;0,1,0)</x:f>
        <x:v>1</x:v>
      </x:c>
      <x:c r="R33" t="n">
        <x:f>IF(ISNUMBER('Target Products'!I33),1,0)</x:f>
        <x:v>1</x:v>
      </x:c>
      <x:c r="S33" t="n">
        <x:f>IF(ISNUMBER('Target Products'!J33),1,0)</x:f>
        <x:v>1</x:v>
      </x:c>
      <x:c r="T33" t="n">
        <x:f>IF(ISNUMBER('Target Products'!K33),1,0)</x:f>
        <x:v>1</x:v>
      </x:c>
      <x:c r="U33" t="n">
        <x:f>IF(LEN('Target Products'!L33)&gt;0,1,0)</x:f>
        <x:v>1</x:v>
      </x:c>
    </x:row>
    <x:row r="34" ht="28" customHeight="1">
      <x:c r="A34" s="93" t="str">
        <x:v>material</x:v>
      </x:c>
      <x:c r="B34" t="n">
        <x:v>131</x:v>
      </x:c>
      <x:c r="C34" t="n">
        <x:v>154</x:v>
      </x:c>
      <x:c r="D34" t="n">
        <x:v>101</x:v>
      </x:c>
      <x:c r="E34" t="n">
        <x:v>65</x:v>
      </x:c>
      <x:c r="I34" t="str">
        <x:v>Panties</x:v>
      </x:c>
      <x:c r="J34" t="n">
        <x:v>6</x:v>
      </x:c>
      <x:c r="K34" s="78" t="n">
        <x:f>J34/200</x:f>
        <x:v>0.03</x:v>
      </x:c>
      <x:c r="M34" t="n">
        <x:f>IF(LEN('Target Products'!C34)&gt;0,1,0)</x:f>
        <x:v>1</x:v>
      </x:c>
      <x:c r="N34" t="n">
        <x:f>IF(LEN('Target Products'!D34)&gt;0,1,0)</x:f>
        <x:v>1</x:v>
      </x:c>
      <x:c r="O34" t="n">
        <x:f>IF(LEN('Target Products'!F34)&gt;0,1,0)</x:f>
        <x:v>1</x:v>
      </x:c>
      <x:c r="P34" t="n">
        <x:f>IF(LEN('Target Products'!G34)&gt;0,1,0)</x:f>
        <x:v>1</x:v>
      </x:c>
      <x:c r="Q34" t="n">
        <x:f>IF(LEN('Target Products'!H34)&gt;0,1,0)</x:f>
        <x:v>1</x:v>
      </x:c>
      <x:c r="R34" t="n">
        <x:f>IF(ISNUMBER('Target Products'!I34),1,0)</x:f>
        <x:v>1</x:v>
      </x:c>
      <x:c r="S34" t="n">
        <x:f>IF(ISNUMBER('Target Products'!J34),1,0)</x:f>
        <x:v>1</x:v>
      </x:c>
      <x:c r="T34" t="n">
        <x:f>IF(ISNUMBER('Target Products'!K34),1,0)</x:f>
        <x:v>1</x:v>
      </x:c>
      <x:c r="U34" t="n">
        <x:f>IF(LEN('Target Products'!L34)&gt;0,1,0)</x:f>
        <x:v>1</x:v>
      </x:c>
    </x:row>
    <x:row r="35" ht="28" customHeight="1">
      <x:c r="A35" s="93" t="str">
        <x:v>comfort</x:v>
      </x:c>
      <x:c r="B35" t="n">
        <x:v>116</x:v>
      </x:c>
      <x:c r="C35" t="n">
        <x:v>101</x:v>
      </x:c>
      <x:c r="D35" t="n">
        <x:v>144</x:v>
      </x:c>
      <x:c r="E35" t="n">
        <x:v>87</x:v>
      </x:c>
      <x:c r="I35" t="str">
        <x:v>Shirts</x:v>
      </x:c>
      <x:c r="J35" t="n">
        <x:v>6</x:v>
      </x:c>
      <x:c r="K35" s="78" t="n">
        <x:f>J35/200</x:f>
        <x:v>0.03</x:v>
      </x:c>
      <x:c r="M35" t="n">
        <x:f>IF(LEN('Target Products'!C35)&gt;0,1,0)</x:f>
        <x:v>1</x:v>
      </x:c>
      <x:c r="N35" t="n">
        <x:f>IF(LEN('Target Products'!D35)&gt;0,1,0)</x:f>
        <x:v>1</x:v>
      </x:c>
      <x:c r="O35" t="n">
        <x:f>IF(LEN('Target Products'!F35)&gt;0,1,0)</x:f>
        <x:v>1</x:v>
      </x:c>
      <x:c r="P35" t="n">
        <x:f>IF(LEN('Target Products'!G35)&gt;0,1,0)</x:f>
        <x:v>1</x:v>
      </x:c>
      <x:c r="Q35" t="n">
        <x:f>IF(LEN('Target Products'!H35)&gt;0,1,0)</x:f>
        <x:v>1</x:v>
      </x:c>
      <x:c r="R35" t="n">
        <x:f>IF(ISNUMBER('Target Products'!I35),1,0)</x:f>
        <x:v>1</x:v>
      </x:c>
      <x:c r="S35" t="n">
        <x:f>IF(ISNUMBER('Target Products'!J35),1,0)</x:f>
        <x:v>1</x:v>
      </x:c>
      <x:c r="T35" t="n">
        <x:f>IF(ISNUMBER('Target Products'!K35),1,0)</x:f>
        <x:v>1</x:v>
      </x:c>
      <x:c r="U35" t="n">
        <x:f>IF(LEN('Target Products'!L35)&gt;0,1,0)</x:f>
        <x:v>1</x:v>
      </x:c>
    </x:row>
    <x:row r="36" ht="28" customHeight="1">
      <x:c r="A36" s="94" t="str">
        <x:v>style</x:v>
      </x:c>
      <x:c r="B36" t="n">
        <x:v>81</x:v>
      </x:c>
      <x:c r="C36" t="n">
        <x:v>65</x:v>
      </x:c>
      <x:c r="D36" t="n">
        <x:v>87</x:v>
      </x:c>
      <x:c r="E36" t="n">
        <x:v>101</x:v>
      </x:c>
      <x:c r="I36" t="str">
        <x:v>Slippers</x:v>
      </x:c>
      <x:c r="J36" t="n">
        <x:v>6</x:v>
      </x:c>
      <x:c r="K36" s="78" t="n">
        <x:f>J36/200</x:f>
        <x:v>0.03</x:v>
      </x:c>
      <x:c r="M36" t="n">
        <x:f>IF(LEN('Target Products'!C36)&gt;0,1,0)</x:f>
        <x:v>1</x:v>
      </x:c>
      <x:c r="N36" t="n">
        <x:f>IF(LEN('Target Products'!D36)&gt;0,1,0)</x:f>
        <x:v>1</x:v>
      </x:c>
      <x:c r="O36" t="n">
        <x:f>IF(LEN('Target Products'!F36)&gt;0,1,0)</x:f>
        <x:v>1</x:v>
      </x:c>
      <x:c r="P36" t="n">
        <x:f>IF(LEN('Target Products'!G36)&gt;0,1,0)</x:f>
        <x:v>1</x:v>
      </x:c>
      <x:c r="Q36" t="n">
        <x:f>IF(LEN('Target Products'!H36)&gt;0,1,0)</x:f>
        <x:v>0</x:v>
      </x:c>
      <x:c r="R36" t="n">
        <x:f>IF(ISNUMBER('Target Products'!I36),1,0)</x:f>
        <x:v>1</x:v>
      </x:c>
      <x:c r="S36" t="n">
        <x:f>IF(ISNUMBER('Target Products'!J36),1,0)</x:f>
        <x:v>1</x:v>
      </x:c>
      <x:c r="T36" t="n">
        <x:f>IF(ISNUMBER('Target Products'!K36),1,0)</x:f>
        <x:v>1</x:v>
      </x:c>
      <x:c r="U36" t="n">
        <x:f>IF(LEN('Target Products'!L36)&gt;0,1,0)</x:f>
        <x:v>1</x:v>
      </x:c>
    </x:row>
    <x:row r="37">
      <x:c r="I37" t="str">
        <x:v>Tunics</x:v>
      </x:c>
      <x:c r="J37" t="n">
        <x:v>6</x:v>
      </x:c>
      <x:c r="K37" s="78" t="n">
        <x:f>J37/200</x:f>
        <x:v>0.03</x:v>
      </x:c>
      <x:c r="M37" t="n">
        <x:f>IF(LEN('Target Products'!C37)&gt;0,1,0)</x:f>
        <x:v>1</x:v>
      </x:c>
      <x:c r="N37" t="n">
        <x:f>IF(LEN('Target Products'!D37)&gt;0,1,0)</x:f>
        <x:v>1</x:v>
      </x:c>
      <x:c r="O37" t="n">
        <x:f>IF(LEN('Target Products'!F37)&gt;0,1,0)</x:f>
        <x:v>1</x:v>
      </x:c>
      <x:c r="P37" t="n">
        <x:f>IF(LEN('Target Products'!G37)&gt;0,1,0)</x:f>
        <x:v>1</x:v>
      </x:c>
      <x:c r="Q37" t="n">
        <x:f>IF(LEN('Target Products'!H37)&gt;0,1,0)</x:f>
        <x:v>0</x:v>
      </x:c>
      <x:c r="R37" t="n">
        <x:f>IF(ISNUMBER('Target Products'!I37),1,0)</x:f>
        <x:v>1</x:v>
      </x:c>
      <x:c r="S37" t="n">
        <x:f>IF(ISNUMBER('Target Products'!J37),1,0)</x:f>
        <x:v>1</x:v>
      </x:c>
      <x:c r="T37" t="n">
        <x:f>IF(ISNUMBER('Target Products'!K37),1,0)</x:f>
        <x:v>1</x:v>
      </x:c>
      <x:c r="U37" t="n">
        <x:f>IF(LEN('Target Products'!L37)&gt;0,1,0)</x:f>
        <x:v>1</x:v>
      </x:c>
    </x:row>
    <x:row r="38">
      <x:c r="M38" t="n">
        <x:f>IF(LEN('Target Products'!C38)&gt;0,1,0)</x:f>
        <x:v>1</x:v>
      </x:c>
      <x:c r="N38" t="n">
        <x:f>IF(LEN('Target Products'!D38)&gt;0,1,0)</x:f>
        <x:v>1</x:v>
      </x:c>
      <x:c r="O38" t="n">
        <x:f>IF(LEN('Target Products'!F38)&gt;0,1,0)</x:f>
        <x:v>1</x:v>
      </x:c>
      <x:c r="P38" t="n">
        <x:f>IF(LEN('Target Products'!G38)&gt;0,1,0)</x:f>
        <x:v>1</x:v>
      </x:c>
      <x:c r="Q38" t="n">
        <x:f>IF(LEN('Target Products'!H38)&gt;0,1,0)</x:f>
        <x:v>0</x:v>
      </x:c>
      <x:c r="R38" t="n">
        <x:f>IF(ISNUMBER('Target Products'!I38),1,0)</x:f>
        <x:v>1</x:v>
      </x:c>
      <x:c r="S38" t="n">
        <x:f>IF(ISNUMBER('Target Products'!J38),1,0)</x:f>
        <x:v>1</x:v>
      </x:c>
      <x:c r="T38" t="n">
        <x:f>IF(ISNUMBER('Target Products'!K38),1,0)</x:f>
        <x:v>1</x:v>
      </x:c>
      <x:c r="U38" t="n">
        <x:f>IF(LEN('Target Products'!L38)&gt;0,1,0)</x:f>
        <x:v>1</x:v>
      </x:c>
    </x:row>
    <x:row r="39">
      <x:c r="M39" t="n">
        <x:f>IF(LEN('Target Products'!C39)&gt;0,1,0)</x:f>
        <x:v>1</x:v>
      </x:c>
      <x:c r="N39" t="n">
        <x:f>IF(LEN('Target Products'!D39)&gt;0,1,0)</x:f>
        <x:v>1</x:v>
      </x:c>
      <x:c r="O39" t="n">
        <x:f>IF(LEN('Target Products'!F39)&gt;0,1,0)</x:f>
        <x:v>1</x:v>
      </x:c>
      <x:c r="P39" t="n">
        <x:f>IF(LEN('Target Products'!G39)&gt;0,1,0)</x:f>
        <x:v>1</x:v>
      </x:c>
      <x:c r="Q39" t="n">
        <x:f>IF(LEN('Target Products'!H39)&gt;0,1,0)</x:f>
        <x:v>1</x:v>
      </x:c>
      <x:c r="R39" t="n">
        <x:f>IF(ISNUMBER('Target Products'!I39),1,0)</x:f>
        <x:v>1</x:v>
      </x:c>
      <x:c r="S39" t="n">
        <x:f>IF(ISNUMBER('Target Products'!J39),1,0)</x:f>
        <x:v>1</x:v>
      </x:c>
      <x:c r="T39" t="n">
        <x:f>IF(ISNUMBER('Target Products'!K39),1,0)</x:f>
        <x:v>1</x:v>
      </x:c>
      <x:c r="U39" t="n">
        <x:f>IF(LEN('Target Products'!L39)&gt;0,1,0)</x:f>
        <x:v>1</x:v>
      </x:c>
    </x:row>
    <x:row r="40">
      <x:c r="M40" t="n">
        <x:f>IF(LEN('Target Products'!C40)&gt;0,1,0)</x:f>
        <x:v>1</x:v>
      </x:c>
      <x:c r="N40" t="n">
        <x:f>IF(LEN('Target Products'!D40)&gt;0,1,0)</x:f>
        <x:v>1</x:v>
      </x:c>
      <x:c r="O40" t="n">
        <x:f>IF(LEN('Target Products'!F40)&gt;0,1,0)</x:f>
        <x:v>1</x:v>
      </x:c>
      <x:c r="P40" t="n">
        <x:f>IF(LEN('Target Products'!G40)&gt;0,1,0)</x:f>
        <x:v>1</x:v>
      </x:c>
      <x:c r="Q40" t="n">
        <x:f>IF(LEN('Target Products'!H40)&gt;0,1,0)</x:f>
        <x:v>0</x:v>
      </x:c>
      <x:c r="R40" t="n">
        <x:f>IF(ISNUMBER('Target Products'!I40),1,0)</x:f>
        <x:v>1</x:v>
      </x:c>
      <x:c r="S40" t="n">
        <x:f>IF(ISNUMBER('Target Products'!J40),1,0)</x:f>
        <x:v>1</x:v>
      </x:c>
      <x:c r="T40" t="n">
        <x:f>IF(ISNUMBER('Target Products'!K40),1,0)</x:f>
        <x:v>1</x:v>
      </x:c>
      <x:c r="U40" t="n">
        <x:f>IF(LEN('Target Products'!L40)&gt;0,1,0)</x:f>
        <x:v>1</x:v>
      </x:c>
    </x:row>
    <x:row r="41">
      <x:c r="M41" t="n">
        <x:f>IF(LEN('Target Products'!C41)&gt;0,1,0)</x:f>
        <x:v>1</x:v>
      </x:c>
      <x:c r="N41" t="n">
        <x:f>IF(LEN('Target Products'!D41)&gt;0,1,0)</x:f>
        <x:v>1</x:v>
      </x:c>
      <x:c r="O41" t="n">
        <x:f>IF(LEN('Target Products'!F41)&gt;0,1,0)</x:f>
        <x:v>1</x:v>
      </x:c>
      <x:c r="P41" t="n">
        <x:f>IF(LEN('Target Products'!G41)&gt;0,1,0)</x:f>
        <x:v>1</x:v>
      </x:c>
      <x:c r="Q41" t="n">
        <x:f>IF(LEN('Target Products'!H41)&gt;0,1,0)</x:f>
        <x:v>1</x:v>
      </x:c>
      <x:c r="R41" t="n">
        <x:f>IF(ISNUMBER('Target Products'!I41),1,0)</x:f>
        <x:v>1</x:v>
      </x:c>
      <x:c r="S41" t="n">
        <x:f>IF(ISNUMBER('Target Products'!J41),1,0)</x:f>
        <x:v>1</x:v>
      </x:c>
      <x:c r="T41" t="n">
        <x:f>IF(ISNUMBER('Target Products'!K41),1,0)</x:f>
        <x:v>1</x:v>
      </x:c>
      <x:c r="U41" t="n">
        <x:f>IF(LEN('Target Products'!L41)&gt;0,1,0)</x:f>
        <x:v>1</x:v>
      </x:c>
    </x:row>
    <x:row r="42">
      <x:c r="M42" t="n">
        <x:f>IF(LEN('Target Products'!C42)&gt;0,1,0)</x:f>
        <x:v>1</x:v>
      </x:c>
      <x:c r="N42" t="n">
        <x:f>IF(LEN('Target Products'!D42)&gt;0,1,0)</x:f>
        <x:v>1</x:v>
      </x:c>
      <x:c r="O42" t="n">
        <x:f>IF(LEN('Target Products'!F42)&gt;0,1,0)</x:f>
        <x:v>1</x:v>
      </x:c>
      <x:c r="P42" t="n">
        <x:f>IF(LEN('Target Products'!G42)&gt;0,1,0)</x:f>
        <x:v>1</x:v>
      </x:c>
      <x:c r="Q42" t="n">
        <x:f>IF(LEN('Target Products'!H42)&gt;0,1,0)</x:f>
        <x:v>1</x:v>
      </x:c>
      <x:c r="R42" t="n">
        <x:f>IF(ISNUMBER('Target Products'!I42),1,0)</x:f>
        <x:v>1</x:v>
      </x:c>
      <x:c r="S42" t="n">
        <x:f>IF(ISNUMBER('Target Products'!J42),1,0)</x:f>
        <x:v>1</x:v>
      </x:c>
      <x:c r="T42" t="n">
        <x:f>IF(ISNUMBER('Target Products'!K42),1,0)</x:f>
        <x:v>1</x:v>
      </x:c>
      <x:c r="U42" t="n">
        <x:f>IF(LEN('Target Products'!L42)&gt;0,1,0)</x:f>
        <x:v>1</x:v>
      </x:c>
    </x:row>
    <x:row r="43">
      <x:c r="M43" t="n">
        <x:f>IF(LEN('Target Products'!C43)&gt;0,1,0)</x:f>
        <x:v>1</x:v>
      </x:c>
      <x:c r="N43" t="n">
        <x:f>IF(LEN('Target Products'!D43)&gt;0,1,0)</x:f>
        <x:v>1</x:v>
      </x:c>
      <x:c r="O43" t="n">
        <x:f>IF(LEN('Target Products'!F43)&gt;0,1,0)</x:f>
        <x:v>1</x:v>
      </x:c>
      <x:c r="P43" t="n">
        <x:f>IF(LEN('Target Products'!G43)&gt;0,1,0)</x:f>
        <x:v>1</x:v>
      </x:c>
      <x:c r="Q43" t="n">
        <x:f>IF(LEN('Target Products'!H43)&gt;0,1,0)</x:f>
        <x:v>0</x:v>
      </x:c>
      <x:c r="R43" t="n">
        <x:f>IF(ISNUMBER('Target Products'!I43),1,0)</x:f>
        <x:v>1</x:v>
      </x:c>
      <x:c r="S43" t="n">
        <x:f>IF(ISNUMBER('Target Products'!J43),1,0)</x:f>
        <x:v>1</x:v>
      </x:c>
      <x:c r="T43" t="n">
        <x:f>IF(ISNUMBER('Target Products'!K43),1,0)</x:f>
        <x:v>1</x:v>
      </x:c>
      <x:c r="U43" t="n">
        <x:f>IF(LEN('Target Products'!L43)&gt;0,1,0)</x:f>
        <x:v>1</x:v>
      </x:c>
    </x:row>
    <x:row r="44">
      <x:c r="M44" t="n">
        <x:f>IF(LEN('Target Products'!C44)&gt;0,1,0)</x:f>
        <x:v>1</x:v>
      </x:c>
      <x:c r="N44" t="n">
        <x:f>IF(LEN('Target Products'!D44)&gt;0,1,0)</x:f>
        <x:v>1</x:v>
      </x:c>
      <x:c r="O44" t="n">
        <x:f>IF(LEN('Target Products'!F44)&gt;0,1,0)</x:f>
        <x:v>1</x:v>
      </x:c>
      <x:c r="P44" t="n">
        <x:f>IF(LEN('Target Products'!G44)&gt;0,1,0)</x:f>
        <x:v>1</x:v>
      </x:c>
      <x:c r="Q44" t="n">
        <x:f>IF(LEN('Target Products'!H44)&gt;0,1,0)</x:f>
        <x:v>1</x:v>
      </x:c>
      <x:c r="R44" t="n">
        <x:f>IF(ISNUMBER('Target Products'!I44),1,0)</x:f>
        <x:v>1</x:v>
      </x:c>
      <x:c r="S44" t="n">
        <x:f>IF(ISNUMBER('Target Products'!J44),1,0)</x:f>
        <x:v>1</x:v>
      </x:c>
      <x:c r="T44" t="n">
        <x:f>IF(ISNUMBER('Target Products'!K44),1,0)</x:f>
        <x:v>1</x:v>
      </x:c>
      <x:c r="U44" t="n">
        <x:f>IF(LEN('Target Products'!L44)&gt;0,1,0)</x:f>
        <x:v>1</x:v>
      </x:c>
    </x:row>
    <x:row r="45">
      <x:c r="M45" t="n">
        <x:f>IF(LEN('Target Products'!C45)&gt;0,1,0)</x:f>
        <x:v>1</x:v>
      </x:c>
      <x:c r="N45" t="n">
        <x:f>IF(LEN('Target Products'!D45)&gt;0,1,0)</x:f>
        <x:v>1</x:v>
      </x:c>
      <x:c r="O45" t="n">
        <x:f>IF(LEN('Target Products'!F45)&gt;0,1,0)</x:f>
        <x:v>1</x:v>
      </x:c>
      <x:c r="P45" t="n">
        <x:f>IF(LEN('Target Products'!G45)&gt;0,1,0)</x:f>
        <x:v>1</x:v>
      </x:c>
      <x:c r="Q45" t="n">
        <x:f>IF(LEN('Target Products'!H45)&gt;0,1,0)</x:f>
        <x:v>0</x:v>
      </x:c>
      <x:c r="R45" t="n">
        <x:f>IF(ISNUMBER('Target Products'!I45),1,0)</x:f>
        <x:v>1</x:v>
      </x:c>
      <x:c r="S45" t="n">
        <x:f>IF(ISNUMBER('Target Products'!J45),1,0)</x:f>
        <x:v>1</x:v>
      </x:c>
      <x:c r="T45" t="n">
        <x:f>IF(ISNUMBER('Target Products'!K45),1,0)</x:f>
        <x:v>1</x:v>
      </x:c>
      <x:c r="U45" t="n">
        <x:f>IF(LEN('Target Products'!L45)&gt;0,1,0)</x:f>
        <x:v>1</x:v>
      </x:c>
    </x:row>
    <x:row r="46">
      <x:c r="M46" t="n">
        <x:f>IF(LEN('Target Products'!C46)&gt;0,1,0)</x:f>
        <x:v>1</x:v>
      </x:c>
      <x:c r="N46" t="n">
        <x:f>IF(LEN('Target Products'!D46)&gt;0,1,0)</x:f>
        <x:v>1</x:v>
      </x:c>
      <x:c r="O46" t="n">
        <x:f>IF(LEN('Target Products'!F46)&gt;0,1,0)</x:f>
        <x:v>1</x:v>
      </x:c>
      <x:c r="P46" t="n">
        <x:f>IF(LEN('Target Products'!G46)&gt;0,1,0)</x:f>
        <x:v>1</x:v>
      </x:c>
      <x:c r="Q46" t="n">
        <x:f>IF(LEN('Target Products'!H46)&gt;0,1,0)</x:f>
        <x:v>1</x:v>
      </x:c>
      <x:c r="R46" t="n">
        <x:f>IF(ISNUMBER('Target Products'!I46),1,0)</x:f>
        <x:v>1</x:v>
      </x:c>
      <x:c r="S46" t="n">
        <x:f>IF(ISNUMBER('Target Products'!J46),1,0)</x:f>
        <x:v>1</x:v>
      </x:c>
      <x:c r="T46" t="n">
        <x:f>IF(ISNUMBER('Target Products'!K46),1,0)</x:f>
        <x:v>1</x:v>
      </x:c>
      <x:c r="U46" t="n">
        <x:f>IF(LEN('Target Products'!L46)&gt;0,1,0)</x:f>
        <x:v>1</x:v>
      </x:c>
    </x:row>
    <x:row r="47">
      <x:c r="M47" t="n">
        <x:f>IF(LEN('Target Products'!C47)&gt;0,1,0)</x:f>
        <x:v>1</x:v>
      </x:c>
      <x:c r="N47" t="n">
        <x:f>IF(LEN('Target Products'!D47)&gt;0,1,0)</x:f>
        <x:v>1</x:v>
      </x:c>
      <x:c r="O47" t="n">
        <x:f>IF(LEN('Target Products'!F47)&gt;0,1,0)</x:f>
        <x:v>1</x:v>
      </x:c>
      <x:c r="P47" t="n">
        <x:f>IF(LEN('Target Products'!G47)&gt;0,1,0)</x:f>
        <x:v>1</x:v>
      </x:c>
      <x:c r="Q47" t="n">
        <x:f>IF(LEN('Target Products'!H47)&gt;0,1,0)</x:f>
        <x:v>1</x:v>
      </x:c>
      <x:c r="R47" t="n">
        <x:f>IF(ISNUMBER('Target Products'!I47),1,0)</x:f>
        <x:v>1</x:v>
      </x:c>
      <x:c r="S47" t="n">
        <x:f>IF(ISNUMBER('Target Products'!J47),1,0)</x:f>
        <x:v>1</x:v>
      </x:c>
      <x:c r="T47" t="n">
        <x:f>IF(ISNUMBER('Target Products'!K47),1,0)</x:f>
        <x:v>1</x:v>
      </x:c>
      <x:c r="U47" t="n">
        <x:f>IF(LEN('Target Products'!L47)&gt;0,1,0)</x:f>
        <x:v>1</x:v>
      </x:c>
    </x:row>
    <x:row r="48">
      <x:c r="M48" t="n">
        <x:f>IF(LEN('Target Products'!C48)&gt;0,1,0)</x:f>
        <x:v>1</x:v>
      </x:c>
      <x:c r="N48" t="n">
        <x:f>IF(LEN('Target Products'!D48)&gt;0,1,0)</x:f>
        <x:v>1</x:v>
      </x:c>
      <x:c r="O48" t="n">
        <x:f>IF(LEN('Target Products'!F48)&gt;0,1,0)</x:f>
        <x:v>1</x:v>
      </x:c>
      <x:c r="P48" t="n">
        <x:f>IF(LEN('Target Products'!G48)&gt;0,1,0)</x:f>
        <x:v>1</x:v>
      </x:c>
      <x:c r="Q48" t="n">
        <x:f>IF(LEN('Target Products'!H48)&gt;0,1,0)</x:f>
        <x:v>0</x:v>
      </x:c>
      <x:c r="R48" t="n">
        <x:f>IF(ISNUMBER('Target Products'!I48),1,0)</x:f>
        <x:v>1</x:v>
      </x:c>
      <x:c r="S48" t="n">
        <x:f>IF(ISNUMBER('Target Products'!J48),1,0)</x:f>
        <x:v>1</x:v>
      </x:c>
      <x:c r="T48" t="n">
        <x:f>IF(ISNUMBER('Target Products'!K48),1,0)</x:f>
        <x:v>1</x:v>
      </x:c>
      <x:c r="U48" t="n">
        <x:f>IF(LEN('Target Products'!L48)&gt;0,1,0)</x:f>
        <x:v>1</x:v>
      </x:c>
    </x:row>
    <x:row r="49">
      <x:c r="M49" t="n">
        <x:f>IF(LEN('Target Products'!C49)&gt;0,1,0)</x:f>
        <x:v>1</x:v>
      </x:c>
      <x:c r="N49" t="n">
        <x:f>IF(LEN('Target Products'!D49)&gt;0,1,0)</x:f>
        <x:v>1</x:v>
      </x:c>
      <x:c r="O49" t="n">
        <x:f>IF(LEN('Target Products'!F49)&gt;0,1,0)</x:f>
        <x:v>1</x:v>
      </x:c>
      <x:c r="P49" t="n">
        <x:f>IF(LEN('Target Products'!G49)&gt;0,1,0)</x:f>
        <x:v>1</x:v>
      </x:c>
      <x:c r="Q49" t="n">
        <x:f>IF(LEN('Target Products'!H49)&gt;0,1,0)</x:f>
        <x:v>0</x:v>
      </x:c>
      <x:c r="R49" t="n">
        <x:f>IF(ISNUMBER('Target Products'!I49),1,0)</x:f>
        <x:v>1</x:v>
      </x:c>
      <x:c r="S49" t="n">
        <x:f>IF(ISNUMBER('Target Products'!J49),1,0)</x:f>
        <x:v>1</x:v>
      </x:c>
      <x:c r="T49" t="n">
        <x:f>IF(ISNUMBER('Target Products'!K49),1,0)</x:f>
        <x:v>1</x:v>
      </x:c>
      <x:c r="U49" t="n">
        <x:f>IF(LEN('Target Products'!L49)&gt;0,1,0)</x:f>
        <x:v>1</x:v>
      </x:c>
    </x:row>
    <x:row r="50">
      <x:c r="M50" t="n">
        <x:f>IF(LEN('Target Products'!C50)&gt;0,1,0)</x:f>
        <x:v>1</x:v>
      </x:c>
      <x:c r="N50" t="n">
        <x:f>IF(LEN('Target Products'!D50)&gt;0,1,0)</x:f>
        <x:v>1</x:v>
      </x:c>
      <x:c r="O50" t="n">
        <x:f>IF(LEN('Target Products'!F50)&gt;0,1,0)</x:f>
        <x:v>1</x:v>
      </x:c>
      <x:c r="P50" t="n">
        <x:f>IF(LEN('Target Products'!G50)&gt;0,1,0)</x:f>
        <x:v>1</x:v>
      </x:c>
      <x:c r="Q50" t="n">
        <x:f>IF(LEN('Target Products'!H50)&gt;0,1,0)</x:f>
        <x:v>0</x:v>
      </x:c>
      <x:c r="R50" t="n">
        <x:f>IF(ISNUMBER('Target Products'!I50),1,0)</x:f>
        <x:v>1</x:v>
      </x:c>
      <x:c r="S50" t="n">
        <x:f>IF(ISNUMBER('Target Products'!J50),1,0)</x:f>
        <x:v>1</x:v>
      </x:c>
      <x:c r="T50" t="n">
        <x:f>IF(ISNUMBER('Target Products'!K50),1,0)</x:f>
        <x:v>1</x:v>
      </x:c>
      <x:c r="U50" t="n">
        <x:f>IF(LEN('Target Products'!L50)&gt;0,1,0)</x:f>
        <x:v>1</x:v>
      </x:c>
    </x:row>
    <x:row r="51">
      <x:c r="M51" t="n">
        <x:f>IF(LEN('Target Products'!C51)&gt;0,1,0)</x:f>
        <x:v>1</x:v>
      </x:c>
      <x:c r="N51" t="n">
        <x:f>IF(LEN('Target Products'!D51)&gt;0,1,0)</x:f>
        <x:v>1</x:v>
      </x:c>
      <x:c r="O51" t="n">
        <x:f>IF(LEN('Target Products'!F51)&gt;0,1,0)</x:f>
        <x:v>1</x:v>
      </x:c>
      <x:c r="P51" t="n">
        <x:f>IF(LEN('Target Products'!G51)&gt;0,1,0)</x:f>
        <x:v>1</x:v>
      </x:c>
      <x:c r="Q51" t="n">
        <x:f>IF(LEN('Target Products'!H51)&gt;0,1,0)</x:f>
        <x:v>0</x:v>
      </x:c>
      <x:c r="R51" t="n">
        <x:f>IF(ISNUMBER('Target Products'!I51),1,0)</x:f>
        <x:v>1</x:v>
      </x:c>
      <x:c r="S51" t="n">
        <x:f>IF(ISNUMBER('Target Products'!J51),1,0)</x:f>
        <x:v>1</x:v>
      </x:c>
      <x:c r="T51" t="n">
        <x:f>IF(ISNUMBER('Target Products'!K51),1,0)</x:f>
        <x:v>1</x:v>
      </x:c>
      <x:c r="U51" t="n">
        <x:f>IF(LEN('Target Products'!L51)&gt;0,1,0)</x:f>
        <x:v>1</x:v>
      </x:c>
    </x:row>
    <x:row r="52">
      <x:c r="M52" t="n">
        <x:f>IF(LEN('Target Products'!C52)&gt;0,1,0)</x:f>
        <x:v>1</x:v>
      </x:c>
      <x:c r="N52" t="n">
        <x:f>IF(LEN('Target Products'!D52)&gt;0,1,0)</x:f>
        <x:v>1</x:v>
      </x:c>
      <x:c r="O52" t="n">
        <x:f>IF(LEN('Target Products'!F52)&gt;0,1,0)</x:f>
        <x:v>1</x:v>
      </x:c>
      <x:c r="P52" t="n">
        <x:f>IF(LEN('Target Products'!G52)&gt;0,1,0)</x:f>
        <x:v>1</x:v>
      </x:c>
      <x:c r="Q52" t="n">
        <x:f>IF(LEN('Target Products'!H52)&gt;0,1,0)</x:f>
        <x:v>0</x:v>
      </x:c>
      <x:c r="R52" t="n">
        <x:f>IF(ISNUMBER('Target Products'!I52),1,0)</x:f>
        <x:v>1</x:v>
      </x:c>
      <x:c r="S52" t="n">
        <x:f>IF(ISNUMBER('Target Products'!J52),1,0)</x:f>
        <x:v>1</x:v>
      </x:c>
      <x:c r="T52" t="n">
        <x:f>IF(ISNUMBER('Target Products'!K52),1,0)</x:f>
        <x:v>1</x:v>
      </x:c>
      <x:c r="U52" t="n">
        <x:f>IF(LEN('Target Products'!L52)&gt;0,1,0)</x:f>
        <x:v>1</x:v>
      </x:c>
    </x:row>
    <x:row r="53">
      <x:c r="M53" t="n">
        <x:f>IF(LEN('Target Products'!C53)&gt;0,1,0)</x:f>
        <x:v>1</x:v>
      </x:c>
      <x:c r="N53" t="n">
        <x:f>IF(LEN('Target Products'!D53)&gt;0,1,0)</x:f>
        <x:v>1</x:v>
      </x:c>
      <x:c r="O53" t="n">
        <x:f>IF(LEN('Target Products'!F53)&gt;0,1,0)</x:f>
        <x:v>1</x:v>
      </x:c>
      <x:c r="P53" t="n">
        <x:f>IF(LEN('Target Products'!G53)&gt;0,1,0)</x:f>
        <x:v>1</x:v>
      </x:c>
      <x:c r="Q53" t="n">
        <x:f>IF(LEN('Target Products'!H53)&gt;0,1,0)</x:f>
        <x:v>0</x:v>
      </x:c>
      <x:c r="R53" t="n">
        <x:f>IF(ISNUMBER('Target Products'!I53),1,0)</x:f>
        <x:v>1</x:v>
      </x:c>
      <x:c r="S53" t="n">
        <x:f>IF(ISNUMBER('Target Products'!J53),1,0)</x:f>
        <x:v>1</x:v>
      </x:c>
      <x:c r="T53" t="n">
        <x:f>IF(ISNUMBER('Target Products'!K53),1,0)</x:f>
        <x:v>1</x:v>
      </x:c>
      <x:c r="U53" t="n">
        <x:f>IF(LEN('Target Products'!L53)&gt;0,1,0)</x:f>
        <x:v>1</x:v>
      </x:c>
    </x:row>
    <x:row r="54">
      <x:c r="M54" t="n">
        <x:f>IF(LEN('Target Products'!C54)&gt;0,1,0)</x:f>
        <x:v>1</x:v>
      </x:c>
      <x:c r="N54" t="n">
        <x:f>IF(LEN('Target Products'!D54)&gt;0,1,0)</x:f>
        <x:v>1</x:v>
      </x:c>
      <x:c r="O54" t="n">
        <x:f>IF(LEN('Target Products'!F54)&gt;0,1,0)</x:f>
        <x:v>1</x:v>
      </x:c>
      <x:c r="P54" t="n">
        <x:f>IF(LEN('Target Products'!G54)&gt;0,1,0)</x:f>
        <x:v>1</x:v>
      </x:c>
      <x:c r="Q54" t="n">
        <x:f>IF(LEN('Target Products'!H54)&gt;0,1,0)</x:f>
        <x:v>0</x:v>
      </x:c>
      <x:c r="R54" t="n">
        <x:f>IF(ISNUMBER('Target Products'!I54),1,0)</x:f>
        <x:v>1</x:v>
      </x:c>
      <x:c r="S54" t="n">
        <x:f>IF(ISNUMBER('Target Products'!J54),1,0)</x:f>
        <x:v>1</x:v>
      </x:c>
      <x:c r="T54" t="n">
        <x:f>IF(ISNUMBER('Target Products'!K54),1,0)</x:f>
        <x:v>1</x:v>
      </x:c>
      <x:c r="U54" t="n">
        <x:f>IF(LEN('Target Products'!L54)&gt;0,1,0)</x:f>
        <x:v>1</x:v>
      </x:c>
    </x:row>
    <x:row r="55">
      <x:c r="M55" t="n">
        <x:f>IF(LEN('Target Products'!C55)&gt;0,1,0)</x:f>
        <x:v>1</x:v>
      </x:c>
      <x:c r="N55" t="n">
        <x:f>IF(LEN('Target Products'!D55)&gt;0,1,0)</x:f>
        <x:v>1</x:v>
      </x:c>
      <x:c r="O55" t="n">
        <x:f>IF(LEN('Target Products'!F55)&gt;0,1,0)</x:f>
        <x:v>1</x:v>
      </x:c>
      <x:c r="P55" t="n">
        <x:f>IF(LEN('Target Products'!G55)&gt;0,1,0)</x:f>
        <x:v>1</x:v>
      </x:c>
      <x:c r="Q55" t="n">
        <x:f>IF(LEN('Target Products'!H55)&gt;0,1,0)</x:f>
        <x:v>1</x:v>
      </x:c>
      <x:c r="R55" t="n">
        <x:f>IF(ISNUMBER('Target Products'!I55),1,0)</x:f>
        <x:v>1</x:v>
      </x:c>
      <x:c r="S55" t="n">
        <x:f>IF(ISNUMBER('Target Products'!J55),1,0)</x:f>
        <x:v>1</x:v>
      </x:c>
      <x:c r="T55" t="n">
        <x:f>IF(ISNUMBER('Target Products'!K55),1,0)</x:f>
        <x:v>1</x:v>
      </x:c>
      <x:c r="U55" t="n">
        <x:f>IF(LEN('Target Products'!L55)&gt;0,1,0)</x:f>
        <x:v>1</x:v>
      </x:c>
    </x:row>
    <x:row r="56">
      <x:c r="M56" t="n">
        <x:f>IF(LEN('Target Products'!C56)&gt;0,1,0)</x:f>
        <x:v>1</x:v>
      </x:c>
      <x:c r="N56" t="n">
        <x:f>IF(LEN('Target Products'!D56)&gt;0,1,0)</x:f>
        <x:v>1</x:v>
      </x:c>
      <x:c r="O56" t="n">
        <x:f>IF(LEN('Target Products'!F56)&gt;0,1,0)</x:f>
        <x:v>1</x:v>
      </x:c>
      <x:c r="P56" t="n">
        <x:f>IF(LEN('Target Products'!G56)&gt;0,1,0)</x:f>
        <x:v>1</x:v>
      </x:c>
      <x:c r="Q56" t="n">
        <x:f>IF(LEN('Target Products'!H56)&gt;0,1,0)</x:f>
        <x:v>0</x:v>
      </x:c>
      <x:c r="R56" t="n">
        <x:f>IF(ISNUMBER('Target Products'!I56),1,0)</x:f>
        <x:v>1</x:v>
      </x:c>
      <x:c r="S56" t="n">
        <x:f>IF(ISNUMBER('Target Products'!J56),1,0)</x:f>
        <x:v>1</x:v>
      </x:c>
      <x:c r="T56" t="n">
        <x:f>IF(ISNUMBER('Target Products'!K56),1,0)</x:f>
        <x:v>1</x:v>
      </x:c>
      <x:c r="U56" t="n">
        <x:f>IF(LEN('Target Products'!L56)&gt;0,1,0)</x:f>
        <x:v>1</x:v>
      </x:c>
    </x:row>
    <x:row r="57">
      <x:c r="M57" t="n">
        <x:f>IF(LEN('Target Products'!C57)&gt;0,1,0)</x:f>
        <x:v>1</x:v>
      </x:c>
      <x:c r="N57" t="n">
        <x:f>IF(LEN('Target Products'!D57)&gt;0,1,0)</x:f>
        <x:v>1</x:v>
      </x:c>
      <x:c r="O57" t="n">
        <x:f>IF(LEN('Target Products'!F57)&gt;0,1,0)</x:f>
        <x:v>1</x:v>
      </x:c>
      <x:c r="P57" t="n">
        <x:f>IF(LEN('Target Products'!G57)&gt;0,1,0)</x:f>
        <x:v>1</x:v>
      </x:c>
      <x:c r="Q57" t="n">
        <x:f>IF(LEN('Target Products'!H57)&gt;0,1,0)</x:f>
        <x:v>1</x:v>
      </x:c>
      <x:c r="R57" t="n">
        <x:f>IF(ISNUMBER('Target Products'!I57),1,0)</x:f>
        <x:v>1</x:v>
      </x:c>
      <x:c r="S57" t="n">
        <x:f>IF(ISNUMBER('Target Products'!J57),1,0)</x:f>
        <x:v>1</x:v>
      </x:c>
      <x:c r="T57" t="n">
        <x:f>IF(ISNUMBER('Target Products'!K57),1,0)</x:f>
        <x:v>1</x:v>
      </x:c>
      <x:c r="U57" t="n">
        <x:f>IF(LEN('Target Products'!L57)&gt;0,1,0)</x:f>
        <x:v>1</x:v>
      </x:c>
    </x:row>
    <x:row r="58">
      <x:c r="M58" t="n">
        <x:f>IF(LEN('Target Products'!C58)&gt;0,1,0)</x:f>
        <x:v>1</x:v>
      </x:c>
      <x:c r="N58" t="n">
        <x:f>IF(LEN('Target Products'!D58)&gt;0,1,0)</x:f>
        <x:v>1</x:v>
      </x:c>
      <x:c r="O58" t="n">
        <x:f>IF(LEN('Target Products'!F58)&gt;0,1,0)</x:f>
        <x:v>1</x:v>
      </x:c>
      <x:c r="P58" t="n">
        <x:f>IF(LEN('Target Products'!G58)&gt;0,1,0)</x:f>
        <x:v>1</x:v>
      </x:c>
      <x:c r="Q58" t="n">
        <x:f>IF(LEN('Target Products'!H58)&gt;0,1,0)</x:f>
        <x:v>0</x:v>
      </x:c>
      <x:c r="R58" t="n">
        <x:f>IF(ISNUMBER('Target Products'!I58),1,0)</x:f>
        <x:v>1</x:v>
      </x:c>
      <x:c r="S58" t="n">
        <x:f>IF(ISNUMBER('Target Products'!J58),1,0)</x:f>
        <x:v>1</x:v>
      </x:c>
      <x:c r="T58" t="n">
        <x:f>IF(ISNUMBER('Target Products'!K58),1,0)</x:f>
        <x:v>1</x:v>
      </x:c>
      <x:c r="U58" t="n">
        <x:f>IF(LEN('Target Products'!L58)&gt;0,1,0)</x:f>
        <x:v>1</x:v>
      </x:c>
    </x:row>
    <x:row r="59">
      <x:c r="M59" t="n">
        <x:f>IF(LEN('Target Products'!C59)&gt;0,1,0)</x:f>
        <x:v>1</x:v>
      </x:c>
      <x:c r="N59" t="n">
        <x:f>IF(LEN('Target Products'!D59)&gt;0,1,0)</x:f>
        <x:v>1</x:v>
      </x:c>
      <x:c r="O59" t="n">
        <x:f>IF(LEN('Target Products'!F59)&gt;0,1,0)</x:f>
        <x:v>1</x:v>
      </x:c>
      <x:c r="P59" t="n">
        <x:f>IF(LEN('Target Products'!G59)&gt;0,1,0)</x:f>
        <x:v>1</x:v>
      </x:c>
      <x:c r="Q59" t="n">
        <x:f>IF(LEN('Target Products'!H59)&gt;0,1,0)</x:f>
        <x:v>1</x:v>
      </x:c>
      <x:c r="R59" t="n">
        <x:f>IF(ISNUMBER('Target Products'!I59),1,0)</x:f>
        <x:v>1</x:v>
      </x:c>
      <x:c r="S59" t="n">
        <x:f>IF(ISNUMBER('Target Products'!J59),1,0)</x:f>
        <x:v>1</x:v>
      </x:c>
      <x:c r="T59" t="n">
        <x:f>IF(ISNUMBER('Target Products'!K59),1,0)</x:f>
        <x:v>1</x:v>
      </x:c>
      <x:c r="U59" t="n">
        <x:f>IF(LEN('Target Products'!L59)&gt;0,1,0)</x:f>
        <x:v>1</x:v>
      </x:c>
    </x:row>
    <x:row r="60">
      <x:c r="M60" t="n">
        <x:f>IF(LEN('Target Products'!C60)&gt;0,1,0)</x:f>
        <x:v>1</x:v>
      </x:c>
      <x:c r="N60" t="n">
        <x:f>IF(LEN('Target Products'!D60)&gt;0,1,0)</x:f>
        <x:v>1</x:v>
      </x:c>
      <x:c r="O60" t="n">
        <x:f>IF(LEN('Target Products'!F60)&gt;0,1,0)</x:f>
        <x:v>1</x:v>
      </x:c>
      <x:c r="P60" t="n">
        <x:f>IF(LEN('Target Products'!G60)&gt;0,1,0)</x:f>
        <x:v>1</x:v>
      </x:c>
      <x:c r="Q60" t="n">
        <x:f>IF(LEN('Target Products'!H60)&gt;0,1,0)</x:f>
        <x:v>1</x:v>
      </x:c>
      <x:c r="R60" t="n">
        <x:f>IF(ISNUMBER('Target Products'!I60),1,0)</x:f>
        <x:v>0</x:v>
      </x:c>
      <x:c r="S60" t="n">
        <x:f>IF(ISNUMBER('Target Products'!J60),1,0)</x:f>
        <x:v>1</x:v>
      </x:c>
      <x:c r="T60" t="n">
        <x:f>IF(ISNUMBER('Target Products'!K60),1,0)</x:f>
        <x:v>1</x:v>
      </x:c>
      <x:c r="U60" t="n">
        <x:f>IF(LEN('Target Products'!L60)&gt;0,1,0)</x:f>
        <x:v>1</x:v>
      </x:c>
    </x:row>
    <x:row r="61">
      <x:c r="M61" t="n">
        <x:f>IF(LEN('Target Products'!C61)&gt;0,1,0)</x:f>
        <x:v>1</x:v>
      </x:c>
      <x:c r="N61" t="n">
        <x:f>IF(LEN('Target Products'!D61)&gt;0,1,0)</x:f>
        <x:v>1</x:v>
      </x:c>
      <x:c r="O61" t="n">
        <x:f>IF(LEN('Target Products'!F61)&gt;0,1,0)</x:f>
        <x:v>1</x:v>
      </x:c>
      <x:c r="P61" t="n">
        <x:f>IF(LEN('Target Products'!G61)&gt;0,1,0)</x:f>
        <x:v>1</x:v>
      </x:c>
      <x:c r="Q61" t="n">
        <x:f>IF(LEN('Target Products'!H61)&gt;0,1,0)</x:f>
        <x:v>1</x:v>
      </x:c>
      <x:c r="R61" t="n">
        <x:f>IF(ISNUMBER('Target Products'!I61),1,0)</x:f>
        <x:v>1</x:v>
      </x:c>
      <x:c r="S61" t="n">
        <x:f>IF(ISNUMBER('Target Products'!J61),1,0)</x:f>
        <x:v>1</x:v>
      </x:c>
      <x:c r="T61" t="n">
        <x:f>IF(ISNUMBER('Target Products'!K61),1,0)</x:f>
        <x:v>1</x:v>
      </x:c>
      <x:c r="U61" t="n">
        <x:f>IF(LEN('Target Products'!L61)&gt;0,1,0)</x:f>
        <x:v>1</x:v>
      </x:c>
    </x:row>
    <x:row r="62">
      <x:c r="M62" t="n">
        <x:f>IF(LEN('Target Products'!C62)&gt;0,1,0)</x:f>
        <x:v>1</x:v>
      </x:c>
      <x:c r="N62" t="n">
        <x:f>IF(LEN('Target Products'!D62)&gt;0,1,0)</x:f>
        <x:v>1</x:v>
      </x:c>
      <x:c r="O62" t="n">
        <x:f>IF(LEN('Target Products'!F62)&gt;0,1,0)</x:f>
        <x:v>1</x:v>
      </x:c>
      <x:c r="P62" t="n">
        <x:f>IF(LEN('Target Products'!G62)&gt;0,1,0)</x:f>
        <x:v>1</x:v>
      </x:c>
      <x:c r="Q62" t="n">
        <x:f>IF(LEN('Target Products'!H62)&gt;0,1,0)</x:f>
        <x:v>0</x:v>
      </x:c>
      <x:c r="R62" t="n">
        <x:f>IF(ISNUMBER('Target Products'!I62),1,0)</x:f>
        <x:v>1</x:v>
      </x:c>
      <x:c r="S62" t="n">
        <x:f>IF(ISNUMBER('Target Products'!J62),1,0)</x:f>
        <x:v>1</x:v>
      </x:c>
      <x:c r="T62" t="n">
        <x:f>IF(ISNUMBER('Target Products'!K62),1,0)</x:f>
        <x:v>1</x:v>
      </x:c>
      <x:c r="U62" t="n">
        <x:f>IF(LEN('Target Products'!L62)&gt;0,1,0)</x:f>
        <x:v>1</x:v>
      </x:c>
    </x:row>
    <x:row r="63">
      <x:c r="M63" t="n">
        <x:f>IF(LEN('Target Products'!C63)&gt;0,1,0)</x:f>
        <x:v>1</x:v>
      </x:c>
      <x:c r="N63" t="n">
        <x:f>IF(LEN('Target Products'!D63)&gt;0,1,0)</x:f>
        <x:v>1</x:v>
      </x:c>
      <x:c r="O63" t="n">
        <x:f>IF(LEN('Target Products'!F63)&gt;0,1,0)</x:f>
        <x:v>1</x:v>
      </x:c>
      <x:c r="P63" t="n">
        <x:f>IF(LEN('Target Products'!G63)&gt;0,1,0)</x:f>
        <x:v>1</x:v>
      </x:c>
      <x:c r="Q63" t="n">
        <x:f>IF(LEN('Target Products'!H63)&gt;0,1,0)</x:f>
        <x:v>0</x:v>
      </x:c>
      <x:c r="R63" t="n">
        <x:f>IF(ISNUMBER('Target Products'!I63),1,0)</x:f>
        <x:v>0</x:v>
      </x:c>
      <x:c r="S63" t="n">
        <x:f>IF(ISNUMBER('Target Products'!J63),1,0)</x:f>
        <x:v>1</x:v>
      </x:c>
      <x:c r="T63" t="n">
        <x:f>IF(ISNUMBER('Target Products'!K63),1,0)</x:f>
        <x:v>1</x:v>
      </x:c>
      <x:c r="U63" t="n">
        <x:f>IF(LEN('Target Products'!L63)&gt;0,1,0)</x:f>
        <x:v>1</x:v>
      </x:c>
    </x:row>
    <x:row r="64">
      <x:c r="M64" t="n">
        <x:f>IF(LEN('Target Products'!C64)&gt;0,1,0)</x:f>
        <x:v>1</x:v>
      </x:c>
      <x:c r="N64" t="n">
        <x:f>IF(LEN('Target Products'!D64)&gt;0,1,0)</x:f>
        <x:v>1</x:v>
      </x:c>
      <x:c r="O64" t="n">
        <x:f>IF(LEN('Target Products'!F64)&gt;0,1,0)</x:f>
        <x:v>1</x:v>
      </x:c>
      <x:c r="P64" t="n">
        <x:f>IF(LEN('Target Products'!G64)&gt;0,1,0)</x:f>
        <x:v>1</x:v>
      </x:c>
      <x:c r="Q64" t="n">
        <x:f>IF(LEN('Target Products'!H64)&gt;0,1,0)</x:f>
        <x:v>1</x:v>
      </x:c>
      <x:c r="R64" t="n">
        <x:f>IF(ISNUMBER('Target Products'!I64),1,0)</x:f>
        <x:v>0</x:v>
      </x:c>
      <x:c r="S64" t="n">
        <x:f>IF(ISNUMBER('Target Products'!J64),1,0)</x:f>
        <x:v>1</x:v>
      </x:c>
      <x:c r="T64" t="n">
        <x:f>IF(ISNUMBER('Target Products'!K64),1,0)</x:f>
        <x:v>1</x:v>
      </x:c>
      <x:c r="U64" t="n">
        <x:f>IF(LEN('Target Products'!L64)&gt;0,1,0)</x:f>
        <x:v>1</x:v>
      </x:c>
    </x:row>
    <x:row r="65">
      <x:c r="M65" t="n">
        <x:f>IF(LEN('Target Products'!C65)&gt;0,1,0)</x:f>
        <x:v>1</x:v>
      </x:c>
      <x:c r="N65" t="n">
        <x:f>IF(LEN('Target Products'!D65)&gt;0,1,0)</x:f>
        <x:v>1</x:v>
      </x:c>
      <x:c r="O65" t="n">
        <x:f>IF(LEN('Target Products'!F65)&gt;0,1,0)</x:f>
        <x:v>1</x:v>
      </x:c>
      <x:c r="P65" t="n">
        <x:f>IF(LEN('Target Products'!G65)&gt;0,1,0)</x:f>
        <x:v>1</x:v>
      </x:c>
      <x:c r="Q65" t="n">
        <x:f>IF(LEN('Target Products'!H65)&gt;0,1,0)</x:f>
        <x:v>0</x:v>
      </x:c>
      <x:c r="R65" t="n">
        <x:f>IF(ISNUMBER('Target Products'!I65),1,0)</x:f>
        <x:v>1</x:v>
      </x:c>
      <x:c r="S65" t="n">
        <x:f>IF(ISNUMBER('Target Products'!J65),1,0)</x:f>
        <x:v>1</x:v>
      </x:c>
      <x:c r="T65" t="n">
        <x:f>IF(ISNUMBER('Target Products'!K65),1,0)</x:f>
        <x:v>1</x:v>
      </x:c>
      <x:c r="U65" t="n">
        <x:f>IF(LEN('Target Products'!L65)&gt;0,1,0)</x:f>
        <x:v>1</x:v>
      </x:c>
    </x:row>
    <x:row r="66">
      <x:c r="M66" t="n">
        <x:f>IF(LEN('Target Products'!C66)&gt;0,1,0)</x:f>
        <x:v>1</x:v>
      </x:c>
      <x:c r="N66" t="n">
        <x:f>IF(LEN('Target Products'!D66)&gt;0,1,0)</x:f>
        <x:v>1</x:v>
      </x:c>
      <x:c r="O66" t="n">
        <x:f>IF(LEN('Target Products'!F66)&gt;0,1,0)</x:f>
        <x:v>1</x:v>
      </x:c>
      <x:c r="P66" t="n">
        <x:f>IF(LEN('Target Products'!G66)&gt;0,1,0)</x:f>
        <x:v>1</x:v>
      </x:c>
      <x:c r="Q66" t="n">
        <x:f>IF(LEN('Target Products'!H66)&gt;0,1,0)</x:f>
        <x:v>0</x:v>
      </x:c>
      <x:c r="R66" t="n">
        <x:f>IF(ISNUMBER('Target Products'!I66),1,0)</x:f>
        <x:v>1</x:v>
      </x:c>
      <x:c r="S66" t="n">
        <x:f>IF(ISNUMBER('Target Products'!J66),1,0)</x:f>
        <x:v>1</x:v>
      </x:c>
      <x:c r="T66" t="n">
        <x:f>IF(ISNUMBER('Target Products'!K66),1,0)</x:f>
        <x:v>1</x:v>
      </x:c>
      <x:c r="U66" t="n">
        <x:f>IF(LEN('Target Products'!L66)&gt;0,1,0)</x:f>
        <x:v>1</x:v>
      </x:c>
    </x:row>
    <x:row r="67">
      <x:c r="M67" t="n">
        <x:f>IF(LEN('Target Products'!C67)&gt;0,1,0)</x:f>
        <x:v>1</x:v>
      </x:c>
      <x:c r="N67" t="n">
        <x:f>IF(LEN('Target Products'!D67)&gt;0,1,0)</x:f>
        <x:v>1</x:v>
      </x:c>
      <x:c r="O67" t="n">
        <x:f>IF(LEN('Target Products'!F67)&gt;0,1,0)</x:f>
        <x:v>1</x:v>
      </x:c>
      <x:c r="P67" t="n">
        <x:f>IF(LEN('Target Products'!G67)&gt;0,1,0)</x:f>
        <x:v>1</x:v>
      </x:c>
      <x:c r="Q67" t="n">
        <x:f>IF(LEN('Target Products'!H67)&gt;0,1,0)</x:f>
        <x:v>0</x:v>
      </x:c>
      <x:c r="R67" t="n">
        <x:f>IF(ISNUMBER('Target Products'!I67),1,0)</x:f>
        <x:v>1</x:v>
      </x:c>
      <x:c r="S67" t="n">
        <x:f>IF(ISNUMBER('Target Products'!J67),1,0)</x:f>
        <x:v>1</x:v>
      </x:c>
      <x:c r="T67" t="n">
        <x:f>IF(ISNUMBER('Target Products'!K67),1,0)</x:f>
        <x:v>1</x:v>
      </x:c>
      <x:c r="U67" t="n">
        <x:f>IF(LEN('Target Products'!L67)&gt;0,1,0)</x:f>
        <x:v>1</x:v>
      </x:c>
    </x:row>
    <x:row r="68">
      <x:c r="M68" t="n">
        <x:f>IF(LEN('Target Products'!C68)&gt;0,1,0)</x:f>
        <x:v>1</x:v>
      </x:c>
      <x:c r="N68" t="n">
        <x:f>IF(LEN('Target Products'!D68)&gt;0,1,0)</x:f>
        <x:v>1</x:v>
      </x:c>
      <x:c r="O68" t="n">
        <x:f>IF(LEN('Target Products'!F68)&gt;0,1,0)</x:f>
        <x:v>1</x:v>
      </x:c>
      <x:c r="P68" t="n">
        <x:f>IF(LEN('Target Products'!G68)&gt;0,1,0)</x:f>
        <x:v>1</x:v>
      </x:c>
      <x:c r="Q68" t="n">
        <x:f>IF(LEN('Target Products'!H68)&gt;0,1,0)</x:f>
        <x:v>0</x:v>
      </x:c>
      <x:c r="R68" t="n">
        <x:f>IF(ISNUMBER('Target Products'!I68),1,0)</x:f>
        <x:v>0</x:v>
      </x:c>
      <x:c r="S68" t="n">
        <x:f>IF(ISNUMBER('Target Products'!J68),1,0)</x:f>
        <x:v>1</x:v>
      </x:c>
      <x:c r="T68" t="n">
        <x:f>IF(ISNUMBER('Target Products'!K68),1,0)</x:f>
        <x:v>1</x:v>
      </x:c>
      <x:c r="U68" t="n">
        <x:f>IF(LEN('Target Products'!L68)&gt;0,1,0)</x:f>
        <x:v>1</x:v>
      </x:c>
    </x:row>
    <x:row r="69">
      <x:c r="M69" t="n">
        <x:f>IF(LEN('Target Products'!C69)&gt;0,1,0)</x:f>
        <x:v>1</x:v>
      </x:c>
      <x:c r="N69" t="n">
        <x:f>IF(LEN('Target Products'!D69)&gt;0,1,0)</x:f>
        <x:v>1</x:v>
      </x:c>
      <x:c r="O69" t="n">
        <x:f>IF(LEN('Target Products'!F69)&gt;0,1,0)</x:f>
        <x:v>1</x:v>
      </x:c>
      <x:c r="P69" t="n">
        <x:f>IF(LEN('Target Products'!G69)&gt;0,1,0)</x:f>
        <x:v>1</x:v>
      </x:c>
      <x:c r="Q69" t="n">
        <x:f>IF(LEN('Target Products'!H69)&gt;0,1,0)</x:f>
        <x:v>1</x:v>
      </x:c>
      <x:c r="R69" t="n">
        <x:f>IF(ISNUMBER('Target Products'!I69),1,0)</x:f>
        <x:v>0</x:v>
      </x:c>
      <x:c r="S69" t="n">
        <x:f>IF(ISNUMBER('Target Products'!J69),1,0)</x:f>
        <x:v>1</x:v>
      </x:c>
      <x:c r="T69" t="n">
        <x:f>IF(ISNUMBER('Target Products'!K69),1,0)</x:f>
        <x:v>1</x:v>
      </x:c>
      <x:c r="U69" t="n">
        <x:f>IF(LEN('Target Products'!L69)&gt;0,1,0)</x:f>
        <x:v>1</x:v>
      </x:c>
    </x:row>
    <x:row r="70">
      <x:c r="M70" t="n">
        <x:f>IF(LEN('Target Products'!C70)&gt;0,1,0)</x:f>
        <x:v>1</x:v>
      </x:c>
      <x:c r="N70" t="n">
        <x:f>IF(LEN('Target Products'!D70)&gt;0,1,0)</x:f>
        <x:v>1</x:v>
      </x:c>
      <x:c r="O70" t="n">
        <x:f>IF(LEN('Target Products'!F70)&gt;0,1,0)</x:f>
        <x:v>1</x:v>
      </x:c>
      <x:c r="P70" t="n">
        <x:f>IF(LEN('Target Products'!G70)&gt;0,1,0)</x:f>
        <x:v>1</x:v>
      </x:c>
      <x:c r="Q70" t="n">
        <x:f>IF(LEN('Target Products'!H70)&gt;0,1,0)</x:f>
        <x:v>0</x:v>
      </x:c>
      <x:c r="R70" t="n">
        <x:f>IF(ISNUMBER('Target Products'!I70),1,0)</x:f>
        <x:v>1</x:v>
      </x:c>
      <x:c r="S70" t="n">
        <x:f>IF(ISNUMBER('Target Products'!J70),1,0)</x:f>
        <x:v>1</x:v>
      </x:c>
      <x:c r="T70" t="n">
        <x:f>IF(ISNUMBER('Target Products'!K70),1,0)</x:f>
        <x:v>1</x:v>
      </x:c>
      <x:c r="U70" t="n">
        <x:f>IF(LEN('Target Products'!L70)&gt;0,1,0)</x:f>
        <x:v>1</x:v>
      </x:c>
    </x:row>
    <x:row r="71">
      <x:c r="M71" t="n">
        <x:f>IF(LEN('Target Products'!C71)&gt;0,1,0)</x:f>
        <x:v>1</x:v>
      </x:c>
      <x:c r="N71" t="n">
        <x:f>IF(LEN('Target Products'!D71)&gt;0,1,0)</x:f>
        <x:v>1</x:v>
      </x:c>
      <x:c r="O71" t="n">
        <x:f>IF(LEN('Target Products'!F71)&gt;0,1,0)</x:f>
        <x:v>1</x:v>
      </x:c>
      <x:c r="P71" t="n">
        <x:f>IF(LEN('Target Products'!G71)&gt;0,1,0)</x:f>
        <x:v>1</x:v>
      </x:c>
      <x:c r="Q71" t="n">
        <x:f>IF(LEN('Target Products'!H71)&gt;0,1,0)</x:f>
        <x:v>0</x:v>
      </x:c>
      <x:c r="R71" t="n">
        <x:f>IF(ISNUMBER('Target Products'!I71),1,0)</x:f>
        <x:v>1</x:v>
      </x:c>
      <x:c r="S71" t="n">
        <x:f>IF(ISNUMBER('Target Products'!J71),1,0)</x:f>
        <x:v>1</x:v>
      </x:c>
      <x:c r="T71" t="n">
        <x:f>IF(ISNUMBER('Target Products'!K71),1,0)</x:f>
        <x:v>1</x:v>
      </x:c>
      <x:c r="U71" t="n">
        <x:f>IF(LEN('Target Products'!L71)&gt;0,1,0)</x:f>
        <x:v>1</x:v>
      </x:c>
    </x:row>
    <x:row r="72">
      <x:c r="M72" t="n">
        <x:f>IF(LEN('Target Products'!C72)&gt;0,1,0)</x:f>
        <x:v>1</x:v>
      </x:c>
      <x:c r="N72" t="n">
        <x:f>IF(LEN('Target Products'!D72)&gt;0,1,0)</x:f>
        <x:v>1</x:v>
      </x:c>
      <x:c r="O72" t="n">
        <x:f>IF(LEN('Target Products'!F72)&gt;0,1,0)</x:f>
        <x:v>1</x:v>
      </x:c>
      <x:c r="P72" t="n">
        <x:f>IF(LEN('Target Products'!G72)&gt;0,1,0)</x:f>
        <x:v>1</x:v>
      </x:c>
      <x:c r="Q72" t="n">
        <x:f>IF(LEN('Target Products'!H72)&gt;0,1,0)</x:f>
        <x:v>1</x:v>
      </x:c>
      <x:c r="R72" t="n">
        <x:f>IF(ISNUMBER('Target Products'!I72),1,0)</x:f>
        <x:v>0</x:v>
      </x:c>
      <x:c r="S72" t="n">
        <x:f>IF(ISNUMBER('Target Products'!J72),1,0)</x:f>
        <x:v>1</x:v>
      </x:c>
      <x:c r="T72" t="n">
        <x:f>IF(ISNUMBER('Target Products'!K72),1,0)</x:f>
        <x:v>1</x:v>
      </x:c>
      <x:c r="U72" t="n">
        <x:f>IF(LEN('Target Products'!L72)&gt;0,1,0)</x:f>
        <x:v>1</x:v>
      </x:c>
    </x:row>
    <x:row r="73">
      <x:c r="M73" t="n">
        <x:f>IF(LEN('Target Products'!C73)&gt;0,1,0)</x:f>
        <x:v>1</x:v>
      </x:c>
      <x:c r="N73" t="n">
        <x:f>IF(LEN('Target Products'!D73)&gt;0,1,0)</x:f>
        <x:v>1</x:v>
      </x:c>
      <x:c r="O73" t="n">
        <x:f>IF(LEN('Target Products'!F73)&gt;0,1,0)</x:f>
        <x:v>1</x:v>
      </x:c>
      <x:c r="P73" t="n">
        <x:f>IF(LEN('Target Products'!G73)&gt;0,1,0)</x:f>
        <x:v>1</x:v>
      </x:c>
      <x:c r="Q73" t="n">
        <x:f>IF(LEN('Target Products'!H73)&gt;0,1,0)</x:f>
        <x:v>1</x:v>
      </x:c>
      <x:c r="R73" t="n">
        <x:f>IF(ISNUMBER('Target Products'!I73),1,0)</x:f>
        <x:v>1</x:v>
      </x:c>
      <x:c r="S73" t="n">
        <x:f>IF(ISNUMBER('Target Products'!J73),1,0)</x:f>
        <x:v>1</x:v>
      </x:c>
      <x:c r="T73" t="n">
        <x:f>IF(ISNUMBER('Target Products'!K73),1,0)</x:f>
        <x:v>1</x:v>
      </x:c>
      <x:c r="U73" t="n">
        <x:f>IF(LEN('Target Products'!L73)&gt;0,1,0)</x:f>
        <x:v>1</x:v>
      </x:c>
    </x:row>
    <x:row r="74">
      <x:c r="M74" t="n">
        <x:f>IF(LEN('Target Products'!C74)&gt;0,1,0)</x:f>
        <x:v>1</x:v>
      </x:c>
      <x:c r="N74" t="n">
        <x:f>IF(LEN('Target Products'!D74)&gt;0,1,0)</x:f>
        <x:v>1</x:v>
      </x:c>
      <x:c r="O74" t="n">
        <x:f>IF(LEN('Target Products'!F74)&gt;0,1,0)</x:f>
        <x:v>1</x:v>
      </x:c>
      <x:c r="P74" t="n">
        <x:f>IF(LEN('Target Products'!G74)&gt;0,1,0)</x:f>
        <x:v>1</x:v>
      </x:c>
      <x:c r="Q74" t="n">
        <x:f>IF(LEN('Target Products'!H74)&gt;0,1,0)</x:f>
        <x:v>0</x:v>
      </x:c>
      <x:c r="R74" t="n">
        <x:f>IF(ISNUMBER('Target Products'!I74),1,0)</x:f>
        <x:v>1</x:v>
      </x:c>
      <x:c r="S74" t="n">
        <x:f>IF(ISNUMBER('Target Products'!J74),1,0)</x:f>
        <x:v>1</x:v>
      </x:c>
      <x:c r="T74" t="n">
        <x:f>IF(ISNUMBER('Target Products'!K74),1,0)</x:f>
        <x:v>1</x:v>
      </x:c>
      <x:c r="U74" t="n">
        <x:f>IF(LEN('Target Products'!L74)&gt;0,1,0)</x:f>
        <x:v>1</x:v>
      </x:c>
    </x:row>
    <x:row r="75">
      <x:c r="M75" t="n">
        <x:f>IF(LEN('Target Products'!C75)&gt;0,1,0)</x:f>
        <x:v>1</x:v>
      </x:c>
      <x:c r="N75" t="n">
        <x:f>IF(LEN('Target Products'!D75)&gt;0,1,0)</x:f>
        <x:v>1</x:v>
      </x:c>
      <x:c r="O75" t="n">
        <x:f>IF(LEN('Target Products'!F75)&gt;0,1,0)</x:f>
        <x:v>1</x:v>
      </x:c>
      <x:c r="P75" t="n">
        <x:f>IF(LEN('Target Products'!G75)&gt;0,1,0)</x:f>
        <x:v>1</x:v>
      </x:c>
      <x:c r="Q75" t="n">
        <x:f>IF(LEN('Target Products'!H75)&gt;0,1,0)</x:f>
        <x:v>0</x:v>
      </x:c>
      <x:c r="R75" t="n">
        <x:f>IF(ISNUMBER('Target Products'!I75),1,0)</x:f>
        <x:v>1</x:v>
      </x:c>
      <x:c r="S75" t="n">
        <x:f>IF(ISNUMBER('Target Products'!J75),1,0)</x:f>
        <x:v>1</x:v>
      </x:c>
      <x:c r="T75" t="n">
        <x:f>IF(ISNUMBER('Target Products'!K75),1,0)</x:f>
        <x:v>1</x:v>
      </x:c>
      <x:c r="U75" t="n">
        <x:f>IF(LEN('Target Products'!L75)&gt;0,1,0)</x:f>
        <x:v>1</x:v>
      </x:c>
    </x:row>
    <x:row r="76">
      <x:c r="M76" t="n">
        <x:f>IF(LEN('Target Products'!C76)&gt;0,1,0)</x:f>
        <x:v>1</x:v>
      </x:c>
      <x:c r="N76" t="n">
        <x:f>IF(LEN('Target Products'!D76)&gt;0,1,0)</x:f>
        <x:v>1</x:v>
      </x:c>
      <x:c r="O76" t="n">
        <x:f>IF(LEN('Target Products'!F76)&gt;0,1,0)</x:f>
        <x:v>1</x:v>
      </x:c>
      <x:c r="P76" t="n">
        <x:f>IF(LEN('Target Products'!G76)&gt;0,1,0)</x:f>
        <x:v>1</x:v>
      </x:c>
      <x:c r="Q76" t="n">
        <x:f>IF(LEN('Target Products'!H76)&gt;0,1,0)</x:f>
        <x:v>0</x:v>
      </x:c>
      <x:c r="R76" t="n">
        <x:f>IF(ISNUMBER('Target Products'!I76),1,0)</x:f>
        <x:v>1</x:v>
      </x:c>
      <x:c r="S76" t="n">
        <x:f>IF(ISNUMBER('Target Products'!J76),1,0)</x:f>
        <x:v>1</x:v>
      </x:c>
      <x:c r="T76" t="n">
        <x:f>IF(ISNUMBER('Target Products'!K76),1,0)</x:f>
        <x:v>1</x:v>
      </x:c>
      <x:c r="U76" t="n">
        <x:f>IF(LEN('Target Products'!L76)&gt;0,1,0)</x:f>
        <x:v>1</x:v>
      </x:c>
    </x:row>
    <x:row r="77">
      <x:c r="M77" t="n">
        <x:f>IF(LEN('Target Products'!C77)&gt;0,1,0)</x:f>
        <x:v>1</x:v>
      </x:c>
      <x:c r="N77" t="n">
        <x:f>IF(LEN('Target Products'!D77)&gt;0,1,0)</x:f>
        <x:v>1</x:v>
      </x:c>
      <x:c r="O77" t="n">
        <x:f>IF(LEN('Target Products'!F77)&gt;0,1,0)</x:f>
        <x:v>1</x:v>
      </x:c>
      <x:c r="P77" t="n">
        <x:f>IF(LEN('Target Products'!G77)&gt;0,1,0)</x:f>
        <x:v>1</x:v>
      </x:c>
      <x:c r="Q77" t="n">
        <x:f>IF(LEN('Target Products'!H77)&gt;0,1,0)</x:f>
        <x:v>0</x:v>
      </x:c>
      <x:c r="R77" t="n">
        <x:f>IF(ISNUMBER('Target Products'!I77),1,0)</x:f>
        <x:v>1</x:v>
      </x:c>
      <x:c r="S77" t="n">
        <x:f>IF(ISNUMBER('Target Products'!J77),1,0)</x:f>
        <x:v>1</x:v>
      </x:c>
      <x:c r="T77" t="n">
        <x:f>IF(ISNUMBER('Target Products'!K77),1,0)</x:f>
        <x:v>1</x:v>
      </x:c>
      <x:c r="U77" t="n">
        <x:f>IF(LEN('Target Products'!L77)&gt;0,1,0)</x:f>
        <x:v>1</x:v>
      </x:c>
    </x:row>
    <x:row r="78">
      <x:c r="M78" t="n">
        <x:f>IF(LEN('Target Products'!C78)&gt;0,1,0)</x:f>
        <x:v>1</x:v>
      </x:c>
      <x:c r="N78" t="n">
        <x:f>IF(LEN('Target Products'!D78)&gt;0,1,0)</x:f>
        <x:v>1</x:v>
      </x:c>
      <x:c r="O78" t="n">
        <x:f>IF(LEN('Target Products'!F78)&gt;0,1,0)</x:f>
        <x:v>1</x:v>
      </x:c>
      <x:c r="P78" t="n">
        <x:f>IF(LEN('Target Products'!G78)&gt;0,1,0)</x:f>
        <x:v>1</x:v>
      </x:c>
      <x:c r="Q78" t="n">
        <x:f>IF(LEN('Target Products'!H78)&gt;0,1,0)</x:f>
        <x:v>1</x:v>
      </x:c>
      <x:c r="R78" t="n">
        <x:f>IF(ISNUMBER('Target Products'!I78),1,0)</x:f>
        <x:v>1</x:v>
      </x:c>
      <x:c r="S78" t="n">
        <x:f>IF(ISNUMBER('Target Products'!J78),1,0)</x:f>
        <x:v>1</x:v>
      </x:c>
      <x:c r="T78" t="n">
        <x:f>IF(ISNUMBER('Target Products'!K78),1,0)</x:f>
        <x:v>1</x:v>
      </x:c>
      <x:c r="U78" t="n">
        <x:f>IF(LEN('Target Products'!L78)&gt;0,1,0)</x:f>
        <x:v>1</x:v>
      </x:c>
    </x:row>
    <x:row r="79">
      <x:c r="M79" t="n">
        <x:f>IF(LEN('Target Products'!C79)&gt;0,1,0)</x:f>
        <x:v>1</x:v>
      </x:c>
      <x:c r="N79" t="n">
        <x:f>IF(LEN('Target Products'!D79)&gt;0,1,0)</x:f>
        <x:v>1</x:v>
      </x:c>
      <x:c r="O79" t="n">
        <x:f>IF(LEN('Target Products'!F79)&gt;0,1,0)</x:f>
        <x:v>1</x:v>
      </x:c>
      <x:c r="P79" t="n">
        <x:f>IF(LEN('Target Products'!G79)&gt;0,1,0)</x:f>
        <x:v>1</x:v>
      </x:c>
      <x:c r="Q79" t="n">
        <x:f>IF(LEN('Target Products'!H79)&gt;0,1,0)</x:f>
        <x:v>0</x:v>
      </x:c>
      <x:c r="R79" t="n">
        <x:f>IF(ISNUMBER('Target Products'!I79),1,0)</x:f>
        <x:v>1</x:v>
      </x:c>
      <x:c r="S79" t="n">
        <x:f>IF(ISNUMBER('Target Products'!J79),1,0)</x:f>
        <x:v>1</x:v>
      </x:c>
      <x:c r="T79" t="n">
        <x:f>IF(ISNUMBER('Target Products'!K79),1,0)</x:f>
        <x:v>1</x:v>
      </x:c>
      <x:c r="U79" t="n">
        <x:f>IF(LEN('Target Products'!L79)&gt;0,1,0)</x:f>
        <x:v>1</x:v>
      </x:c>
    </x:row>
    <x:row r="80">
      <x:c r="M80" t="n">
        <x:f>IF(LEN('Target Products'!C80)&gt;0,1,0)</x:f>
        <x:v>1</x:v>
      </x:c>
      <x:c r="N80" t="n">
        <x:f>IF(LEN('Target Products'!D80)&gt;0,1,0)</x:f>
        <x:v>1</x:v>
      </x:c>
      <x:c r="O80" t="n">
        <x:f>IF(LEN('Target Products'!F80)&gt;0,1,0)</x:f>
        <x:v>1</x:v>
      </x:c>
      <x:c r="P80" t="n">
        <x:f>IF(LEN('Target Products'!G80)&gt;0,1,0)</x:f>
        <x:v>1</x:v>
      </x:c>
      <x:c r="Q80" t="n">
        <x:f>IF(LEN('Target Products'!H80)&gt;0,1,0)</x:f>
        <x:v>1</x:v>
      </x:c>
      <x:c r="R80" t="n">
        <x:f>IF(ISNUMBER('Target Products'!I80),1,0)</x:f>
        <x:v>1</x:v>
      </x:c>
      <x:c r="S80" t="n">
        <x:f>IF(ISNUMBER('Target Products'!J80),1,0)</x:f>
        <x:v>1</x:v>
      </x:c>
      <x:c r="T80" t="n">
        <x:f>IF(ISNUMBER('Target Products'!K80),1,0)</x:f>
        <x:v>1</x:v>
      </x:c>
      <x:c r="U80" t="n">
        <x:f>IF(LEN('Target Products'!L80)&gt;0,1,0)</x:f>
        <x:v>1</x:v>
      </x:c>
    </x:row>
    <x:row r="81">
      <x:c r="M81" t="n">
        <x:f>IF(LEN('Target Products'!C81)&gt;0,1,0)</x:f>
        <x:v>1</x:v>
      </x:c>
      <x:c r="N81" t="n">
        <x:f>IF(LEN('Target Products'!D81)&gt;0,1,0)</x:f>
        <x:v>1</x:v>
      </x:c>
      <x:c r="O81" t="n">
        <x:f>IF(LEN('Target Products'!F81)&gt;0,1,0)</x:f>
        <x:v>1</x:v>
      </x:c>
      <x:c r="P81" t="n">
        <x:f>IF(LEN('Target Products'!G81)&gt;0,1,0)</x:f>
        <x:v>1</x:v>
      </x:c>
      <x:c r="Q81" t="n">
        <x:f>IF(LEN('Target Products'!H81)&gt;0,1,0)</x:f>
        <x:v>0</x:v>
      </x:c>
      <x:c r="R81" t="n">
        <x:f>IF(ISNUMBER('Target Products'!I81),1,0)</x:f>
        <x:v>1</x:v>
      </x:c>
      <x:c r="S81" t="n">
        <x:f>IF(ISNUMBER('Target Products'!J81),1,0)</x:f>
        <x:v>1</x:v>
      </x:c>
      <x:c r="T81" t="n">
        <x:f>IF(ISNUMBER('Target Products'!K81),1,0)</x:f>
        <x:v>1</x:v>
      </x:c>
      <x:c r="U81" t="n">
        <x:f>IF(LEN('Target Products'!L81)&gt;0,1,0)</x:f>
        <x:v>1</x:v>
      </x:c>
    </x:row>
    <x:row r="82">
      <x:c r="M82" t="n">
        <x:f>IF(LEN('Target Products'!C82)&gt;0,1,0)</x:f>
        <x:v>1</x:v>
      </x:c>
      <x:c r="N82" t="n">
        <x:f>IF(LEN('Target Products'!D82)&gt;0,1,0)</x:f>
        <x:v>1</x:v>
      </x:c>
      <x:c r="O82" t="n">
        <x:f>IF(LEN('Target Products'!F82)&gt;0,1,0)</x:f>
        <x:v>1</x:v>
      </x:c>
      <x:c r="P82" t="n">
        <x:f>IF(LEN('Target Products'!G82)&gt;0,1,0)</x:f>
        <x:v>1</x:v>
      </x:c>
      <x:c r="Q82" t="n">
        <x:f>IF(LEN('Target Products'!H82)&gt;0,1,0)</x:f>
        <x:v>1</x:v>
      </x:c>
      <x:c r="R82" t="n">
        <x:f>IF(ISNUMBER('Target Products'!I82),1,0)</x:f>
        <x:v>1</x:v>
      </x:c>
      <x:c r="S82" t="n">
        <x:f>IF(ISNUMBER('Target Products'!J82),1,0)</x:f>
        <x:v>1</x:v>
      </x:c>
      <x:c r="T82" t="n">
        <x:f>IF(ISNUMBER('Target Products'!K82),1,0)</x:f>
        <x:v>1</x:v>
      </x:c>
      <x:c r="U82" t="n">
        <x:f>IF(LEN('Target Products'!L82)&gt;0,1,0)</x:f>
        <x:v>1</x:v>
      </x:c>
    </x:row>
    <x:row r="83">
      <x:c r="M83" t="n">
        <x:f>IF(LEN('Target Products'!C83)&gt;0,1,0)</x:f>
        <x:v>1</x:v>
      </x:c>
      <x:c r="N83" t="n">
        <x:f>IF(LEN('Target Products'!D83)&gt;0,1,0)</x:f>
        <x:v>1</x:v>
      </x:c>
      <x:c r="O83" t="n">
        <x:f>IF(LEN('Target Products'!F83)&gt;0,1,0)</x:f>
        <x:v>1</x:v>
      </x:c>
      <x:c r="P83" t="n">
        <x:f>IF(LEN('Target Products'!G83)&gt;0,1,0)</x:f>
        <x:v>1</x:v>
      </x:c>
      <x:c r="Q83" t="n">
        <x:f>IF(LEN('Target Products'!H83)&gt;0,1,0)</x:f>
        <x:v>1</x:v>
      </x:c>
      <x:c r="R83" t="n">
        <x:f>IF(ISNUMBER('Target Products'!I83),1,0)</x:f>
        <x:v>1</x:v>
      </x:c>
      <x:c r="S83" t="n">
        <x:f>IF(ISNUMBER('Target Products'!J83),1,0)</x:f>
        <x:v>1</x:v>
      </x:c>
      <x:c r="T83" t="n">
        <x:f>IF(ISNUMBER('Target Products'!K83),1,0)</x:f>
        <x:v>1</x:v>
      </x:c>
      <x:c r="U83" t="n">
        <x:f>IF(LEN('Target Products'!L83)&gt;0,1,0)</x:f>
        <x:v>1</x:v>
      </x:c>
    </x:row>
    <x:row r="84">
      <x:c r="M84" t="n">
        <x:f>IF(LEN('Target Products'!C84)&gt;0,1,0)</x:f>
        <x:v>1</x:v>
      </x:c>
      <x:c r="N84" t="n">
        <x:f>IF(LEN('Target Products'!D84)&gt;0,1,0)</x:f>
        <x:v>1</x:v>
      </x:c>
      <x:c r="O84" t="n">
        <x:f>IF(LEN('Target Products'!F84)&gt;0,1,0)</x:f>
        <x:v>1</x:v>
      </x:c>
      <x:c r="P84" t="n">
        <x:f>IF(LEN('Target Products'!G84)&gt;0,1,0)</x:f>
        <x:v>1</x:v>
      </x:c>
      <x:c r="Q84" t="n">
        <x:f>IF(LEN('Target Products'!H84)&gt;0,1,0)</x:f>
        <x:v>0</x:v>
      </x:c>
      <x:c r="R84" t="n">
        <x:f>IF(ISNUMBER('Target Products'!I84),1,0)</x:f>
        <x:v>0</x:v>
      </x:c>
      <x:c r="S84" t="n">
        <x:f>IF(ISNUMBER('Target Products'!J84),1,0)</x:f>
        <x:v>1</x:v>
      </x:c>
      <x:c r="T84" t="n">
        <x:f>IF(ISNUMBER('Target Products'!K84),1,0)</x:f>
        <x:v>1</x:v>
      </x:c>
      <x:c r="U84" t="n">
        <x:f>IF(LEN('Target Products'!L84)&gt;0,1,0)</x:f>
        <x:v>1</x:v>
      </x:c>
    </x:row>
    <x:row r="85">
      <x:c r="M85" t="n">
        <x:f>IF(LEN('Target Products'!C85)&gt;0,1,0)</x:f>
        <x:v>1</x:v>
      </x:c>
      <x:c r="N85" t="n">
        <x:f>IF(LEN('Target Products'!D85)&gt;0,1,0)</x:f>
        <x:v>1</x:v>
      </x:c>
      <x:c r="O85" t="n">
        <x:f>IF(LEN('Target Products'!F85)&gt;0,1,0)</x:f>
        <x:v>1</x:v>
      </x:c>
      <x:c r="P85" t="n">
        <x:f>IF(LEN('Target Products'!G85)&gt;0,1,0)</x:f>
        <x:v>1</x:v>
      </x:c>
      <x:c r="Q85" t="n">
        <x:f>IF(LEN('Target Products'!H85)&gt;0,1,0)</x:f>
        <x:v>0</x:v>
      </x:c>
      <x:c r="R85" t="n">
        <x:f>IF(ISNUMBER('Target Products'!I85),1,0)</x:f>
        <x:v>1</x:v>
      </x:c>
      <x:c r="S85" t="n">
        <x:f>IF(ISNUMBER('Target Products'!J85),1,0)</x:f>
        <x:v>1</x:v>
      </x:c>
      <x:c r="T85" t="n">
        <x:f>IF(ISNUMBER('Target Products'!K85),1,0)</x:f>
        <x:v>1</x:v>
      </x:c>
      <x:c r="U85" t="n">
        <x:f>IF(LEN('Target Products'!L85)&gt;0,1,0)</x:f>
        <x:v>1</x:v>
      </x:c>
    </x:row>
    <x:row r="86">
      <x:c r="M86" t="n">
        <x:f>IF(LEN('Target Products'!C86)&gt;0,1,0)</x:f>
        <x:v>1</x:v>
      </x:c>
      <x:c r="N86" t="n">
        <x:f>IF(LEN('Target Products'!D86)&gt;0,1,0)</x:f>
        <x:v>1</x:v>
      </x:c>
      <x:c r="O86" t="n">
        <x:f>IF(LEN('Target Products'!F86)&gt;0,1,0)</x:f>
        <x:v>1</x:v>
      </x:c>
      <x:c r="P86" t="n">
        <x:f>IF(LEN('Target Products'!G86)&gt;0,1,0)</x:f>
        <x:v>1</x:v>
      </x:c>
      <x:c r="Q86" t="n">
        <x:f>IF(LEN('Target Products'!H86)&gt;0,1,0)</x:f>
        <x:v>0</x:v>
      </x:c>
      <x:c r="R86" t="n">
        <x:f>IF(ISNUMBER('Target Products'!I86),1,0)</x:f>
        <x:v>1</x:v>
      </x:c>
      <x:c r="S86" t="n">
        <x:f>IF(ISNUMBER('Target Products'!J86),1,0)</x:f>
        <x:v>1</x:v>
      </x:c>
      <x:c r="T86" t="n">
        <x:f>IF(ISNUMBER('Target Products'!K86),1,0)</x:f>
        <x:v>1</x:v>
      </x:c>
      <x:c r="U86" t="n">
        <x:f>IF(LEN('Target Products'!L86)&gt;0,1,0)</x:f>
        <x:v>1</x:v>
      </x:c>
    </x:row>
    <x:row r="87">
      <x:c r="M87" t="n">
        <x:f>IF(LEN('Target Products'!C87)&gt;0,1,0)</x:f>
        <x:v>1</x:v>
      </x:c>
      <x:c r="N87" t="n">
        <x:f>IF(LEN('Target Products'!D87)&gt;0,1,0)</x:f>
        <x:v>1</x:v>
      </x:c>
      <x:c r="O87" t="n">
        <x:f>IF(LEN('Target Products'!F87)&gt;0,1,0)</x:f>
        <x:v>1</x:v>
      </x:c>
      <x:c r="P87" t="n">
        <x:f>IF(LEN('Target Products'!G87)&gt;0,1,0)</x:f>
        <x:v>1</x:v>
      </x:c>
      <x:c r="Q87" t="n">
        <x:f>IF(LEN('Target Products'!H87)&gt;0,1,0)</x:f>
        <x:v>0</x:v>
      </x:c>
      <x:c r="R87" t="n">
        <x:f>IF(ISNUMBER('Target Products'!I87),1,0)</x:f>
        <x:v>1</x:v>
      </x:c>
      <x:c r="S87" t="n">
        <x:f>IF(ISNUMBER('Target Products'!J87),1,0)</x:f>
        <x:v>1</x:v>
      </x:c>
      <x:c r="T87" t="n">
        <x:f>IF(ISNUMBER('Target Products'!K87),1,0)</x:f>
        <x:v>1</x:v>
      </x:c>
      <x:c r="U87" t="n">
        <x:f>IF(LEN('Target Products'!L87)&gt;0,1,0)</x:f>
        <x:v>1</x:v>
      </x:c>
    </x:row>
    <x:row r="88">
      <x:c r="M88" t="n">
        <x:f>IF(LEN('Target Products'!C88)&gt;0,1,0)</x:f>
        <x:v>1</x:v>
      </x:c>
      <x:c r="N88" t="n">
        <x:f>IF(LEN('Target Products'!D88)&gt;0,1,0)</x:f>
        <x:v>1</x:v>
      </x:c>
      <x:c r="O88" t="n">
        <x:f>IF(LEN('Target Products'!F88)&gt;0,1,0)</x:f>
        <x:v>1</x:v>
      </x:c>
      <x:c r="P88" t="n">
        <x:f>IF(LEN('Target Products'!G88)&gt;0,1,0)</x:f>
        <x:v>1</x:v>
      </x:c>
      <x:c r="Q88" t="n">
        <x:f>IF(LEN('Target Products'!H88)&gt;0,1,0)</x:f>
        <x:v>0</x:v>
      </x:c>
      <x:c r="R88" t="n">
        <x:f>IF(ISNUMBER('Target Products'!I88),1,0)</x:f>
        <x:v>1</x:v>
      </x:c>
      <x:c r="S88" t="n">
        <x:f>IF(ISNUMBER('Target Products'!J88),1,0)</x:f>
        <x:v>1</x:v>
      </x:c>
      <x:c r="T88" t="n">
        <x:f>IF(ISNUMBER('Target Products'!K88),1,0)</x:f>
        <x:v>1</x:v>
      </x:c>
      <x:c r="U88" t="n">
        <x:f>IF(LEN('Target Products'!L88)&gt;0,1,0)</x:f>
        <x:v>1</x:v>
      </x:c>
    </x:row>
    <x:row r="89">
      <x:c r="M89" t="n">
        <x:f>IF(LEN('Target Products'!C89)&gt;0,1,0)</x:f>
        <x:v>1</x:v>
      </x:c>
      <x:c r="N89" t="n">
        <x:f>IF(LEN('Target Products'!D89)&gt;0,1,0)</x:f>
        <x:v>1</x:v>
      </x:c>
      <x:c r="O89" t="n">
        <x:f>IF(LEN('Target Products'!F89)&gt;0,1,0)</x:f>
        <x:v>1</x:v>
      </x:c>
      <x:c r="P89" t="n">
        <x:f>IF(LEN('Target Products'!G89)&gt;0,1,0)</x:f>
        <x:v>1</x:v>
      </x:c>
      <x:c r="Q89" t="n">
        <x:f>IF(LEN('Target Products'!H89)&gt;0,1,0)</x:f>
        <x:v>0</x:v>
      </x:c>
      <x:c r="R89" t="n">
        <x:f>IF(ISNUMBER('Target Products'!I89),1,0)</x:f>
        <x:v>1</x:v>
      </x:c>
      <x:c r="S89" t="n">
        <x:f>IF(ISNUMBER('Target Products'!J89),1,0)</x:f>
        <x:v>1</x:v>
      </x:c>
      <x:c r="T89" t="n">
        <x:f>IF(ISNUMBER('Target Products'!K89),1,0)</x:f>
        <x:v>1</x:v>
      </x:c>
      <x:c r="U89" t="n">
        <x:f>IF(LEN('Target Products'!L89)&gt;0,1,0)</x:f>
        <x:v>1</x:v>
      </x:c>
    </x:row>
    <x:row r="90">
      <x:c r="M90" t="n">
        <x:f>IF(LEN('Target Products'!C90)&gt;0,1,0)</x:f>
        <x:v>1</x:v>
      </x:c>
      <x:c r="N90" t="n">
        <x:f>IF(LEN('Target Products'!D90)&gt;0,1,0)</x:f>
        <x:v>1</x:v>
      </x:c>
      <x:c r="O90" t="n">
        <x:f>IF(LEN('Target Products'!F90)&gt;0,1,0)</x:f>
        <x:v>1</x:v>
      </x:c>
      <x:c r="P90" t="n">
        <x:f>IF(LEN('Target Products'!G90)&gt;0,1,0)</x:f>
        <x:v>1</x:v>
      </x:c>
      <x:c r="Q90" t="n">
        <x:f>IF(LEN('Target Products'!H90)&gt;0,1,0)</x:f>
        <x:v>0</x:v>
      </x:c>
      <x:c r="R90" t="n">
        <x:f>IF(ISNUMBER('Target Products'!I90),1,0)</x:f>
        <x:v>1</x:v>
      </x:c>
      <x:c r="S90" t="n">
        <x:f>IF(ISNUMBER('Target Products'!J90),1,0)</x:f>
        <x:v>1</x:v>
      </x:c>
      <x:c r="T90" t="n">
        <x:f>IF(ISNUMBER('Target Products'!K90),1,0)</x:f>
        <x:v>1</x:v>
      </x:c>
      <x:c r="U90" t="n">
        <x:f>IF(LEN('Target Products'!L90)&gt;0,1,0)</x:f>
        <x:v>1</x:v>
      </x:c>
    </x:row>
    <x:row r="91">
      <x:c r="M91" t="n">
        <x:f>IF(LEN('Target Products'!C91)&gt;0,1,0)</x:f>
        <x:v>1</x:v>
      </x:c>
      <x:c r="N91" t="n">
        <x:f>IF(LEN('Target Products'!D91)&gt;0,1,0)</x:f>
        <x:v>1</x:v>
      </x:c>
      <x:c r="O91" t="n">
        <x:f>IF(LEN('Target Products'!F91)&gt;0,1,0)</x:f>
        <x:v>1</x:v>
      </x:c>
      <x:c r="P91" t="n">
        <x:f>IF(LEN('Target Products'!G91)&gt;0,1,0)</x:f>
        <x:v>1</x:v>
      </x:c>
      <x:c r="Q91" t="n">
        <x:f>IF(LEN('Target Products'!H91)&gt;0,1,0)</x:f>
        <x:v>1</x:v>
      </x:c>
      <x:c r="R91" t="n">
        <x:f>IF(ISNUMBER('Target Products'!I91),1,0)</x:f>
        <x:v>1</x:v>
      </x:c>
      <x:c r="S91" t="n">
        <x:f>IF(ISNUMBER('Target Products'!J91),1,0)</x:f>
        <x:v>1</x:v>
      </x:c>
      <x:c r="T91" t="n">
        <x:f>IF(ISNUMBER('Target Products'!K91),1,0)</x:f>
        <x:v>1</x:v>
      </x:c>
      <x:c r="U91" t="n">
        <x:f>IF(LEN('Target Products'!L91)&gt;0,1,0)</x:f>
        <x:v>1</x:v>
      </x:c>
    </x:row>
    <x:row r="92">
      <x:c r="M92" t="n">
        <x:f>IF(LEN('Target Products'!C92)&gt;0,1,0)</x:f>
        <x:v>1</x:v>
      </x:c>
      <x:c r="N92" t="n">
        <x:f>IF(LEN('Target Products'!D92)&gt;0,1,0)</x:f>
        <x:v>1</x:v>
      </x:c>
      <x:c r="O92" t="n">
        <x:f>IF(LEN('Target Products'!F92)&gt;0,1,0)</x:f>
        <x:v>1</x:v>
      </x:c>
      <x:c r="P92" t="n">
        <x:f>IF(LEN('Target Products'!G92)&gt;0,1,0)</x:f>
        <x:v>1</x:v>
      </x:c>
      <x:c r="Q92" t="n">
        <x:f>IF(LEN('Target Products'!H92)&gt;0,1,0)</x:f>
        <x:v>1</x:v>
      </x:c>
      <x:c r="R92" t="n">
        <x:f>IF(ISNUMBER('Target Products'!I92),1,0)</x:f>
        <x:v>1</x:v>
      </x:c>
      <x:c r="S92" t="n">
        <x:f>IF(ISNUMBER('Target Products'!J92),1,0)</x:f>
        <x:v>1</x:v>
      </x:c>
      <x:c r="T92" t="n">
        <x:f>IF(ISNUMBER('Target Products'!K92),1,0)</x:f>
        <x:v>1</x:v>
      </x:c>
      <x:c r="U92" t="n">
        <x:f>IF(LEN('Target Products'!L92)&gt;0,1,0)</x:f>
        <x:v>1</x:v>
      </x:c>
    </x:row>
    <x:row r="93">
      <x:c r="M93" t="n">
        <x:f>IF(LEN('Target Products'!C93)&gt;0,1,0)</x:f>
        <x:v>1</x:v>
      </x:c>
      <x:c r="N93" t="n">
        <x:f>IF(LEN('Target Products'!D93)&gt;0,1,0)</x:f>
        <x:v>1</x:v>
      </x:c>
      <x:c r="O93" t="n">
        <x:f>IF(LEN('Target Products'!F93)&gt;0,1,0)</x:f>
        <x:v>1</x:v>
      </x:c>
      <x:c r="P93" t="n">
        <x:f>IF(LEN('Target Products'!G93)&gt;0,1,0)</x:f>
        <x:v>1</x:v>
      </x:c>
      <x:c r="Q93" t="n">
        <x:f>IF(LEN('Target Products'!H93)&gt;0,1,0)</x:f>
        <x:v>1</x:v>
      </x:c>
      <x:c r="R93" t="n">
        <x:f>IF(ISNUMBER('Target Products'!I93),1,0)</x:f>
        <x:v>0</x:v>
      </x:c>
      <x:c r="S93" t="n">
        <x:f>IF(ISNUMBER('Target Products'!J93),1,0)</x:f>
        <x:v>1</x:v>
      </x:c>
      <x:c r="T93" t="n">
        <x:f>IF(ISNUMBER('Target Products'!K93),1,0)</x:f>
        <x:v>1</x:v>
      </x:c>
      <x:c r="U93" t="n">
        <x:f>IF(LEN('Target Products'!L93)&gt;0,1,0)</x:f>
        <x:v>1</x:v>
      </x:c>
    </x:row>
    <x:row r="94">
      <x:c r="M94" t="n">
        <x:f>IF(LEN('Target Products'!C94)&gt;0,1,0)</x:f>
        <x:v>1</x:v>
      </x:c>
      <x:c r="N94" t="n">
        <x:f>IF(LEN('Target Products'!D94)&gt;0,1,0)</x:f>
        <x:v>1</x:v>
      </x:c>
      <x:c r="O94" t="n">
        <x:f>IF(LEN('Target Products'!F94)&gt;0,1,0)</x:f>
        <x:v>1</x:v>
      </x:c>
      <x:c r="P94" t="n">
        <x:f>IF(LEN('Target Products'!G94)&gt;0,1,0)</x:f>
        <x:v>1</x:v>
      </x:c>
      <x:c r="Q94" t="n">
        <x:f>IF(LEN('Target Products'!H94)&gt;0,1,0)</x:f>
        <x:v>0</x:v>
      </x:c>
      <x:c r="R94" t="n">
        <x:f>IF(ISNUMBER('Target Products'!I94),1,0)</x:f>
        <x:v>1</x:v>
      </x:c>
      <x:c r="S94" t="n">
        <x:f>IF(ISNUMBER('Target Products'!J94),1,0)</x:f>
        <x:v>1</x:v>
      </x:c>
      <x:c r="T94" t="n">
        <x:f>IF(ISNUMBER('Target Products'!K94),1,0)</x:f>
        <x:v>1</x:v>
      </x:c>
      <x:c r="U94" t="n">
        <x:f>IF(LEN('Target Products'!L94)&gt;0,1,0)</x:f>
        <x:v>1</x:v>
      </x:c>
    </x:row>
    <x:row r="95">
      <x:c r="M95" t="n">
        <x:f>IF(LEN('Target Products'!C95)&gt;0,1,0)</x:f>
        <x:v>1</x:v>
      </x:c>
      <x:c r="N95" t="n">
        <x:f>IF(LEN('Target Products'!D95)&gt;0,1,0)</x:f>
        <x:v>1</x:v>
      </x:c>
      <x:c r="O95" t="n">
        <x:f>IF(LEN('Target Products'!F95)&gt;0,1,0)</x:f>
        <x:v>1</x:v>
      </x:c>
      <x:c r="P95" t="n">
        <x:f>IF(LEN('Target Products'!G95)&gt;0,1,0)</x:f>
        <x:v>1</x:v>
      </x:c>
      <x:c r="Q95" t="n">
        <x:f>IF(LEN('Target Products'!H95)&gt;0,1,0)</x:f>
        <x:v>0</x:v>
      </x:c>
      <x:c r="R95" t="n">
        <x:f>IF(ISNUMBER('Target Products'!I95),1,0)</x:f>
        <x:v>1</x:v>
      </x:c>
      <x:c r="S95" t="n">
        <x:f>IF(ISNUMBER('Target Products'!J95),1,0)</x:f>
        <x:v>1</x:v>
      </x:c>
      <x:c r="T95" t="n">
        <x:f>IF(ISNUMBER('Target Products'!K95),1,0)</x:f>
        <x:v>1</x:v>
      </x:c>
      <x:c r="U95" t="n">
        <x:f>IF(LEN('Target Products'!L95)&gt;0,1,0)</x:f>
        <x:v>1</x:v>
      </x:c>
    </x:row>
    <x:row r="96">
      <x:c r="M96" t="n">
        <x:f>IF(LEN('Target Products'!C96)&gt;0,1,0)</x:f>
        <x:v>1</x:v>
      </x:c>
      <x:c r="N96" t="n">
        <x:f>IF(LEN('Target Products'!D96)&gt;0,1,0)</x:f>
        <x:v>1</x:v>
      </x:c>
      <x:c r="O96" t="n">
        <x:f>IF(LEN('Target Products'!F96)&gt;0,1,0)</x:f>
        <x:v>1</x:v>
      </x:c>
      <x:c r="P96" t="n">
        <x:f>IF(LEN('Target Products'!G96)&gt;0,1,0)</x:f>
        <x:v>1</x:v>
      </x:c>
      <x:c r="Q96" t="n">
        <x:f>IF(LEN('Target Products'!H96)&gt;0,1,0)</x:f>
        <x:v>0</x:v>
      </x:c>
      <x:c r="R96" t="n">
        <x:f>IF(ISNUMBER('Target Products'!I96),1,0)</x:f>
        <x:v>0</x:v>
      </x:c>
      <x:c r="S96" t="n">
        <x:f>IF(ISNUMBER('Target Products'!J96),1,0)</x:f>
        <x:v>1</x:v>
      </x:c>
      <x:c r="T96" t="n">
        <x:f>IF(ISNUMBER('Target Products'!K96),1,0)</x:f>
        <x:v>1</x:v>
      </x:c>
      <x:c r="U96" t="n">
        <x:f>IF(LEN('Target Products'!L96)&gt;0,1,0)</x:f>
        <x:v>1</x:v>
      </x:c>
    </x:row>
    <x:row r="97">
      <x:c r="M97" t="n">
        <x:f>IF(LEN('Target Products'!C97)&gt;0,1,0)</x:f>
        <x:v>1</x:v>
      </x:c>
      <x:c r="N97" t="n">
        <x:f>IF(LEN('Target Products'!D97)&gt;0,1,0)</x:f>
        <x:v>1</x:v>
      </x:c>
      <x:c r="O97" t="n">
        <x:f>IF(LEN('Target Products'!F97)&gt;0,1,0)</x:f>
        <x:v>1</x:v>
      </x:c>
      <x:c r="P97" t="n">
        <x:f>IF(LEN('Target Products'!G97)&gt;0,1,0)</x:f>
        <x:v>1</x:v>
      </x:c>
      <x:c r="Q97" t="n">
        <x:f>IF(LEN('Target Products'!H97)&gt;0,1,0)</x:f>
        <x:v>1</x:v>
      </x:c>
      <x:c r="R97" t="n">
        <x:f>IF(ISNUMBER('Target Products'!I97),1,0)</x:f>
        <x:v>1</x:v>
      </x:c>
      <x:c r="S97" t="n">
        <x:f>IF(ISNUMBER('Target Products'!J97),1,0)</x:f>
        <x:v>1</x:v>
      </x:c>
      <x:c r="T97" t="n">
        <x:f>IF(ISNUMBER('Target Products'!K97),1,0)</x:f>
        <x:v>1</x:v>
      </x:c>
      <x:c r="U97" t="n">
        <x:f>IF(LEN('Target Products'!L97)&gt;0,1,0)</x:f>
        <x:v>1</x:v>
      </x:c>
    </x:row>
    <x:row r="98">
      <x:c r="M98" t="n">
        <x:f>IF(LEN('Target Products'!C98)&gt;0,1,0)</x:f>
        <x:v>1</x:v>
      </x:c>
      <x:c r="N98" t="n">
        <x:f>IF(LEN('Target Products'!D98)&gt;0,1,0)</x:f>
        <x:v>1</x:v>
      </x:c>
      <x:c r="O98" t="n">
        <x:f>IF(LEN('Target Products'!F98)&gt;0,1,0)</x:f>
        <x:v>1</x:v>
      </x:c>
      <x:c r="P98" t="n">
        <x:f>IF(LEN('Target Products'!G98)&gt;0,1,0)</x:f>
        <x:v>1</x:v>
      </x:c>
      <x:c r="Q98" t="n">
        <x:f>IF(LEN('Target Products'!H98)&gt;0,1,0)</x:f>
        <x:v>1</x:v>
      </x:c>
      <x:c r="R98" t="n">
        <x:f>IF(ISNUMBER('Target Products'!I98),1,0)</x:f>
        <x:v>0</x:v>
      </x:c>
      <x:c r="S98" t="n">
        <x:f>IF(ISNUMBER('Target Products'!J98),1,0)</x:f>
        <x:v>1</x:v>
      </x:c>
      <x:c r="T98" t="n">
        <x:f>IF(ISNUMBER('Target Products'!K98),1,0)</x:f>
        <x:v>1</x:v>
      </x:c>
      <x:c r="U98" t="n">
        <x:f>IF(LEN('Target Products'!L98)&gt;0,1,0)</x:f>
        <x:v>1</x:v>
      </x:c>
    </x:row>
    <x:row r="99">
      <x:c r="M99" t="n">
        <x:f>IF(LEN('Target Products'!C99)&gt;0,1,0)</x:f>
        <x:v>1</x:v>
      </x:c>
      <x:c r="N99" t="n">
        <x:f>IF(LEN('Target Products'!D99)&gt;0,1,0)</x:f>
        <x:v>1</x:v>
      </x:c>
      <x:c r="O99" t="n">
        <x:f>IF(LEN('Target Products'!F99)&gt;0,1,0)</x:f>
        <x:v>1</x:v>
      </x:c>
      <x:c r="P99" t="n">
        <x:f>IF(LEN('Target Products'!G99)&gt;0,1,0)</x:f>
        <x:v>1</x:v>
      </x:c>
      <x:c r="Q99" t="n">
        <x:f>IF(LEN('Target Products'!H99)&gt;0,1,0)</x:f>
        <x:v>0</x:v>
      </x:c>
      <x:c r="R99" t="n">
        <x:f>IF(ISNUMBER('Target Products'!I99),1,0)</x:f>
        <x:v>1</x:v>
      </x:c>
      <x:c r="S99" t="n">
        <x:f>IF(ISNUMBER('Target Products'!J99),1,0)</x:f>
        <x:v>1</x:v>
      </x:c>
      <x:c r="T99" t="n">
        <x:f>IF(ISNUMBER('Target Products'!K99),1,0)</x:f>
        <x:v>1</x:v>
      </x:c>
      <x:c r="U99" t="n">
        <x:f>IF(LEN('Target Products'!L99)&gt;0,1,0)</x:f>
        <x:v>1</x:v>
      </x:c>
    </x:row>
    <x:row r="100">
      <x:c r="M100" t="n">
        <x:f>IF(LEN('Target Products'!C100)&gt;0,1,0)</x:f>
        <x:v>1</x:v>
      </x:c>
      <x:c r="N100" t="n">
        <x:f>IF(LEN('Target Products'!D100)&gt;0,1,0)</x:f>
        <x:v>1</x:v>
      </x:c>
      <x:c r="O100" t="n">
        <x:f>IF(LEN('Target Products'!F100)&gt;0,1,0)</x:f>
        <x:v>1</x:v>
      </x:c>
      <x:c r="P100" t="n">
        <x:f>IF(LEN('Target Products'!G100)&gt;0,1,0)</x:f>
        <x:v>1</x:v>
      </x:c>
      <x:c r="Q100" t="n">
        <x:f>IF(LEN('Target Products'!H100)&gt;0,1,0)</x:f>
        <x:v>0</x:v>
      </x:c>
      <x:c r="R100" t="n">
        <x:f>IF(ISNUMBER('Target Products'!I100),1,0)</x:f>
        <x:v>1</x:v>
      </x:c>
      <x:c r="S100" t="n">
        <x:f>IF(ISNUMBER('Target Products'!J100),1,0)</x:f>
        <x:v>1</x:v>
      </x:c>
      <x:c r="T100" t="n">
        <x:f>IF(ISNUMBER('Target Products'!K100),1,0)</x:f>
        <x:v>1</x:v>
      </x:c>
      <x:c r="U100" t="n">
        <x:f>IF(LEN('Target Products'!L100)&gt;0,1,0)</x:f>
        <x:v>1</x:v>
      </x:c>
    </x:row>
    <x:row r="101">
      <x:c r="M101" t="n">
        <x:f>IF(LEN('Target Products'!C101)&gt;0,1,0)</x:f>
        <x:v>1</x:v>
      </x:c>
      <x:c r="N101" t="n">
        <x:f>IF(LEN('Target Products'!D101)&gt;0,1,0)</x:f>
        <x:v>1</x:v>
      </x:c>
      <x:c r="O101" t="n">
        <x:f>IF(LEN('Target Products'!F101)&gt;0,1,0)</x:f>
        <x:v>1</x:v>
      </x:c>
      <x:c r="P101" t="n">
        <x:f>IF(LEN('Target Products'!G101)&gt;0,1,0)</x:f>
        <x:v>1</x:v>
      </x:c>
      <x:c r="Q101" t="n">
        <x:f>IF(LEN('Target Products'!H101)&gt;0,1,0)</x:f>
        <x:v>1</x:v>
      </x:c>
      <x:c r="R101" t="n">
        <x:f>IF(ISNUMBER('Target Products'!I101),1,0)</x:f>
        <x:v>1</x:v>
      </x:c>
      <x:c r="S101" t="n">
        <x:f>IF(ISNUMBER('Target Products'!J101),1,0)</x:f>
        <x:v>1</x:v>
      </x:c>
      <x:c r="T101" t="n">
        <x:f>IF(ISNUMBER('Target Products'!K101),1,0)</x:f>
        <x:v>1</x:v>
      </x:c>
      <x:c r="U101" t="n">
        <x:f>IF(LEN('Target Products'!L101)&gt;0,1,0)</x:f>
        <x:v>1</x:v>
      </x:c>
    </x:row>
    <x:row r="102">
      <x:c r="M102" t="n">
        <x:f>IF(LEN('Target Products'!C102)&gt;0,1,0)</x:f>
        <x:v>1</x:v>
      </x:c>
      <x:c r="N102" t="n">
        <x:f>IF(LEN('Target Products'!D102)&gt;0,1,0)</x:f>
        <x:v>1</x:v>
      </x:c>
      <x:c r="O102" t="n">
        <x:f>IF(LEN('Target Products'!F102)&gt;0,1,0)</x:f>
        <x:v>1</x:v>
      </x:c>
      <x:c r="P102" t="n">
        <x:f>IF(LEN('Target Products'!G102)&gt;0,1,0)</x:f>
        <x:v>1</x:v>
      </x:c>
      <x:c r="Q102" t="n">
        <x:f>IF(LEN('Target Products'!H102)&gt;0,1,0)</x:f>
        <x:v>1</x:v>
      </x:c>
      <x:c r="R102" t="n">
        <x:f>IF(ISNUMBER('Target Products'!I102),1,0)</x:f>
        <x:v>0</x:v>
      </x:c>
      <x:c r="S102" t="n">
        <x:f>IF(ISNUMBER('Target Products'!J102),1,0)</x:f>
        <x:v>1</x:v>
      </x:c>
      <x:c r="T102" t="n">
        <x:f>IF(ISNUMBER('Target Products'!K102),1,0)</x:f>
        <x:v>1</x:v>
      </x:c>
      <x:c r="U102" t="n">
        <x:f>IF(LEN('Target Products'!L102)&gt;0,1,0)</x:f>
        <x:v>1</x:v>
      </x:c>
    </x:row>
    <x:row r="103">
      <x:c r="M103" t="n">
        <x:f>IF(LEN('Target Products'!C103)&gt;0,1,0)</x:f>
        <x:v>1</x:v>
      </x:c>
      <x:c r="N103" t="n">
        <x:f>IF(LEN('Target Products'!D103)&gt;0,1,0)</x:f>
        <x:v>1</x:v>
      </x:c>
      <x:c r="O103" t="n">
        <x:f>IF(LEN('Target Products'!F103)&gt;0,1,0)</x:f>
        <x:v>1</x:v>
      </x:c>
      <x:c r="P103" t="n">
        <x:f>IF(LEN('Target Products'!G103)&gt;0,1,0)</x:f>
        <x:v>1</x:v>
      </x:c>
      <x:c r="Q103" t="n">
        <x:f>IF(LEN('Target Products'!H103)&gt;0,1,0)</x:f>
        <x:v>1</x:v>
      </x:c>
      <x:c r="R103" t="n">
        <x:f>IF(ISNUMBER('Target Products'!I103),1,0)</x:f>
        <x:v>0</x:v>
      </x:c>
      <x:c r="S103" t="n">
        <x:f>IF(ISNUMBER('Target Products'!J103),1,0)</x:f>
        <x:v>1</x:v>
      </x:c>
      <x:c r="T103" t="n">
        <x:f>IF(ISNUMBER('Target Products'!K103),1,0)</x:f>
        <x:v>1</x:v>
      </x:c>
      <x:c r="U103" t="n">
        <x:f>IF(LEN('Target Products'!L103)&gt;0,1,0)</x:f>
        <x:v>1</x:v>
      </x:c>
    </x:row>
    <x:row r="104">
      <x:c r="M104" t="n">
        <x:f>IF(LEN('Target Products'!C104)&gt;0,1,0)</x:f>
        <x:v>1</x:v>
      </x:c>
      <x:c r="N104" t="n">
        <x:f>IF(LEN('Target Products'!D104)&gt;0,1,0)</x:f>
        <x:v>1</x:v>
      </x:c>
      <x:c r="O104" t="n">
        <x:f>IF(LEN('Target Products'!F104)&gt;0,1,0)</x:f>
        <x:v>1</x:v>
      </x:c>
      <x:c r="P104" t="n">
        <x:f>IF(LEN('Target Products'!G104)&gt;0,1,0)</x:f>
        <x:v>1</x:v>
      </x:c>
      <x:c r="Q104" t="n">
        <x:f>IF(LEN('Target Products'!H104)&gt;0,1,0)</x:f>
        <x:v>0</x:v>
      </x:c>
      <x:c r="R104" t="n">
        <x:f>IF(ISNUMBER('Target Products'!I104),1,0)</x:f>
        <x:v>0</x:v>
      </x:c>
      <x:c r="S104" t="n">
        <x:f>IF(ISNUMBER('Target Products'!J104),1,0)</x:f>
        <x:v>1</x:v>
      </x:c>
      <x:c r="T104" t="n">
        <x:f>IF(ISNUMBER('Target Products'!K104),1,0)</x:f>
        <x:v>1</x:v>
      </x:c>
      <x:c r="U104" t="n">
        <x:f>IF(LEN('Target Products'!L104)&gt;0,1,0)</x:f>
        <x:v>1</x:v>
      </x:c>
    </x:row>
    <x:row r="105">
      <x:c r="M105" t="n">
        <x:f>IF(LEN('Target Products'!C105)&gt;0,1,0)</x:f>
        <x:v>1</x:v>
      </x:c>
      <x:c r="N105" t="n">
        <x:f>IF(LEN('Target Products'!D105)&gt;0,1,0)</x:f>
        <x:v>1</x:v>
      </x:c>
      <x:c r="O105" t="n">
        <x:f>IF(LEN('Target Products'!F105)&gt;0,1,0)</x:f>
        <x:v>1</x:v>
      </x:c>
      <x:c r="P105" t="n">
        <x:f>IF(LEN('Target Products'!G105)&gt;0,1,0)</x:f>
        <x:v>1</x:v>
      </x:c>
      <x:c r="Q105" t="n">
        <x:f>IF(LEN('Target Products'!H105)&gt;0,1,0)</x:f>
        <x:v>0</x:v>
      </x:c>
      <x:c r="R105" t="n">
        <x:f>IF(ISNUMBER('Target Products'!I105),1,0)</x:f>
        <x:v>1</x:v>
      </x:c>
      <x:c r="S105" t="n">
        <x:f>IF(ISNUMBER('Target Products'!J105),1,0)</x:f>
        <x:v>1</x:v>
      </x:c>
      <x:c r="T105" t="n">
        <x:f>IF(ISNUMBER('Target Products'!K105),1,0)</x:f>
        <x:v>1</x:v>
      </x:c>
      <x:c r="U105" t="n">
        <x:f>IF(LEN('Target Products'!L105)&gt;0,1,0)</x:f>
        <x:v>1</x:v>
      </x:c>
    </x:row>
    <x:row r="106">
      <x:c r="M106" t="n">
        <x:f>IF(LEN('Target Products'!C106)&gt;0,1,0)</x:f>
        <x:v>1</x:v>
      </x:c>
      <x:c r="N106" t="n">
        <x:f>IF(LEN('Target Products'!D106)&gt;0,1,0)</x:f>
        <x:v>1</x:v>
      </x:c>
      <x:c r="O106" t="n">
        <x:f>IF(LEN('Target Products'!F106)&gt;0,1,0)</x:f>
        <x:v>1</x:v>
      </x:c>
      <x:c r="P106" t="n">
        <x:f>IF(LEN('Target Products'!G106)&gt;0,1,0)</x:f>
        <x:v>1</x:v>
      </x:c>
      <x:c r="Q106" t="n">
        <x:f>IF(LEN('Target Products'!H106)&gt;0,1,0)</x:f>
        <x:v>0</x:v>
      </x:c>
      <x:c r="R106" t="n">
        <x:f>IF(ISNUMBER('Target Products'!I106),1,0)</x:f>
        <x:v>1</x:v>
      </x:c>
      <x:c r="S106" t="n">
        <x:f>IF(ISNUMBER('Target Products'!J106),1,0)</x:f>
        <x:v>1</x:v>
      </x:c>
      <x:c r="T106" t="n">
        <x:f>IF(ISNUMBER('Target Products'!K106),1,0)</x:f>
        <x:v>1</x:v>
      </x:c>
      <x:c r="U106" t="n">
        <x:f>IF(LEN('Target Products'!L106)&gt;0,1,0)</x:f>
        <x:v>1</x:v>
      </x:c>
    </x:row>
    <x:row r="107">
      <x:c r="M107" t="n">
        <x:f>IF(LEN('Target Products'!C107)&gt;0,1,0)</x:f>
        <x:v>1</x:v>
      </x:c>
      <x:c r="N107" t="n">
        <x:f>IF(LEN('Target Products'!D107)&gt;0,1,0)</x:f>
        <x:v>1</x:v>
      </x:c>
      <x:c r="O107" t="n">
        <x:f>IF(LEN('Target Products'!F107)&gt;0,1,0)</x:f>
        <x:v>1</x:v>
      </x:c>
      <x:c r="P107" t="n">
        <x:f>IF(LEN('Target Products'!G107)&gt;0,1,0)</x:f>
        <x:v>1</x:v>
      </x:c>
      <x:c r="Q107" t="n">
        <x:f>IF(LEN('Target Products'!H107)&gt;0,1,0)</x:f>
        <x:v>0</x:v>
      </x:c>
      <x:c r="R107" t="n">
        <x:f>IF(ISNUMBER('Target Products'!I107),1,0)</x:f>
        <x:v>1</x:v>
      </x:c>
      <x:c r="S107" t="n">
        <x:f>IF(ISNUMBER('Target Products'!J107),1,0)</x:f>
        <x:v>1</x:v>
      </x:c>
      <x:c r="T107" t="n">
        <x:f>IF(ISNUMBER('Target Products'!K107),1,0)</x:f>
        <x:v>1</x:v>
      </x:c>
      <x:c r="U107" t="n">
        <x:f>IF(LEN('Target Products'!L107)&gt;0,1,0)</x:f>
        <x:v>1</x:v>
      </x:c>
    </x:row>
    <x:row r="108">
      <x:c r="M108" t="n">
        <x:f>IF(LEN('Target Products'!C108)&gt;0,1,0)</x:f>
        <x:v>1</x:v>
      </x:c>
      <x:c r="N108" t="n">
        <x:f>IF(LEN('Target Products'!D108)&gt;0,1,0)</x:f>
        <x:v>1</x:v>
      </x:c>
      <x:c r="O108" t="n">
        <x:f>IF(LEN('Target Products'!F108)&gt;0,1,0)</x:f>
        <x:v>1</x:v>
      </x:c>
      <x:c r="P108" t="n">
        <x:f>IF(LEN('Target Products'!G108)&gt;0,1,0)</x:f>
        <x:v>1</x:v>
      </x:c>
      <x:c r="Q108" t="n">
        <x:f>IF(LEN('Target Products'!H108)&gt;0,1,0)</x:f>
        <x:v>0</x:v>
      </x:c>
      <x:c r="R108" t="n">
        <x:f>IF(ISNUMBER('Target Products'!I108),1,0)</x:f>
        <x:v>1</x:v>
      </x:c>
      <x:c r="S108" t="n">
        <x:f>IF(ISNUMBER('Target Products'!J108),1,0)</x:f>
        <x:v>1</x:v>
      </x:c>
      <x:c r="T108" t="n">
        <x:f>IF(ISNUMBER('Target Products'!K108),1,0)</x:f>
        <x:v>1</x:v>
      </x:c>
      <x:c r="U108" t="n">
        <x:f>IF(LEN('Target Products'!L108)&gt;0,1,0)</x:f>
        <x:v>1</x:v>
      </x:c>
    </x:row>
    <x:row r="109">
      <x:c r="M109" t="n">
        <x:f>IF(LEN('Target Products'!C109)&gt;0,1,0)</x:f>
        <x:v>1</x:v>
      </x:c>
      <x:c r="N109" t="n">
        <x:f>IF(LEN('Target Products'!D109)&gt;0,1,0)</x:f>
        <x:v>1</x:v>
      </x:c>
      <x:c r="O109" t="n">
        <x:f>IF(LEN('Target Products'!F109)&gt;0,1,0)</x:f>
        <x:v>1</x:v>
      </x:c>
      <x:c r="P109" t="n">
        <x:f>IF(LEN('Target Products'!G109)&gt;0,1,0)</x:f>
        <x:v>1</x:v>
      </x:c>
      <x:c r="Q109" t="n">
        <x:f>IF(LEN('Target Products'!H109)&gt;0,1,0)</x:f>
        <x:v>0</x:v>
      </x:c>
      <x:c r="R109" t="n">
        <x:f>IF(ISNUMBER('Target Products'!I109),1,0)</x:f>
        <x:v>1</x:v>
      </x:c>
      <x:c r="S109" t="n">
        <x:f>IF(ISNUMBER('Target Products'!J109),1,0)</x:f>
        <x:v>1</x:v>
      </x:c>
      <x:c r="T109" t="n">
        <x:f>IF(ISNUMBER('Target Products'!K109),1,0)</x:f>
        <x:v>1</x:v>
      </x:c>
      <x:c r="U109" t="n">
        <x:f>IF(LEN('Target Products'!L109)&gt;0,1,0)</x:f>
        <x:v>1</x:v>
      </x:c>
    </x:row>
    <x:row r="110">
      <x:c r="M110" t="n">
        <x:f>IF(LEN('Target Products'!C110)&gt;0,1,0)</x:f>
        <x:v>1</x:v>
      </x:c>
      <x:c r="N110" t="n">
        <x:f>IF(LEN('Target Products'!D110)&gt;0,1,0)</x:f>
        <x:v>1</x:v>
      </x:c>
      <x:c r="O110" t="n">
        <x:f>IF(LEN('Target Products'!F110)&gt;0,1,0)</x:f>
        <x:v>1</x:v>
      </x:c>
      <x:c r="P110" t="n">
        <x:f>IF(LEN('Target Products'!G110)&gt;0,1,0)</x:f>
        <x:v>1</x:v>
      </x:c>
      <x:c r="Q110" t="n">
        <x:f>IF(LEN('Target Products'!H110)&gt;0,1,0)</x:f>
        <x:v>1</x:v>
      </x:c>
      <x:c r="R110" t="n">
        <x:f>IF(ISNUMBER('Target Products'!I110),1,0)</x:f>
        <x:v>0</x:v>
      </x:c>
      <x:c r="S110" t="n">
        <x:f>IF(ISNUMBER('Target Products'!J110),1,0)</x:f>
        <x:v>1</x:v>
      </x:c>
      <x:c r="T110" t="n">
        <x:f>IF(ISNUMBER('Target Products'!K110),1,0)</x:f>
        <x:v>1</x:v>
      </x:c>
      <x:c r="U110" t="n">
        <x:f>IF(LEN('Target Products'!L110)&gt;0,1,0)</x:f>
        <x:v>1</x:v>
      </x:c>
    </x:row>
    <x:row r="111">
      <x:c r="M111" t="n">
        <x:f>IF(LEN('Target Products'!C111)&gt;0,1,0)</x:f>
        <x:v>1</x:v>
      </x:c>
      <x:c r="N111" t="n">
        <x:f>IF(LEN('Target Products'!D111)&gt;0,1,0)</x:f>
        <x:v>1</x:v>
      </x:c>
      <x:c r="O111" t="n">
        <x:f>IF(LEN('Target Products'!F111)&gt;0,1,0)</x:f>
        <x:v>1</x:v>
      </x:c>
      <x:c r="P111" t="n">
        <x:f>IF(LEN('Target Products'!G111)&gt;0,1,0)</x:f>
        <x:v>1</x:v>
      </x:c>
      <x:c r="Q111" t="n">
        <x:f>IF(LEN('Target Products'!H111)&gt;0,1,0)</x:f>
        <x:v>0</x:v>
      </x:c>
      <x:c r="R111" t="n">
        <x:f>IF(ISNUMBER('Target Products'!I111),1,0)</x:f>
        <x:v>1</x:v>
      </x:c>
      <x:c r="S111" t="n">
        <x:f>IF(ISNUMBER('Target Products'!J111),1,0)</x:f>
        <x:v>1</x:v>
      </x:c>
      <x:c r="T111" t="n">
        <x:f>IF(ISNUMBER('Target Products'!K111),1,0)</x:f>
        <x:v>1</x:v>
      </x:c>
      <x:c r="U111" t="n">
        <x:f>IF(LEN('Target Products'!L111)&gt;0,1,0)</x:f>
        <x:v>1</x:v>
      </x:c>
    </x:row>
    <x:row r="112">
      <x:c r="M112" t="n">
        <x:f>IF(LEN('Target Products'!C112)&gt;0,1,0)</x:f>
        <x:v>1</x:v>
      </x:c>
      <x:c r="N112" t="n">
        <x:f>IF(LEN('Target Products'!D112)&gt;0,1,0)</x:f>
        <x:v>1</x:v>
      </x:c>
      <x:c r="O112" t="n">
        <x:f>IF(LEN('Target Products'!F112)&gt;0,1,0)</x:f>
        <x:v>1</x:v>
      </x:c>
      <x:c r="P112" t="n">
        <x:f>IF(LEN('Target Products'!G112)&gt;0,1,0)</x:f>
        <x:v>1</x:v>
      </x:c>
      <x:c r="Q112" t="n">
        <x:f>IF(LEN('Target Products'!H112)&gt;0,1,0)</x:f>
        <x:v>1</x:v>
      </x:c>
      <x:c r="R112" t="n">
        <x:f>IF(ISNUMBER('Target Products'!I112),1,0)</x:f>
        <x:v>1</x:v>
      </x:c>
      <x:c r="S112" t="n">
        <x:f>IF(ISNUMBER('Target Products'!J112),1,0)</x:f>
        <x:v>1</x:v>
      </x:c>
      <x:c r="T112" t="n">
        <x:f>IF(ISNUMBER('Target Products'!K112),1,0)</x:f>
        <x:v>1</x:v>
      </x:c>
      <x:c r="U112" t="n">
        <x:f>IF(LEN('Target Products'!L112)&gt;0,1,0)</x:f>
        <x:v>1</x:v>
      </x:c>
    </x:row>
    <x:row r="113">
      <x:c r="M113" t="n">
        <x:f>IF(LEN('Target Products'!C113)&gt;0,1,0)</x:f>
        <x:v>1</x:v>
      </x:c>
      <x:c r="N113" t="n">
        <x:f>IF(LEN('Target Products'!D113)&gt;0,1,0)</x:f>
        <x:v>1</x:v>
      </x:c>
      <x:c r="O113" t="n">
        <x:f>IF(LEN('Target Products'!F113)&gt;0,1,0)</x:f>
        <x:v>1</x:v>
      </x:c>
      <x:c r="P113" t="n">
        <x:f>IF(LEN('Target Products'!G113)&gt;0,1,0)</x:f>
        <x:v>1</x:v>
      </x:c>
      <x:c r="Q113" t="n">
        <x:f>IF(LEN('Target Products'!H113)&gt;0,1,0)</x:f>
        <x:v>1</x:v>
      </x:c>
      <x:c r="R113" t="n">
        <x:f>IF(ISNUMBER('Target Products'!I113),1,0)</x:f>
        <x:v>1</x:v>
      </x:c>
      <x:c r="S113" t="n">
        <x:f>IF(ISNUMBER('Target Products'!J113),1,0)</x:f>
        <x:v>1</x:v>
      </x:c>
      <x:c r="T113" t="n">
        <x:f>IF(ISNUMBER('Target Products'!K113),1,0)</x:f>
        <x:v>1</x:v>
      </x:c>
      <x:c r="U113" t="n">
        <x:f>IF(LEN('Target Products'!L113)&gt;0,1,0)</x:f>
        <x:v>1</x:v>
      </x:c>
    </x:row>
    <x:row r="114">
      <x:c r="M114" t="n">
        <x:f>IF(LEN('Target Products'!C114)&gt;0,1,0)</x:f>
        <x:v>1</x:v>
      </x:c>
      <x:c r="N114" t="n">
        <x:f>IF(LEN('Target Products'!D114)&gt;0,1,0)</x:f>
        <x:v>1</x:v>
      </x:c>
      <x:c r="O114" t="n">
        <x:f>IF(LEN('Target Products'!F114)&gt;0,1,0)</x:f>
        <x:v>1</x:v>
      </x:c>
      <x:c r="P114" t="n">
        <x:f>IF(LEN('Target Products'!G114)&gt;0,1,0)</x:f>
        <x:v>1</x:v>
      </x:c>
      <x:c r="Q114" t="n">
        <x:f>IF(LEN('Target Products'!H114)&gt;0,1,0)</x:f>
        <x:v>1</x:v>
      </x:c>
      <x:c r="R114" t="n">
        <x:f>IF(ISNUMBER('Target Products'!I114),1,0)</x:f>
        <x:v>1</x:v>
      </x:c>
      <x:c r="S114" t="n">
        <x:f>IF(ISNUMBER('Target Products'!J114),1,0)</x:f>
        <x:v>1</x:v>
      </x:c>
      <x:c r="T114" t="n">
        <x:f>IF(ISNUMBER('Target Products'!K114),1,0)</x:f>
        <x:v>1</x:v>
      </x:c>
      <x:c r="U114" t="n">
        <x:f>IF(LEN('Target Products'!L114)&gt;0,1,0)</x:f>
        <x:v>1</x:v>
      </x:c>
    </x:row>
    <x:row r="115">
      <x:c r="M115" t="n">
        <x:f>IF(LEN('Target Products'!C115)&gt;0,1,0)</x:f>
        <x:v>1</x:v>
      </x:c>
      <x:c r="N115" t="n">
        <x:f>IF(LEN('Target Products'!D115)&gt;0,1,0)</x:f>
        <x:v>1</x:v>
      </x:c>
      <x:c r="O115" t="n">
        <x:f>IF(LEN('Target Products'!F115)&gt;0,1,0)</x:f>
        <x:v>1</x:v>
      </x:c>
      <x:c r="P115" t="n">
        <x:f>IF(LEN('Target Products'!G115)&gt;0,1,0)</x:f>
        <x:v>1</x:v>
      </x:c>
      <x:c r="Q115" t="n">
        <x:f>IF(LEN('Target Products'!H115)&gt;0,1,0)</x:f>
        <x:v>0</x:v>
      </x:c>
      <x:c r="R115" t="n">
        <x:f>IF(ISNUMBER('Target Products'!I115),1,0)</x:f>
        <x:v>1</x:v>
      </x:c>
      <x:c r="S115" t="n">
        <x:f>IF(ISNUMBER('Target Products'!J115),1,0)</x:f>
        <x:v>1</x:v>
      </x:c>
      <x:c r="T115" t="n">
        <x:f>IF(ISNUMBER('Target Products'!K115),1,0)</x:f>
        <x:v>1</x:v>
      </x:c>
      <x:c r="U115" t="n">
        <x:f>IF(LEN('Target Products'!L115)&gt;0,1,0)</x:f>
        <x:v>1</x:v>
      </x:c>
    </x:row>
    <x:row r="116">
      <x:c r="M116" t="n">
        <x:f>IF(LEN('Target Products'!C116)&gt;0,1,0)</x:f>
        <x:v>1</x:v>
      </x:c>
      <x:c r="N116" t="n">
        <x:f>IF(LEN('Target Products'!D116)&gt;0,1,0)</x:f>
        <x:v>1</x:v>
      </x:c>
      <x:c r="O116" t="n">
        <x:f>IF(LEN('Target Products'!F116)&gt;0,1,0)</x:f>
        <x:v>1</x:v>
      </x:c>
      <x:c r="P116" t="n">
        <x:f>IF(LEN('Target Products'!G116)&gt;0,1,0)</x:f>
        <x:v>1</x:v>
      </x:c>
      <x:c r="Q116" t="n">
        <x:f>IF(LEN('Target Products'!H116)&gt;0,1,0)</x:f>
        <x:v>0</x:v>
      </x:c>
      <x:c r="R116" t="n">
        <x:f>IF(ISNUMBER('Target Products'!I116),1,0)</x:f>
        <x:v>1</x:v>
      </x:c>
      <x:c r="S116" t="n">
        <x:f>IF(ISNUMBER('Target Products'!J116),1,0)</x:f>
        <x:v>1</x:v>
      </x:c>
      <x:c r="T116" t="n">
        <x:f>IF(ISNUMBER('Target Products'!K116),1,0)</x:f>
        <x:v>1</x:v>
      </x:c>
      <x:c r="U116" t="n">
        <x:f>IF(LEN('Target Products'!L116)&gt;0,1,0)</x:f>
        <x:v>1</x:v>
      </x:c>
    </x:row>
    <x:row r="117">
      <x:c r="M117" t="n">
        <x:f>IF(LEN('Target Products'!C117)&gt;0,1,0)</x:f>
        <x:v>1</x:v>
      </x:c>
      <x:c r="N117" t="n">
        <x:f>IF(LEN('Target Products'!D117)&gt;0,1,0)</x:f>
        <x:v>1</x:v>
      </x:c>
      <x:c r="O117" t="n">
        <x:f>IF(LEN('Target Products'!F117)&gt;0,1,0)</x:f>
        <x:v>1</x:v>
      </x:c>
      <x:c r="P117" t="n">
        <x:f>IF(LEN('Target Products'!G117)&gt;0,1,0)</x:f>
        <x:v>1</x:v>
      </x:c>
      <x:c r="Q117" t="n">
        <x:f>IF(LEN('Target Products'!H117)&gt;0,1,0)</x:f>
        <x:v>0</x:v>
      </x:c>
      <x:c r="R117" t="n">
        <x:f>IF(ISNUMBER('Target Products'!I117),1,0)</x:f>
        <x:v>1</x:v>
      </x:c>
      <x:c r="S117" t="n">
        <x:f>IF(ISNUMBER('Target Products'!J117),1,0)</x:f>
        <x:v>1</x:v>
      </x:c>
      <x:c r="T117" t="n">
        <x:f>IF(ISNUMBER('Target Products'!K117),1,0)</x:f>
        <x:v>1</x:v>
      </x:c>
      <x:c r="U117" t="n">
        <x:f>IF(LEN('Target Products'!L117)&gt;0,1,0)</x:f>
        <x:v>1</x:v>
      </x:c>
    </x:row>
    <x:row r="118">
      <x:c r="M118" t="n">
        <x:f>IF(LEN('Target Products'!C118)&gt;0,1,0)</x:f>
        <x:v>1</x:v>
      </x:c>
      <x:c r="N118" t="n">
        <x:f>IF(LEN('Target Products'!D118)&gt;0,1,0)</x:f>
        <x:v>1</x:v>
      </x:c>
      <x:c r="O118" t="n">
        <x:f>IF(LEN('Target Products'!F118)&gt;0,1,0)</x:f>
        <x:v>1</x:v>
      </x:c>
      <x:c r="P118" t="n">
        <x:f>IF(LEN('Target Products'!G118)&gt;0,1,0)</x:f>
        <x:v>1</x:v>
      </x:c>
      <x:c r="Q118" t="n">
        <x:f>IF(LEN('Target Products'!H118)&gt;0,1,0)</x:f>
        <x:v>0</x:v>
      </x:c>
      <x:c r="R118" t="n">
        <x:f>IF(ISNUMBER('Target Products'!I118),1,0)</x:f>
        <x:v>1</x:v>
      </x:c>
      <x:c r="S118" t="n">
        <x:f>IF(ISNUMBER('Target Products'!J118),1,0)</x:f>
        <x:v>1</x:v>
      </x:c>
      <x:c r="T118" t="n">
        <x:f>IF(ISNUMBER('Target Products'!K118),1,0)</x:f>
        <x:v>1</x:v>
      </x:c>
      <x:c r="U118" t="n">
        <x:f>IF(LEN('Target Products'!L118)&gt;0,1,0)</x:f>
        <x:v>1</x:v>
      </x:c>
    </x:row>
    <x:row r="119">
      <x:c r="M119" t="n">
        <x:f>IF(LEN('Target Products'!C119)&gt;0,1,0)</x:f>
        <x:v>1</x:v>
      </x:c>
      <x:c r="N119" t="n">
        <x:f>IF(LEN('Target Products'!D119)&gt;0,1,0)</x:f>
        <x:v>1</x:v>
      </x:c>
      <x:c r="O119" t="n">
        <x:f>IF(LEN('Target Products'!F119)&gt;0,1,0)</x:f>
        <x:v>1</x:v>
      </x:c>
      <x:c r="P119" t="n">
        <x:f>IF(LEN('Target Products'!G119)&gt;0,1,0)</x:f>
        <x:v>1</x:v>
      </x:c>
      <x:c r="Q119" t="n">
        <x:f>IF(LEN('Target Products'!H119)&gt;0,1,0)</x:f>
        <x:v>0</x:v>
      </x:c>
      <x:c r="R119" t="n">
        <x:f>IF(ISNUMBER('Target Products'!I119),1,0)</x:f>
        <x:v>1</x:v>
      </x:c>
      <x:c r="S119" t="n">
        <x:f>IF(ISNUMBER('Target Products'!J119),1,0)</x:f>
        <x:v>1</x:v>
      </x:c>
      <x:c r="T119" t="n">
        <x:f>IF(ISNUMBER('Target Products'!K119),1,0)</x:f>
        <x:v>1</x:v>
      </x:c>
      <x:c r="U119" t="n">
        <x:f>IF(LEN('Target Products'!L119)&gt;0,1,0)</x:f>
        <x:v>1</x:v>
      </x:c>
    </x:row>
    <x:row r="120">
      <x:c r="M120" t="n">
        <x:f>IF(LEN('Target Products'!C120)&gt;0,1,0)</x:f>
        <x:v>1</x:v>
      </x:c>
      <x:c r="N120" t="n">
        <x:f>IF(LEN('Target Products'!D120)&gt;0,1,0)</x:f>
        <x:v>1</x:v>
      </x:c>
      <x:c r="O120" t="n">
        <x:f>IF(LEN('Target Products'!F120)&gt;0,1,0)</x:f>
        <x:v>1</x:v>
      </x:c>
      <x:c r="P120" t="n">
        <x:f>IF(LEN('Target Products'!G120)&gt;0,1,0)</x:f>
        <x:v>1</x:v>
      </x:c>
      <x:c r="Q120" t="n">
        <x:f>IF(LEN('Target Products'!H120)&gt;0,1,0)</x:f>
        <x:v>1</x:v>
      </x:c>
      <x:c r="R120" t="n">
        <x:f>IF(ISNUMBER('Target Products'!I120),1,0)</x:f>
        <x:v>1</x:v>
      </x:c>
      <x:c r="S120" t="n">
        <x:f>IF(ISNUMBER('Target Products'!J120),1,0)</x:f>
        <x:v>1</x:v>
      </x:c>
      <x:c r="T120" t="n">
        <x:f>IF(ISNUMBER('Target Products'!K120),1,0)</x:f>
        <x:v>1</x:v>
      </x:c>
      <x:c r="U120" t="n">
        <x:f>IF(LEN('Target Products'!L120)&gt;0,1,0)</x:f>
        <x:v>1</x:v>
      </x:c>
    </x:row>
    <x:row r="121">
      <x:c r="M121" t="n">
        <x:f>IF(LEN('Target Products'!C121)&gt;0,1,0)</x:f>
        <x:v>1</x:v>
      </x:c>
      <x:c r="N121" t="n">
        <x:f>IF(LEN('Target Products'!D121)&gt;0,1,0)</x:f>
        <x:v>1</x:v>
      </x:c>
      <x:c r="O121" t="n">
        <x:f>IF(LEN('Target Products'!F121)&gt;0,1,0)</x:f>
        <x:v>1</x:v>
      </x:c>
      <x:c r="P121" t="n">
        <x:f>IF(LEN('Target Products'!G121)&gt;0,1,0)</x:f>
        <x:v>1</x:v>
      </x:c>
      <x:c r="Q121" t="n">
        <x:f>IF(LEN('Target Products'!H121)&gt;0,1,0)</x:f>
        <x:v>1</x:v>
      </x:c>
      <x:c r="R121" t="n">
        <x:f>IF(ISNUMBER('Target Products'!I121),1,0)</x:f>
        <x:v>1</x:v>
      </x:c>
      <x:c r="S121" t="n">
        <x:f>IF(ISNUMBER('Target Products'!J121),1,0)</x:f>
        <x:v>1</x:v>
      </x:c>
      <x:c r="T121" t="n">
        <x:f>IF(ISNUMBER('Target Products'!K121),1,0)</x:f>
        <x:v>1</x:v>
      </x:c>
      <x:c r="U121" t="n">
        <x:f>IF(LEN('Target Products'!L121)&gt;0,1,0)</x:f>
        <x:v>1</x:v>
      </x:c>
    </x:row>
    <x:row r="122">
      <x:c r="M122" t="n">
        <x:f>IF(LEN('Target Products'!C122)&gt;0,1,0)</x:f>
        <x:v>1</x:v>
      </x:c>
      <x:c r="N122" t="n">
        <x:f>IF(LEN('Target Products'!D122)&gt;0,1,0)</x:f>
        <x:v>1</x:v>
      </x:c>
      <x:c r="O122" t="n">
        <x:f>IF(LEN('Target Products'!F122)&gt;0,1,0)</x:f>
        <x:v>1</x:v>
      </x:c>
      <x:c r="P122" t="n">
        <x:f>IF(LEN('Target Products'!G122)&gt;0,1,0)</x:f>
        <x:v>1</x:v>
      </x:c>
      <x:c r="Q122" t="n">
        <x:f>IF(LEN('Target Products'!H122)&gt;0,1,0)</x:f>
        <x:v>0</x:v>
      </x:c>
      <x:c r="R122" t="n">
        <x:f>IF(ISNUMBER('Target Products'!I122),1,0)</x:f>
        <x:v>1</x:v>
      </x:c>
      <x:c r="S122" t="n">
        <x:f>IF(ISNUMBER('Target Products'!J122),1,0)</x:f>
        <x:v>1</x:v>
      </x:c>
      <x:c r="T122" t="n">
        <x:f>IF(ISNUMBER('Target Products'!K122),1,0)</x:f>
        <x:v>1</x:v>
      </x:c>
      <x:c r="U122" t="n">
        <x:f>IF(LEN('Target Products'!L122)&gt;0,1,0)</x:f>
        <x:v>1</x:v>
      </x:c>
    </x:row>
    <x:row r="123">
      <x:c r="M123" t="n">
        <x:f>IF(LEN('Target Products'!C123)&gt;0,1,0)</x:f>
        <x:v>1</x:v>
      </x:c>
      <x:c r="N123" t="n">
        <x:f>IF(LEN('Target Products'!D123)&gt;0,1,0)</x:f>
        <x:v>1</x:v>
      </x:c>
      <x:c r="O123" t="n">
        <x:f>IF(LEN('Target Products'!F123)&gt;0,1,0)</x:f>
        <x:v>1</x:v>
      </x:c>
      <x:c r="P123" t="n">
        <x:f>IF(LEN('Target Products'!G123)&gt;0,1,0)</x:f>
        <x:v>1</x:v>
      </x:c>
      <x:c r="Q123" t="n">
        <x:f>IF(LEN('Target Products'!H123)&gt;0,1,0)</x:f>
        <x:v>1</x:v>
      </x:c>
      <x:c r="R123" t="n">
        <x:f>IF(ISNUMBER('Target Products'!I123),1,0)</x:f>
        <x:v>1</x:v>
      </x:c>
      <x:c r="S123" t="n">
        <x:f>IF(ISNUMBER('Target Products'!J123),1,0)</x:f>
        <x:v>1</x:v>
      </x:c>
      <x:c r="T123" t="n">
        <x:f>IF(ISNUMBER('Target Products'!K123),1,0)</x:f>
        <x:v>1</x:v>
      </x:c>
      <x:c r="U123" t="n">
        <x:f>IF(LEN('Target Products'!L123)&gt;0,1,0)</x:f>
        <x:v>1</x:v>
      </x:c>
    </x:row>
    <x:row r="124">
      <x:c r="M124" t="n">
        <x:f>IF(LEN('Target Products'!C124)&gt;0,1,0)</x:f>
        <x:v>1</x:v>
      </x:c>
      <x:c r="N124" t="n">
        <x:f>IF(LEN('Target Products'!D124)&gt;0,1,0)</x:f>
        <x:v>1</x:v>
      </x:c>
      <x:c r="O124" t="n">
        <x:f>IF(LEN('Target Products'!F124)&gt;0,1,0)</x:f>
        <x:v>1</x:v>
      </x:c>
      <x:c r="P124" t="n">
        <x:f>IF(LEN('Target Products'!G124)&gt;0,1,0)</x:f>
        <x:v>1</x:v>
      </x:c>
      <x:c r="Q124" t="n">
        <x:f>IF(LEN('Target Products'!H124)&gt;0,1,0)</x:f>
        <x:v>0</x:v>
      </x:c>
      <x:c r="R124" t="n">
        <x:f>IF(ISNUMBER('Target Products'!I124),1,0)</x:f>
        <x:v>1</x:v>
      </x:c>
      <x:c r="S124" t="n">
        <x:f>IF(ISNUMBER('Target Products'!J124),1,0)</x:f>
        <x:v>1</x:v>
      </x:c>
      <x:c r="T124" t="n">
        <x:f>IF(ISNUMBER('Target Products'!K124),1,0)</x:f>
        <x:v>1</x:v>
      </x:c>
      <x:c r="U124" t="n">
        <x:f>IF(LEN('Target Products'!L124)&gt;0,1,0)</x:f>
        <x:v>1</x:v>
      </x:c>
    </x:row>
    <x:row r="125">
      <x:c r="M125" t="n">
        <x:f>IF(LEN('Target Products'!C125)&gt;0,1,0)</x:f>
        <x:v>1</x:v>
      </x:c>
      <x:c r="N125" t="n">
        <x:f>IF(LEN('Target Products'!D125)&gt;0,1,0)</x:f>
        <x:v>1</x:v>
      </x:c>
      <x:c r="O125" t="n">
        <x:f>IF(LEN('Target Products'!F125)&gt;0,1,0)</x:f>
        <x:v>1</x:v>
      </x:c>
      <x:c r="P125" t="n">
        <x:f>IF(LEN('Target Products'!G125)&gt;0,1,0)</x:f>
        <x:v>1</x:v>
      </x:c>
      <x:c r="Q125" t="n">
        <x:f>IF(LEN('Target Products'!H125)&gt;0,1,0)</x:f>
        <x:v>0</x:v>
      </x:c>
      <x:c r="R125" t="n">
        <x:f>IF(ISNUMBER('Target Products'!I125),1,0)</x:f>
        <x:v>1</x:v>
      </x:c>
      <x:c r="S125" t="n">
        <x:f>IF(ISNUMBER('Target Products'!J125),1,0)</x:f>
        <x:v>1</x:v>
      </x:c>
      <x:c r="T125" t="n">
        <x:f>IF(ISNUMBER('Target Products'!K125),1,0)</x:f>
        <x:v>1</x:v>
      </x:c>
      <x:c r="U125" t="n">
        <x:f>IF(LEN('Target Products'!L125)&gt;0,1,0)</x:f>
        <x:v>1</x:v>
      </x:c>
    </x:row>
    <x:row r="126">
      <x:c r="M126" t="n">
        <x:f>IF(LEN('Target Products'!C126)&gt;0,1,0)</x:f>
        <x:v>1</x:v>
      </x:c>
      <x:c r="N126" t="n">
        <x:f>IF(LEN('Target Products'!D126)&gt;0,1,0)</x:f>
        <x:v>1</x:v>
      </x:c>
      <x:c r="O126" t="n">
        <x:f>IF(LEN('Target Products'!F126)&gt;0,1,0)</x:f>
        <x:v>1</x:v>
      </x:c>
      <x:c r="P126" t="n">
        <x:f>IF(LEN('Target Products'!G126)&gt;0,1,0)</x:f>
        <x:v>1</x:v>
      </x:c>
      <x:c r="Q126" t="n">
        <x:f>IF(LEN('Target Products'!H126)&gt;0,1,0)</x:f>
        <x:v>1</x:v>
      </x:c>
      <x:c r="R126" t="n">
        <x:f>IF(ISNUMBER('Target Products'!I126),1,0)</x:f>
        <x:v>1</x:v>
      </x:c>
      <x:c r="S126" t="n">
        <x:f>IF(ISNUMBER('Target Products'!J126),1,0)</x:f>
        <x:v>1</x:v>
      </x:c>
      <x:c r="T126" t="n">
        <x:f>IF(ISNUMBER('Target Products'!K126),1,0)</x:f>
        <x:v>1</x:v>
      </x:c>
      <x:c r="U126" t="n">
        <x:f>IF(LEN('Target Products'!L126)&gt;0,1,0)</x:f>
        <x:v>1</x:v>
      </x:c>
    </x:row>
    <x:row r="127">
      <x:c r="M127" t="n">
        <x:f>IF(LEN('Target Products'!C127)&gt;0,1,0)</x:f>
        <x:v>1</x:v>
      </x:c>
      <x:c r="N127" t="n">
        <x:f>IF(LEN('Target Products'!D127)&gt;0,1,0)</x:f>
        <x:v>1</x:v>
      </x:c>
      <x:c r="O127" t="n">
        <x:f>IF(LEN('Target Products'!F127)&gt;0,1,0)</x:f>
        <x:v>1</x:v>
      </x:c>
      <x:c r="P127" t="n">
        <x:f>IF(LEN('Target Products'!G127)&gt;0,1,0)</x:f>
        <x:v>1</x:v>
      </x:c>
      <x:c r="Q127" t="n">
        <x:f>IF(LEN('Target Products'!H127)&gt;0,1,0)</x:f>
        <x:v>0</x:v>
      </x:c>
      <x:c r="R127" t="n">
        <x:f>IF(ISNUMBER('Target Products'!I127),1,0)</x:f>
        <x:v>1</x:v>
      </x:c>
      <x:c r="S127" t="n">
        <x:f>IF(ISNUMBER('Target Products'!J127),1,0)</x:f>
        <x:v>1</x:v>
      </x:c>
      <x:c r="T127" t="n">
        <x:f>IF(ISNUMBER('Target Products'!K127),1,0)</x:f>
        <x:v>1</x:v>
      </x:c>
      <x:c r="U127" t="n">
        <x:f>IF(LEN('Target Products'!L127)&gt;0,1,0)</x:f>
        <x:v>1</x:v>
      </x:c>
    </x:row>
    <x:row r="128">
      <x:c r="M128" t="n">
        <x:f>IF(LEN('Target Products'!C128)&gt;0,1,0)</x:f>
        <x:v>1</x:v>
      </x:c>
      <x:c r="N128" t="n">
        <x:f>IF(LEN('Target Products'!D128)&gt;0,1,0)</x:f>
        <x:v>1</x:v>
      </x:c>
      <x:c r="O128" t="n">
        <x:f>IF(LEN('Target Products'!F128)&gt;0,1,0)</x:f>
        <x:v>1</x:v>
      </x:c>
      <x:c r="P128" t="n">
        <x:f>IF(LEN('Target Products'!G128)&gt;0,1,0)</x:f>
        <x:v>1</x:v>
      </x:c>
      <x:c r="Q128" t="n">
        <x:f>IF(LEN('Target Products'!H128)&gt;0,1,0)</x:f>
        <x:v>1</x:v>
      </x:c>
      <x:c r="R128" t="n">
        <x:f>IF(ISNUMBER('Target Products'!I128),1,0)</x:f>
        <x:v>1</x:v>
      </x:c>
      <x:c r="S128" t="n">
        <x:f>IF(ISNUMBER('Target Products'!J128),1,0)</x:f>
        <x:v>1</x:v>
      </x:c>
      <x:c r="T128" t="n">
        <x:f>IF(ISNUMBER('Target Products'!K128),1,0)</x:f>
        <x:v>1</x:v>
      </x:c>
      <x:c r="U128" t="n">
        <x:f>IF(LEN('Target Products'!L128)&gt;0,1,0)</x:f>
        <x:v>1</x:v>
      </x:c>
    </x:row>
    <x:row r="129">
      <x:c r="M129" t="n">
        <x:f>IF(LEN('Target Products'!C129)&gt;0,1,0)</x:f>
        <x:v>1</x:v>
      </x:c>
      <x:c r="N129" t="n">
        <x:f>IF(LEN('Target Products'!D129)&gt;0,1,0)</x:f>
        <x:v>1</x:v>
      </x:c>
      <x:c r="O129" t="n">
        <x:f>IF(LEN('Target Products'!F129)&gt;0,1,0)</x:f>
        <x:v>1</x:v>
      </x:c>
      <x:c r="P129" t="n">
        <x:f>IF(LEN('Target Products'!G129)&gt;0,1,0)</x:f>
        <x:v>1</x:v>
      </x:c>
      <x:c r="Q129" t="n">
        <x:f>IF(LEN('Target Products'!H129)&gt;0,1,0)</x:f>
        <x:v>0</x:v>
      </x:c>
      <x:c r="R129" t="n">
        <x:f>IF(ISNUMBER('Target Products'!I129),1,0)</x:f>
        <x:v>1</x:v>
      </x:c>
      <x:c r="S129" t="n">
        <x:f>IF(ISNUMBER('Target Products'!J129),1,0)</x:f>
        <x:v>1</x:v>
      </x:c>
      <x:c r="T129" t="n">
        <x:f>IF(ISNUMBER('Target Products'!K129),1,0)</x:f>
        <x:v>1</x:v>
      </x:c>
      <x:c r="U129" t="n">
        <x:f>IF(LEN('Target Products'!L129)&gt;0,1,0)</x:f>
        <x:v>1</x:v>
      </x:c>
    </x:row>
    <x:row r="130">
      <x:c r="M130" t="n">
        <x:f>IF(LEN('Target Products'!C130)&gt;0,1,0)</x:f>
        <x:v>1</x:v>
      </x:c>
      <x:c r="N130" t="n">
        <x:f>IF(LEN('Target Products'!D130)&gt;0,1,0)</x:f>
        <x:v>1</x:v>
      </x:c>
      <x:c r="O130" t="n">
        <x:f>IF(LEN('Target Products'!F130)&gt;0,1,0)</x:f>
        <x:v>1</x:v>
      </x:c>
      <x:c r="P130" t="n">
        <x:f>IF(LEN('Target Products'!G130)&gt;0,1,0)</x:f>
        <x:v>1</x:v>
      </x:c>
      <x:c r="Q130" t="n">
        <x:f>IF(LEN('Target Products'!H130)&gt;0,1,0)</x:f>
        <x:v>0</x:v>
      </x:c>
      <x:c r="R130" t="n">
        <x:f>IF(ISNUMBER('Target Products'!I130),1,0)</x:f>
        <x:v>1</x:v>
      </x:c>
      <x:c r="S130" t="n">
        <x:f>IF(ISNUMBER('Target Products'!J130),1,0)</x:f>
        <x:v>1</x:v>
      </x:c>
      <x:c r="T130" t="n">
        <x:f>IF(ISNUMBER('Target Products'!K130),1,0)</x:f>
        <x:v>1</x:v>
      </x:c>
      <x:c r="U130" t="n">
        <x:f>IF(LEN('Target Products'!L130)&gt;0,1,0)</x:f>
        <x:v>1</x:v>
      </x:c>
    </x:row>
    <x:row r="131">
      <x:c r="M131" t="n">
        <x:f>IF(LEN('Target Products'!C131)&gt;0,1,0)</x:f>
        <x:v>1</x:v>
      </x:c>
      <x:c r="N131" t="n">
        <x:f>IF(LEN('Target Products'!D131)&gt;0,1,0)</x:f>
        <x:v>1</x:v>
      </x:c>
      <x:c r="O131" t="n">
        <x:f>IF(LEN('Target Products'!F131)&gt;0,1,0)</x:f>
        <x:v>1</x:v>
      </x:c>
      <x:c r="P131" t="n">
        <x:f>IF(LEN('Target Products'!G131)&gt;0,1,0)</x:f>
        <x:v>1</x:v>
      </x:c>
      <x:c r="Q131" t="n">
        <x:f>IF(LEN('Target Products'!H131)&gt;0,1,0)</x:f>
        <x:v>1</x:v>
      </x:c>
      <x:c r="R131" t="n">
        <x:f>IF(ISNUMBER('Target Products'!I131),1,0)</x:f>
        <x:v>1</x:v>
      </x:c>
      <x:c r="S131" t="n">
        <x:f>IF(ISNUMBER('Target Products'!J131),1,0)</x:f>
        <x:v>1</x:v>
      </x:c>
      <x:c r="T131" t="n">
        <x:f>IF(ISNUMBER('Target Products'!K131),1,0)</x:f>
        <x:v>1</x:v>
      </x:c>
      <x:c r="U131" t="n">
        <x:f>IF(LEN('Target Products'!L131)&gt;0,1,0)</x:f>
        <x:v>1</x:v>
      </x:c>
    </x:row>
    <x:row r="132">
      <x:c r="M132" t="n">
        <x:f>IF(LEN('Target Products'!C132)&gt;0,1,0)</x:f>
        <x:v>1</x:v>
      </x:c>
      <x:c r="N132" t="n">
        <x:f>IF(LEN('Target Products'!D132)&gt;0,1,0)</x:f>
        <x:v>1</x:v>
      </x:c>
      <x:c r="O132" t="n">
        <x:f>IF(LEN('Target Products'!F132)&gt;0,1,0)</x:f>
        <x:v>1</x:v>
      </x:c>
      <x:c r="P132" t="n">
        <x:f>IF(LEN('Target Products'!G132)&gt;0,1,0)</x:f>
        <x:v>1</x:v>
      </x:c>
      <x:c r="Q132" t="n">
        <x:f>IF(LEN('Target Products'!H132)&gt;0,1,0)</x:f>
        <x:v>0</x:v>
      </x:c>
      <x:c r="R132" t="n">
        <x:f>IF(ISNUMBER('Target Products'!I132),1,0)</x:f>
        <x:v>1</x:v>
      </x:c>
      <x:c r="S132" t="n">
        <x:f>IF(ISNUMBER('Target Products'!J132),1,0)</x:f>
        <x:v>1</x:v>
      </x:c>
      <x:c r="T132" t="n">
        <x:f>IF(ISNUMBER('Target Products'!K132),1,0)</x:f>
        <x:v>1</x:v>
      </x:c>
      <x:c r="U132" t="n">
        <x:f>IF(LEN('Target Products'!L132)&gt;0,1,0)</x:f>
        <x:v>1</x:v>
      </x:c>
    </x:row>
    <x:row r="133">
      <x:c r="M133" t="n">
        <x:f>IF(LEN('Target Products'!C133)&gt;0,1,0)</x:f>
        <x:v>1</x:v>
      </x:c>
      <x:c r="N133" t="n">
        <x:f>IF(LEN('Target Products'!D133)&gt;0,1,0)</x:f>
        <x:v>1</x:v>
      </x:c>
      <x:c r="O133" t="n">
        <x:f>IF(LEN('Target Products'!F133)&gt;0,1,0)</x:f>
        <x:v>1</x:v>
      </x:c>
      <x:c r="P133" t="n">
        <x:f>IF(LEN('Target Products'!G133)&gt;0,1,0)</x:f>
        <x:v>1</x:v>
      </x:c>
      <x:c r="Q133" t="n">
        <x:f>IF(LEN('Target Products'!H133)&gt;0,1,0)</x:f>
        <x:v>0</x:v>
      </x:c>
      <x:c r="R133" t="n">
        <x:f>IF(ISNUMBER('Target Products'!I133),1,0)</x:f>
        <x:v>1</x:v>
      </x:c>
      <x:c r="S133" t="n">
        <x:f>IF(ISNUMBER('Target Products'!J133),1,0)</x:f>
        <x:v>1</x:v>
      </x:c>
      <x:c r="T133" t="n">
        <x:f>IF(ISNUMBER('Target Products'!K133),1,0)</x:f>
        <x:v>1</x:v>
      </x:c>
      <x:c r="U133" t="n">
        <x:f>IF(LEN('Target Products'!L133)&gt;0,1,0)</x:f>
        <x:v>1</x:v>
      </x:c>
    </x:row>
    <x:row r="134">
      <x:c r="M134" t="n">
        <x:f>IF(LEN('Target Products'!C134)&gt;0,1,0)</x:f>
        <x:v>1</x:v>
      </x:c>
      <x:c r="N134" t="n">
        <x:f>IF(LEN('Target Products'!D134)&gt;0,1,0)</x:f>
        <x:v>1</x:v>
      </x:c>
      <x:c r="O134" t="n">
        <x:f>IF(LEN('Target Products'!F134)&gt;0,1,0)</x:f>
        <x:v>1</x:v>
      </x:c>
      <x:c r="P134" t="n">
        <x:f>IF(LEN('Target Products'!G134)&gt;0,1,0)</x:f>
        <x:v>1</x:v>
      </x:c>
      <x:c r="Q134" t="n">
        <x:f>IF(LEN('Target Products'!H134)&gt;0,1,0)</x:f>
        <x:v>0</x:v>
      </x:c>
      <x:c r="R134" t="n">
        <x:f>IF(ISNUMBER('Target Products'!I134),1,0)</x:f>
        <x:v>1</x:v>
      </x:c>
      <x:c r="S134" t="n">
        <x:f>IF(ISNUMBER('Target Products'!J134),1,0)</x:f>
        <x:v>1</x:v>
      </x:c>
      <x:c r="T134" t="n">
        <x:f>IF(ISNUMBER('Target Products'!K134),1,0)</x:f>
        <x:v>1</x:v>
      </x:c>
      <x:c r="U134" t="n">
        <x:f>IF(LEN('Target Products'!L134)&gt;0,1,0)</x:f>
        <x:v>1</x:v>
      </x:c>
    </x:row>
    <x:row r="135">
      <x:c r="M135" t="n">
        <x:f>IF(LEN('Target Products'!C135)&gt;0,1,0)</x:f>
        <x:v>1</x:v>
      </x:c>
      <x:c r="N135" t="n">
        <x:f>IF(LEN('Target Products'!D135)&gt;0,1,0)</x:f>
        <x:v>1</x:v>
      </x:c>
      <x:c r="O135" t="n">
        <x:f>IF(LEN('Target Products'!F135)&gt;0,1,0)</x:f>
        <x:v>1</x:v>
      </x:c>
      <x:c r="P135" t="n">
        <x:f>IF(LEN('Target Products'!G135)&gt;0,1,0)</x:f>
        <x:v>1</x:v>
      </x:c>
      <x:c r="Q135" t="n">
        <x:f>IF(LEN('Target Products'!H135)&gt;0,1,0)</x:f>
        <x:v>0</x:v>
      </x:c>
      <x:c r="R135" t="n">
        <x:f>IF(ISNUMBER('Target Products'!I135),1,0)</x:f>
        <x:v>1</x:v>
      </x:c>
      <x:c r="S135" t="n">
        <x:f>IF(ISNUMBER('Target Products'!J135),1,0)</x:f>
        <x:v>1</x:v>
      </x:c>
      <x:c r="T135" t="n">
        <x:f>IF(ISNUMBER('Target Products'!K135),1,0)</x:f>
        <x:v>1</x:v>
      </x:c>
      <x:c r="U135" t="n">
        <x:f>IF(LEN('Target Products'!L135)&gt;0,1,0)</x:f>
        <x:v>1</x:v>
      </x:c>
    </x:row>
    <x:row r="136">
      <x:c r="M136" t="n">
        <x:f>IF(LEN('Target Products'!C136)&gt;0,1,0)</x:f>
        <x:v>1</x:v>
      </x:c>
      <x:c r="N136" t="n">
        <x:f>IF(LEN('Target Products'!D136)&gt;0,1,0)</x:f>
        <x:v>1</x:v>
      </x:c>
      <x:c r="O136" t="n">
        <x:f>IF(LEN('Target Products'!F136)&gt;0,1,0)</x:f>
        <x:v>1</x:v>
      </x:c>
      <x:c r="P136" t="n">
        <x:f>IF(LEN('Target Products'!G136)&gt;0,1,0)</x:f>
        <x:v>1</x:v>
      </x:c>
      <x:c r="Q136" t="n">
        <x:f>IF(LEN('Target Products'!H136)&gt;0,1,0)</x:f>
        <x:v>1</x:v>
      </x:c>
      <x:c r="R136" t="n">
        <x:f>IF(ISNUMBER('Target Products'!I136),1,0)</x:f>
        <x:v>1</x:v>
      </x:c>
      <x:c r="S136" t="n">
        <x:f>IF(ISNUMBER('Target Products'!J136),1,0)</x:f>
        <x:v>1</x:v>
      </x:c>
      <x:c r="T136" t="n">
        <x:f>IF(ISNUMBER('Target Products'!K136),1,0)</x:f>
        <x:v>1</x:v>
      </x:c>
      <x:c r="U136" t="n">
        <x:f>IF(LEN('Target Products'!L136)&gt;0,1,0)</x:f>
        <x:v>1</x:v>
      </x:c>
    </x:row>
    <x:row r="137">
      <x:c r="M137" t="n">
        <x:f>IF(LEN('Target Products'!C137)&gt;0,1,0)</x:f>
        <x:v>1</x:v>
      </x:c>
      <x:c r="N137" t="n">
        <x:f>IF(LEN('Target Products'!D137)&gt;0,1,0)</x:f>
        <x:v>1</x:v>
      </x:c>
      <x:c r="O137" t="n">
        <x:f>IF(LEN('Target Products'!F137)&gt;0,1,0)</x:f>
        <x:v>1</x:v>
      </x:c>
      <x:c r="P137" t="n">
        <x:f>IF(LEN('Target Products'!G137)&gt;0,1,0)</x:f>
        <x:v>1</x:v>
      </x:c>
      <x:c r="Q137" t="n">
        <x:f>IF(LEN('Target Products'!H137)&gt;0,1,0)</x:f>
        <x:v>1</x:v>
      </x:c>
      <x:c r="R137" t="n">
        <x:f>IF(ISNUMBER('Target Products'!I137),1,0)</x:f>
        <x:v>1</x:v>
      </x:c>
      <x:c r="S137" t="n">
        <x:f>IF(ISNUMBER('Target Products'!J137),1,0)</x:f>
        <x:v>1</x:v>
      </x:c>
      <x:c r="T137" t="n">
        <x:f>IF(ISNUMBER('Target Products'!K137),1,0)</x:f>
        <x:v>1</x:v>
      </x:c>
      <x:c r="U137" t="n">
        <x:f>IF(LEN('Target Products'!L137)&gt;0,1,0)</x:f>
        <x:v>1</x:v>
      </x:c>
    </x:row>
    <x:row r="138">
      <x:c r="M138" t="n">
        <x:f>IF(LEN('Target Products'!C138)&gt;0,1,0)</x:f>
        <x:v>1</x:v>
      </x:c>
      <x:c r="N138" t="n">
        <x:f>IF(LEN('Target Products'!D138)&gt;0,1,0)</x:f>
        <x:v>1</x:v>
      </x:c>
      <x:c r="O138" t="n">
        <x:f>IF(LEN('Target Products'!F138)&gt;0,1,0)</x:f>
        <x:v>1</x:v>
      </x:c>
      <x:c r="P138" t="n">
        <x:f>IF(LEN('Target Products'!G138)&gt;0,1,0)</x:f>
        <x:v>1</x:v>
      </x:c>
      <x:c r="Q138" t="n">
        <x:f>IF(LEN('Target Products'!H138)&gt;0,1,0)</x:f>
        <x:v>0</x:v>
      </x:c>
      <x:c r="R138" t="n">
        <x:f>IF(ISNUMBER('Target Products'!I138),1,0)</x:f>
        <x:v>1</x:v>
      </x:c>
      <x:c r="S138" t="n">
        <x:f>IF(ISNUMBER('Target Products'!J138),1,0)</x:f>
        <x:v>1</x:v>
      </x:c>
      <x:c r="T138" t="n">
        <x:f>IF(ISNUMBER('Target Products'!K138),1,0)</x:f>
        <x:v>1</x:v>
      </x:c>
      <x:c r="U138" t="n">
        <x:f>IF(LEN('Target Products'!L138)&gt;0,1,0)</x:f>
        <x:v>1</x:v>
      </x:c>
    </x:row>
    <x:row r="139">
      <x:c r="M139" t="n">
        <x:f>IF(LEN('Target Products'!C139)&gt;0,1,0)</x:f>
        <x:v>1</x:v>
      </x:c>
      <x:c r="N139" t="n">
        <x:f>IF(LEN('Target Products'!D139)&gt;0,1,0)</x:f>
        <x:v>1</x:v>
      </x:c>
      <x:c r="O139" t="n">
        <x:f>IF(LEN('Target Products'!F139)&gt;0,1,0)</x:f>
        <x:v>1</x:v>
      </x:c>
      <x:c r="P139" t="n">
        <x:f>IF(LEN('Target Products'!G139)&gt;0,1,0)</x:f>
        <x:v>1</x:v>
      </x:c>
      <x:c r="Q139" t="n">
        <x:f>IF(LEN('Target Products'!H139)&gt;0,1,0)</x:f>
        <x:v>1</x:v>
      </x:c>
      <x:c r="R139" t="n">
        <x:f>IF(ISNUMBER('Target Products'!I139),1,0)</x:f>
        <x:v>1</x:v>
      </x:c>
      <x:c r="S139" t="n">
        <x:f>IF(ISNUMBER('Target Products'!J139),1,0)</x:f>
        <x:v>1</x:v>
      </x:c>
      <x:c r="T139" t="n">
        <x:f>IF(ISNUMBER('Target Products'!K139),1,0)</x:f>
        <x:v>1</x:v>
      </x:c>
      <x:c r="U139" t="n">
        <x:f>IF(LEN('Target Products'!L139)&gt;0,1,0)</x:f>
        <x:v>1</x:v>
      </x:c>
    </x:row>
    <x:row r="140">
      <x:c r="M140" t="n">
        <x:f>IF(LEN('Target Products'!C140)&gt;0,1,0)</x:f>
        <x:v>1</x:v>
      </x:c>
      <x:c r="N140" t="n">
        <x:f>IF(LEN('Target Products'!D140)&gt;0,1,0)</x:f>
        <x:v>1</x:v>
      </x:c>
      <x:c r="O140" t="n">
        <x:f>IF(LEN('Target Products'!F140)&gt;0,1,0)</x:f>
        <x:v>1</x:v>
      </x:c>
      <x:c r="P140" t="n">
        <x:f>IF(LEN('Target Products'!G140)&gt;0,1,0)</x:f>
        <x:v>1</x:v>
      </x:c>
      <x:c r="Q140" t="n">
        <x:f>IF(LEN('Target Products'!H140)&gt;0,1,0)</x:f>
        <x:v>0</x:v>
      </x:c>
      <x:c r="R140" t="n">
        <x:f>IF(ISNUMBER('Target Products'!I140),1,0)</x:f>
        <x:v>1</x:v>
      </x:c>
      <x:c r="S140" t="n">
        <x:f>IF(ISNUMBER('Target Products'!J140),1,0)</x:f>
        <x:v>1</x:v>
      </x:c>
      <x:c r="T140" t="n">
        <x:f>IF(ISNUMBER('Target Products'!K140),1,0)</x:f>
        <x:v>1</x:v>
      </x:c>
      <x:c r="U140" t="n">
        <x:f>IF(LEN('Target Products'!L140)&gt;0,1,0)</x:f>
        <x:v>1</x:v>
      </x:c>
    </x:row>
    <x:row r="141">
      <x:c r="M141" t="n">
        <x:f>IF(LEN('Target Products'!C141)&gt;0,1,0)</x:f>
        <x:v>1</x:v>
      </x:c>
      <x:c r="N141" t="n">
        <x:f>IF(LEN('Target Products'!D141)&gt;0,1,0)</x:f>
        <x:v>1</x:v>
      </x:c>
      <x:c r="O141" t="n">
        <x:f>IF(LEN('Target Products'!F141)&gt;0,1,0)</x:f>
        <x:v>1</x:v>
      </x:c>
      <x:c r="P141" t="n">
        <x:f>IF(LEN('Target Products'!G141)&gt;0,1,0)</x:f>
        <x:v>1</x:v>
      </x:c>
      <x:c r="Q141" t="n">
        <x:f>IF(LEN('Target Products'!H141)&gt;0,1,0)</x:f>
        <x:v>0</x:v>
      </x:c>
      <x:c r="R141" t="n">
        <x:f>IF(ISNUMBER('Target Products'!I141),1,0)</x:f>
        <x:v>1</x:v>
      </x:c>
      <x:c r="S141" t="n">
        <x:f>IF(ISNUMBER('Target Products'!J141),1,0)</x:f>
        <x:v>1</x:v>
      </x:c>
      <x:c r="T141" t="n">
        <x:f>IF(ISNUMBER('Target Products'!K141),1,0)</x:f>
        <x:v>1</x:v>
      </x:c>
      <x:c r="U141" t="n">
        <x:f>IF(LEN('Target Products'!L141)&gt;0,1,0)</x:f>
        <x:v>1</x:v>
      </x:c>
    </x:row>
    <x:row r="142">
      <x:c r="M142" t="n">
        <x:f>IF(LEN('Target Products'!C142)&gt;0,1,0)</x:f>
        <x:v>1</x:v>
      </x:c>
      <x:c r="N142" t="n">
        <x:f>IF(LEN('Target Products'!D142)&gt;0,1,0)</x:f>
        <x:v>1</x:v>
      </x:c>
      <x:c r="O142" t="n">
        <x:f>IF(LEN('Target Products'!F142)&gt;0,1,0)</x:f>
        <x:v>1</x:v>
      </x:c>
      <x:c r="P142" t="n">
        <x:f>IF(LEN('Target Products'!G142)&gt;0,1,0)</x:f>
        <x:v>1</x:v>
      </x:c>
      <x:c r="Q142" t="n">
        <x:f>IF(LEN('Target Products'!H142)&gt;0,1,0)</x:f>
        <x:v>1</x:v>
      </x:c>
      <x:c r="R142" t="n">
        <x:f>IF(ISNUMBER('Target Products'!I142),1,0)</x:f>
        <x:v>1</x:v>
      </x:c>
      <x:c r="S142" t="n">
        <x:f>IF(ISNUMBER('Target Products'!J142),1,0)</x:f>
        <x:v>1</x:v>
      </x:c>
      <x:c r="T142" t="n">
        <x:f>IF(ISNUMBER('Target Products'!K142),1,0)</x:f>
        <x:v>1</x:v>
      </x:c>
      <x:c r="U142" t="n">
        <x:f>IF(LEN('Target Products'!L142)&gt;0,1,0)</x:f>
        <x:v>1</x:v>
      </x:c>
    </x:row>
    <x:row r="143">
      <x:c r="M143" t="n">
        <x:f>IF(LEN('Target Products'!C143)&gt;0,1,0)</x:f>
        <x:v>1</x:v>
      </x:c>
      <x:c r="N143" t="n">
        <x:f>IF(LEN('Target Products'!D143)&gt;0,1,0)</x:f>
        <x:v>1</x:v>
      </x:c>
      <x:c r="O143" t="n">
        <x:f>IF(LEN('Target Products'!F143)&gt;0,1,0)</x:f>
        <x:v>1</x:v>
      </x:c>
      <x:c r="P143" t="n">
        <x:f>IF(LEN('Target Products'!G143)&gt;0,1,0)</x:f>
        <x:v>1</x:v>
      </x:c>
      <x:c r="Q143" t="n">
        <x:f>IF(LEN('Target Products'!H143)&gt;0,1,0)</x:f>
        <x:v>0</x:v>
      </x:c>
      <x:c r="R143" t="n">
        <x:f>IF(ISNUMBER('Target Products'!I143),1,0)</x:f>
        <x:v>1</x:v>
      </x:c>
      <x:c r="S143" t="n">
        <x:f>IF(ISNUMBER('Target Products'!J143),1,0)</x:f>
        <x:v>1</x:v>
      </x:c>
      <x:c r="T143" t="n">
        <x:f>IF(ISNUMBER('Target Products'!K143),1,0)</x:f>
        <x:v>1</x:v>
      </x:c>
      <x:c r="U143" t="n">
        <x:f>IF(LEN('Target Products'!L143)&gt;0,1,0)</x:f>
        <x:v>1</x:v>
      </x:c>
    </x:row>
    <x:row r="144">
      <x:c r="M144" t="n">
        <x:f>IF(LEN('Target Products'!C144)&gt;0,1,0)</x:f>
        <x:v>1</x:v>
      </x:c>
      <x:c r="N144" t="n">
        <x:f>IF(LEN('Target Products'!D144)&gt;0,1,0)</x:f>
        <x:v>1</x:v>
      </x:c>
      <x:c r="O144" t="n">
        <x:f>IF(LEN('Target Products'!F144)&gt;0,1,0)</x:f>
        <x:v>1</x:v>
      </x:c>
      <x:c r="P144" t="n">
        <x:f>IF(LEN('Target Products'!G144)&gt;0,1,0)</x:f>
        <x:v>1</x:v>
      </x:c>
      <x:c r="Q144" t="n">
        <x:f>IF(LEN('Target Products'!H144)&gt;0,1,0)</x:f>
        <x:v>0</x:v>
      </x:c>
      <x:c r="R144" t="n">
        <x:f>IF(ISNUMBER('Target Products'!I144),1,0)</x:f>
        <x:v>1</x:v>
      </x:c>
      <x:c r="S144" t="n">
        <x:f>IF(ISNUMBER('Target Products'!J144),1,0)</x:f>
        <x:v>1</x:v>
      </x:c>
      <x:c r="T144" t="n">
        <x:f>IF(ISNUMBER('Target Products'!K144),1,0)</x:f>
        <x:v>1</x:v>
      </x:c>
      <x:c r="U144" t="n">
        <x:f>IF(LEN('Target Products'!L144)&gt;0,1,0)</x:f>
        <x:v>1</x:v>
      </x:c>
    </x:row>
    <x:row r="145">
      <x:c r="M145" t="n">
        <x:f>IF(LEN('Target Products'!C145)&gt;0,1,0)</x:f>
        <x:v>1</x:v>
      </x:c>
      <x:c r="N145" t="n">
        <x:f>IF(LEN('Target Products'!D145)&gt;0,1,0)</x:f>
        <x:v>1</x:v>
      </x:c>
      <x:c r="O145" t="n">
        <x:f>IF(LEN('Target Products'!F145)&gt;0,1,0)</x:f>
        <x:v>1</x:v>
      </x:c>
      <x:c r="P145" t="n">
        <x:f>IF(LEN('Target Products'!G145)&gt;0,1,0)</x:f>
        <x:v>1</x:v>
      </x:c>
      <x:c r="Q145" t="n">
        <x:f>IF(LEN('Target Products'!H145)&gt;0,1,0)</x:f>
        <x:v>1</x:v>
      </x:c>
      <x:c r="R145" t="n">
        <x:f>IF(ISNUMBER('Target Products'!I145),1,0)</x:f>
        <x:v>1</x:v>
      </x:c>
      <x:c r="S145" t="n">
        <x:f>IF(ISNUMBER('Target Products'!J145),1,0)</x:f>
        <x:v>1</x:v>
      </x:c>
      <x:c r="T145" t="n">
        <x:f>IF(ISNUMBER('Target Products'!K145),1,0)</x:f>
        <x:v>1</x:v>
      </x:c>
      <x:c r="U145" t="n">
        <x:f>IF(LEN('Target Products'!L145)&gt;0,1,0)</x:f>
        <x:v>1</x:v>
      </x:c>
    </x:row>
    <x:row r="146">
      <x:c r="M146" t="n">
        <x:f>IF(LEN('Target Products'!C146)&gt;0,1,0)</x:f>
        <x:v>1</x:v>
      </x:c>
      <x:c r="N146" t="n">
        <x:f>IF(LEN('Target Products'!D146)&gt;0,1,0)</x:f>
        <x:v>1</x:v>
      </x:c>
      <x:c r="O146" t="n">
        <x:f>IF(LEN('Target Products'!F146)&gt;0,1,0)</x:f>
        <x:v>1</x:v>
      </x:c>
      <x:c r="P146" t="n">
        <x:f>IF(LEN('Target Products'!G146)&gt;0,1,0)</x:f>
        <x:v>1</x:v>
      </x:c>
      <x:c r="Q146" t="n">
        <x:f>IF(LEN('Target Products'!H146)&gt;0,1,0)</x:f>
        <x:v>0</x:v>
      </x:c>
      <x:c r="R146" t="n">
        <x:f>IF(ISNUMBER('Target Products'!I146),1,0)</x:f>
        <x:v>1</x:v>
      </x:c>
      <x:c r="S146" t="n">
        <x:f>IF(ISNUMBER('Target Products'!J146),1,0)</x:f>
        <x:v>1</x:v>
      </x:c>
      <x:c r="T146" t="n">
        <x:f>IF(ISNUMBER('Target Products'!K146),1,0)</x:f>
        <x:v>1</x:v>
      </x:c>
      <x:c r="U146" t="n">
        <x:f>IF(LEN('Target Products'!L146)&gt;0,1,0)</x:f>
        <x:v>1</x:v>
      </x:c>
    </x:row>
    <x:row r="147">
      <x:c r="M147" t="n">
        <x:f>IF(LEN('Target Products'!C147)&gt;0,1,0)</x:f>
        <x:v>1</x:v>
      </x:c>
      <x:c r="N147" t="n">
        <x:f>IF(LEN('Target Products'!D147)&gt;0,1,0)</x:f>
        <x:v>1</x:v>
      </x:c>
      <x:c r="O147" t="n">
        <x:f>IF(LEN('Target Products'!F147)&gt;0,1,0)</x:f>
        <x:v>1</x:v>
      </x:c>
      <x:c r="P147" t="n">
        <x:f>IF(LEN('Target Products'!G147)&gt;0,1,0)</x:f>
        <x:v>1</x:v>
      </x:c>
      <x:c r="Q147" t="n">
        <x:f>IF(LEN('Target Products'!H147)&gt;0,1,0)</x:f>
        <x:v>0</x:v>
      </x:c>
      <x:c r="R147" t="n">
        <x:f>IF(ISNUMBER('Target Products'!I147),1,0)</x:f>
        <x:v>1</x:v>
      </x:c>
      <x:c r="S147" t="n">
        <x:f>IF(ISNUMBER('Target Products'!J147),1,0)</x:f>
        <x:v>1</x:v>
      </x:c>
      <x:c r="T147" t="n">
        <x:f>IF(ISNUMBER('Target Products'!K147),1,0)</x:f>
        <x:v>1</x:v>
      </x:c>
      <x:c r="U147" t="n">
        <x:f>IF(LEN('Target Products'!L147)&gt;0,1,0)</x:f>
        <x:v>1</x:v>
      </x:c>
    </x:row>
    <x:row r="148">
      <x:c r="M148" t="n">
        <x:f>IF(LEN('Target Products'!C148)&gt;0,1,0)</x:f>
        <x:v>1</x:v>
      </x:c>
      <x:c r="N148" t="n">
        <x:f>IF(LEN('Target Products'!D148)&gt;0,1,0)</x:f>
        <x:v>1</x:v>
      </x:c>
      <x:c r="O148" t="n">
        <x:f>IF(LEN('Target Products'!F148)&gt;0,1,0)</x:f>
        <x:v>1</x:v>
      </x:c>
      <x:c r="P148" t="n">
        <x:f>IF(LEN('Target Products'!G148)&gt;0,1,0)</x:f>
        <x:v>1</x:v>
      </x:c>
      <x:c r="Q148" t="n">
        <x:f>IF(LEN('Target Products'!H148)&gt;0,1,0)</x:f>
        <x:v>1</x:v>
      </x:c>
      <x:c r="R148" t="n">
        <x:f>IF(ISNUMBER('Target Products'!I148),1,0)</x:f>
        <x:v>1</x:v>
      </x:c>
      <x:c r="S148" t="n">
        <x:f>IF(ISNUMBER('Target Products'!J148),1,0)</x:f>
        <x:v>1</x:v>
      </x:c>
      <x:c r="T148" t="n">
        <x:f>IF(ISNUMBER('Target Products'!K148),1,0)</x:f>
        <x:v>1</x:v>
      </x:c>
      <x:c r="U148" t="n">
        <x:f>IF(LEN('Target Products'!L148)&gt;0,1,0)</x:f>
        <x:v>1</x:v>
      </x:c>
    </x:row>
    <x:row r="149">
      <x:c r="M149" t="n">
        <x:f>IF(LEN('Target Products'!C149)&gt;0,1,0)</x:f>
        <x:v>1</x:v>
      </x:c>
      <x:c r="N149" t="n">
        <x:f>IF(LEN('Target Products'!D149)&gt;0,1,0)</x:f>
        <x:v>1</x:v>
      </x:c>
      <x:c r="O149" t="n">
        <x:f>IF(LEN('Target Products'!F149)&gt;0,1,0)</x:f>
        <x:v>1</x:v>
      </x:c>
      <x:c r="P149" t="n">
        <x:f>IF(LEN('Target Products'!G149)&gt;0,1,0)</x:f>
        <x:v>1</x:v>
      </x:c>
      <x:c r="Q149" t="n">
        <x:f>IF(LEN('Target Products'!H149)&gt;0,1,0)</x:f>
        <x:v>1</x:v>
      </x:c>
      <x:c r="R149" t="n">
        <x:f>IF(ISNUMBER('Target Products'!I149),1,0)</x:f>
        <x:v>1</x:v>
      </x:c>
      <x:c r="S149" t="n">
        <x:f>IF(ISNUMBER('Target Products'!J149),1,0)</x:f>
        <x:v>1</x:v>
      </x:c>
      <x:c r="T149" t="n">
        <x:f>IF(ISNUMBER('Target Products'!K149),1,0)</x:f>
        <x:v>1</x:v>
      </x:c>
      <x:c r="U149" t="n">
        <x:f>IF(LEN('Target Products'!L149)&gt;0,1,0)</x:f>
        <x:v>1</x:v>
      </x:c>
    </x:row>
    <x:row r="150">
      <x:c r="M150" t="n">
        <x:f>IF(LEN('Target Products'!C150)&gt;0,1,0)</x:f>
        <x:v>1</x:v>
      </x:c>
      <x:c r="N150" t="n">
        <x:f>IF(LEN('Target Products'!D150)&gt;0,1,0)</x:f>
        <x:v>1</x:v>
      </x:c>
      <x:c r="O150" t="n">
        <x:f>IF(LEN('Target Products'!F150)&gt;0,1,0)</x:f>
        <x:v>1</x:v>
      </x:c>
      <x:c r="P150" t="n">
        <x:f>IF(LEN('Target Products'!G150)&gt;0,1,0)</x:f>
        <x:v>1</x:v>
      </x:c>
      <x:c r="Q150" t="n">
        <x:f>IF(LEN('Target Products'!H150)&gt;0,1,0)</x:f>
        <x:v>0</x:v>
      </x:c>
      <x:c r="R150" t="n">
        <x:f>IF(ISNUMBER('Target Products'!I150),1,0)</x:f>
        <x:v>1</x:v>
      </x:c>
      <x:c r="S150" t="n">
        <x:f>IF(ISNUMBER('Target Products'!J150),1,0)</x:f>
        <x:v>1</x:v>
      </x:c>
      <x:c r="T150" t="n">
        <x:f>IF(ISNUMBER('Target Products'!K150),1,0)</x:f>
        <x:v>1</x:v>
      </x:c>
      <x:c r="U150" t="n">
        <x:f>IF(LEN('Target Products'!L150)&gt;0,1,0)</x:f>
        <x:v>1</x:v>
      </x:c>
    </x:row>
    <x:row r="151">
      <x:c r="M151" t="n">
        <x:f>IF(LEN('Target Products'!C151)&gt;0,1,0)</x:f>
        <x:v>1</x:v>
      </x:c>
      <x:c r="N151" t="n">
        <x:f>IF(LEN('Target Products'!D151)&gt;0,1,0)</x:f>
        <x:v>1</x:v>
      </x:c>
      <x:c r="O151" t="n">
        <x:f>IF(LEN('Target Products'!F151)&gt;0,1,0)</x:f>
        <x:v>1</x:v>
      </x:c>
      <x:c r="P151" t="n">
        <x:f>IF(LEN('Target Products'!G151)&gt;0,1,0)</x:f>
        <x:v>1</x:v>
      </x:c>
      <x:c r="Q151" t="n">
        <x:f>IF(LEN('Target Products'!H151)&gt;0,1,0)</x:f>
        <x:v>0</x:v>
      </x:c>
      <x:c r="R151" t="n">
        <x:f>IF(ISNUMBER('Target Products'!I151),1,0)</x:f>
        <x:v>1</x:v>
      </x:c>
      <x:c r="S151" t="n">
        <x:f>IF(ISNUMBER('Target Products'!J151),1,0)</x:f>
        <x:v>1</x:v>
      </x:c>
      <x:c r="T151" t="n">
        <x:f>IF(ISNUMBER('Target Products'!K151),1,0)</x:f>
        <x:v>1</x:v>
      </x:c>
      <x:c r="U151" t="n">
        <x:f>IF(LEN('Target Products'!L151)&gt;0,1,0)</x:f>
        <x:v>1</x:v>
      </x:c>
    </x:row>
    <x:row r="152">
      <x:c r="M152" t="n">
        <x:f>IF(LEN('Target Products'!C152)&gt;0,1,0)</x:f>
        <x:v>1</x:v>
      </x:c>
      <x:c r="N152" t="n">
        <x:f>IF(LEN('Target Products'!D152)&gt;0,1,0)</x:f>
        <x:v>1</x:v>
      </x:c>
      <x:c r="O152" t="n">
        <x:f>IF(LEN('Target Products'!F152)&gt;0,1,0)</x:f>
        <x:v>1</x:v>
      </x:c>
      <x:c r="P152" t="n">
        <x:f>IF(LEN('Target Products'!G152)&gt;0,1,0)</x:f>
        <x:v>1</x:v>
      </x:c>
      <x:c r="Q152" t="n">
        <x:f>IF(LEN('Target Products'!H152)&gt;0,1,0)</x:f>
        <x:v>1</x:v>
      </x:c>
      <x:c r="R152" t="n">
        <x:f>IF(ISNUMBER('Target Products'!I152),1,0)</x:f>
        <x:v>1</x:v>
      </x:c>
      <x:c r="S152" t="n">
        <x:f>IF(ISNUMBER('Target Products'!J152),1,0)</x:f>
        <x:v>1</x:v>
      </x:c>
      <x:c r="T152" t="n">
        <x:f>IF(ISNUMBER('Target Products'!K152),1,0)</x:f>
        <x:v>1</x:v>
      </x:c>
      <x:c r="U152" t="n">
        <x:f>IF(LEN('Target Products'!L152)&gt;0,1,0)</x:f>
        <x:v>1</x:v>
      </x:c>
    </x:row>
    <x:row r="153">
      <x:c r="M153" t="n">
        <x:f>IF(LEN('Target Products'!C153)&gt;0,1,0)</x:f>
        <x:v>1</x:v>
      </x:c>
      <x:c r="N153" t="n">
        <x:f>IF(LEN('Target Products'!D153)&gt;0,1,0)</x:f>
        <x:v>1</x:v>
      </x:c>
      <x:c r="O153" t="n">
        <x:f>IF(LEN('Target Products'!F153)&gt;0,1,0)</x:f>
        <x:v>1</x:v>
      </x:c>
      <x:c r="P153" t="n">
        <x:f>IF(LEN('Target Products'!G153)&gt;0,1,0)</x:f>
        <x:v>1</x:v>
      </x:c>
      <x:c r="Q153" t="n">
        <x:f>IF(LEN('Target Products'!H153)&gt;0,1,0)</x:f>
        <x:v>0</x:v>
      </x:c>
      <x:c r="R153" t="n">
        <x:f>IF(ISNUMBER('Target Products'!I153),1,0)</x:f>
        <x:v>1</x:v>
      </x:c>
      <x:c r="S153" t="n">
        <x:f>IF(ISNUMBER('Target Products'!J153),1,0)</x:f>
        <x:v>1</x:v>
      </x:c>
      <x:c r="T153" t="n">
        <x:f>IF(ISNUMBER('Target Products'!K153),1,0)</x:f>
        <x:v>1</x:v>
      </x:c>
      <x:c r="U153" t="n">
        <x:f>IF(LEN('Target Products'!L153)&gt;0,1,0)</x:f>
        <x:v>1</x:v>
      </x:c>
    </x:row>
    <x:row r="154">
      <x:c r="M154" t="n">
        <x:f>IF(LEN('Target Products'!C154)&gt;0,1,0)</x:f>
        <x:v>1</x:v>
      </x:c>
      <x:c r="N154" t="n">
        <x:f>IF(LEN('Target Products'!D154)&gt;0,1,0)</x:f>
        <x:v>1</x:v>
      </x:c>
      <x:c r="O154" t="n">
        <x:f>IF(LEN('Target Products'!F154)&gt;0,1,0)</x:f>
        <x:v>1</x:v>
      </x:c>
      <x:c r="P154" t="n">
        <x:f>IF(LEN('Target Products'!G154)&gt;0,1,0)</x:f>
        <x:v>1</x:v>
      </x:c>
      <x:c r="Q154" t="n">
        <x:f>IF(LEN('Target Products'!H154)&gt;0,1,0)</x:f>
        <x:v>1</x:v>
      </x:c>
      <x:c r="R154" t="n">
        <x:f>IF(ISNUMBER('Target Products'!I154),1,0)</x:f>
        <x:v>1</x:v>
      </x:c>
      <x:c r="S154" t="n">
        <x:f>IF(ISNUMBER('Target Products'!J154),1,0)</x:f>
        <x:v>1</x:v>
      </x:c>
      <x:c r="T154" t="n">
        <x:f>IF(ISNUMBER('Target Products'!K154),1,0)</x:f>
        <x:v>1</x:v>
      </x:c>
      <x:c r="U154" t="n">
        <x:f>IF(LEN('Target Products'!L154)&gt;0,1,0)</x:f>
        <x:v>1</x:v>
      </x:c>
    </x:row>
    <x:row r="155">
      <x:c r="M155" t="n">
        <x:f>IF(LEN('Target Products'!C155)&gt;0,1,0)</x:f>
        <x:v>1</x:v>
      </x:c>
      <x:c r="N155" t="n">
        <x:f>IF(LEN('Target Products'!D155)&gt;0,1,0)</x:f>
        <x:v>1</x:v>
      </x:c>
      <x:c r="O155" t="n">
        <x:f>IF(LEN('Target Products'!F155)&gt;0,1,0)</x:f>
        <x:v>1</x:v>
      </x:c>
      <x:c r="P155" t="n">
        <x:f>IF(LEN('Target Products'!G155)&gt;0,1,0)</x:f>
        <x:v>1</x:v>
      </x:c>
      <x:c r="Q155" t="n">
        <x:f>IF(LEN('Target Products'!H155)&gt;0,1,0)</x:f>
        <x:v>1</x:v>
      </x:c>
      <x:c r="R155" t="n">
        <x:f>IF(ISNUMBER('Target Products'!I155),1,0)</x:f>
        <x:v>0</x:v>
      </x:c>
      <x:c r="S155" t="n">
        <x:f>IF(ISNUMBER('Target Products'!J155),1,0)</x:f>
        <x:v>1</x:v>
      </x:c>
      <x:c r="T155" t="n">
        <x:f>IF(ISNUMBER('Target Products'!K155),1,0)</x:f>
        <x:v>1</x:v>
      </x:c>
      <x:c r="U155" t="n">
        <x:f>IF(LEN('Target Products'!L155)&gt;0,1,0)</x:f>
        <x:v>1</x:v>
      </x:c>
    </x:row>
    <x:row r="156">
      <x:c r="M156" t="n">
        <x:f>IF(LEN('Target Products'!C156)&gt;0,1,0)</x:f>
        <x:v>1</x:v>
      </x:c>
      <x:c r="N156" t="n">
        <x:f>IF(LEN('Target Products'!D156)&gt;0,1,0)</x:f>
        <x:v>1</x:v>
      </x:c>
      <x:c r="O156" t="n">
        <x:f>IF(LEN('Target Products'!F156)&gt;0,1,0)</x:f>
        <x:v>1</x:v>
      </x:c>
      <x:c r="P156" t="n">
        <x:f>IF(LEN('Target Products'!G156)&gt;0,1,0)</x:f>
        <x:v>1</x:v>
      </x:c>
      <x:c r="Q156" t="n">
        <x:f>IF(LEN('Target Products'!H156)&gt;0,1,0)</x:f>
        <x:v>1</x:v>
      </x:c>
      <x:c r="R156" t="n">
        <x:f>IF(ISNUMBER('Target Products'!I156),1,0)</x:f>
        <x:v>0</x:v>
      </x:c>
      <x:c r="S156" t="n">
        <x:f>IF(ISNUMBER('Target Products'!J156),1,0)</x:f>
        <x:v>1</x:v>
      </x:c>
      <x:c r="T156" t="n">
        <x:f>IF(ISNUMBER('Target Products'!K156),1,0)</x:f>
        <x:v>1</x:v>
      </x:c>
      <x:c r="U156" t="n">
        <x:f>IF(LEN('Target Products'!L156)&gt;0,1,0)</x:f>
        <x:v>1</x:v>
      </x:c>
    </x:row>
    <x:row r="157">
      <x:c r="M157" t="n">
        <x:f>IF(LEN('Target Products'!C157)&gt;0,1,0)</x:f>
        <x:v>1</x:v>
      </x:c>
      <x:c r="N157" t="n">
        <x:f>IF(LEN('Target Products'!D157)&gt;0,1,0)</x:f>
        <x:v>1</x:v>
      </x:c>
      <x:c r="O157" t="n">
        <x:f>IF(LEN('Target Products'!F157)&gt;0,1,0)</x:f>
        <x:v>1</x:v>
      </x:c>
      <x:c r="P157" t="n">
        <x:f>IF(LEN('Target Products'!G157)&gt;0,1,0)</x:f>
        <x:v>1</x:v>
      </x:c>
      <x:c r="Q157" t="n">
        <x:f>IF(LEN('Target Products'!H157)&gt;0,1,0)</x:f>
        <x:v>0</x:v>
      </x:c>
      <x:c r="R157" t="n">
        <x:f>IF(ISNUMBER('Target Products'!I157),1,0)</x:f>
        <x:v>1</x:v>
      </x:c>
      <x:c r="S157" t="n">
        <x:f>IF(ISNUMBER('Target Products'!J157),1,0)</x:f>
        <x:v>1</x:v>
      </x:c>
      <x:c r="T157" t="n">
        <x:f>IF(ISNUMBER('Target Products'!K157),1,0)</x:f>
        <x:v>1</x:v>
      </x:c>
      <x:c r="U157" t="n">
        <x:f>IF(LEN('Target Products'!L157)&gt;0,1,0)</x:f>
        <x:v>1</x:v>
      </x:c>
    </x:row>
    <x:row r="158">
      <x:c r="M158" t="n">
        <x:f>IF(LEN('Target Products'!C158)&gt;0,1,0)</x:f>
        <x:v>1</x:v>
      </x:c>
      <x:c r="N158" t="n">
        <x:f>IF(LEN('Target Products'!D158)&gt;0,1,0)</x:f>
        <x:v>1</x:v>
      </x:c>
      <x:c r="O158" t="n">
        <x:f>IF(LEN('Target Products'!F158)&gt;0,1,0)</x:f>
        <x:v>1</x:v>
      </x:c>
      <x:c r="P158" t="n">
        <x:f>IF(LEN('Target Products'!G158)&gt;0,1,0)</x:f>
        <x:v>1</x:v>
      </x:c>
      <x:c r="Q158" t="n">
        <x:f>IF(LEN('Target Products'!H158)&gt;0,1,0)</x:f>
        <x:v>1</x:v>
      </x:c>
      <x:c r="R158" t="n">
        <x:f>IF(ISNUMBER('Target Products'!I158),1,0)</x:f>
        <x:v>1</x:v>
      </x:c>
      <x:c r="S158" t="n">
        <x:f>IF(ISNUMBER('Target Products'!J158),1,0)</x:f>
        <x:v>1</x:v>
      </x:c>
      <x:c r="T158" t="n">
        <x:f>IF(ISNUMBER('Target Products'!K158),1,0)</x:f>
        <x:v>1</x:v>
      </x:c>
      <x:c r="U158" t="n">
        <x:f>IF(LEN('Target Products'!L158)&gt;0,1,0)</x:f>
        <x:v>1</x:v>
      </x:c>
    </x:row>
    <x:row r="159">
      <x:c r="M159" t="n">
        <x:f>IF(LEN('Target Products'!C159)&gt;0,1,0)</x:f>
        <x:v>1</x:v>
      </x:c>
      <x:c r="N159" t="n">
        <x:f>IF(LEN('Target Products'!D159)&gt;0,1,0)</x:f>
        <x:v>1</x:v>
      </x:c>
      <x:c r="O159" t="n">
        <x:f>IF(LEN('Target Products'!F159)&gt;0,1,0)</x:f>
        <x:v>1</x:v>
      </x:c>
      <x:c r="P159" t="n">
        <x:f>IF(LEN('Target Products'!G159)&gt;0,1,0)</x:f>
        <x:v>1</x:v>
      </x:c>
      <x:c r="Q159" t="n">
        <x:f>IF(LEN('Target Products'!H159)&gt;0,1,0)</x:f>
        <x:v>0</x:v>
      </x:c>
      <x:c r="R159" t="n">
        <x:f>IF(ISNUMBER('Target Products'!I159),1,0)</x:f>
        <x:v>1</x:v>
      </x:c>
      <x:c r="S159" t="n">
        <x:f>IF(ISNUMBER('Target Products'!J159),1,0)</x:f>
        <x:v>1</x:v>
      </x:c>
      <x:c r="T159" t="n">
        <x:f>IF(ISNUMBER('Target Products'!K159),1,0)</x:f>
        <x:v>1</x:v>
      </x:c>
      <x:c r="U159" t="n">
        <x:f>IF(LEN('Target Products'!L159)&gt;0,1,0)</x:f>
        <x:v>1</x:v>
      </x:c>
    </x:row>
    <x:row r="160">
      <x:c r="M160" t="n">
        <x:f>IF(LEN('Target Products'!C160)&gt;0,1,0)</x:f>
        <x:v>1</x:v>
      </x:c>
      <x:c r="N160" t="n">
        <x:f>IF(LEN('Target Products'!D160)&gt;0,1,0)</x:f>
        <x:v>1</x:v>
      </x:c>
      <x:c r="O160" t="n">
        <x:f>IF(LEN('Target Products'!F160)&gt;0,1,0)</x:f>
        <x:v>1</x:v>
      </x:c>
      <x:c r="P160" t="n">
        <x:f>IF(LEN('Target Products'!G160)&gt;0,1,0)</x:f>
        <x:v>1</x:v>
      </x:c>
      <x:c r="Q160" t="n">
        <x:f>IF(LEN('Target Products'!H160)&gt;0,1,0)</x:f>
        <x:v>1</x:v>
      </x:c>
      <x:c r="R160" t="n">
        <x:f>IF(ISNUMBER('Target Products'!I160),1,0)</x:f>
        <x:v>1</x:v>
      </x:c>
      <x:c r="S160" t="n">
        <x:f>IF(ISNUMBER('Target Products'!J160),1,0)</x:f>
        <x:v>1</x:v>
      </x:c>
      <x:c r="T160" t="n">
        <x:f>IF(ISNUMBER('Target Products'!K160),1,0)</x:f>
        <x:v>1</x:v>
      </x:c>
      <x:c r="U160" t="n">
        <x:f>IF(LEN('Target Products'!L160)&gt;0,1,0)</x:f>
        <x:v>1</x:v>
      </x:c>
    </x:row>
    <x:row r="161">
      <x:c r="M161" t="n">
        <x:f>IF(LEN('Target Products'!C161)&gt;0,1,0)</x:f>
        <x:v>1</x:v>
      </x:c>
      <x:c r="N161" t="n">
        <x:f>IF(LEN('Target Products'!D161)&gt;0,1,0)</x:f>
        <x:v>1</x:v>
      </x:c>
      <x:c r="O161" t="n">
        <x:f>IF(LEN('Target Products'!F161)&gt;0,1,0)</x:f>
        <x:v>1</x:v>
      </x:c>
      <x:c r="P161" t="n">
        <x:f>IF(LEN('Target Products'!G161)&gt;0,1,0)</x:f>
        <x:v>1</x:v>
      </x:c>
      <x:c r="Q161" t="n">
        <x:f>IF(LEN('Target Products'!H161)&gt;0,1,0)</x:f>
        <x:v>1</x:v>
      </x:c>
      <x:c r="R161" t="n">
        <x:f>IF(ISNUMBER('Target Products'!I161),1,0)</x:f>
        <x:v>1</x:v>
      </x:c>
      <x:c r="S161" t="n">
        <x:f>IF(ISNUMBER('Target Products'!J161),1,0)</x:f>
        <x:v>1</x:v>
      </x:c>
      <x:c r="T161" t="n">
        <x:f>IF(ISNUMBER('Target Products'!K161),1,0)</x:f>
        <x:v>1</x:v>
      </x:c>
      <x:c r="U161" t="n">
        <x:f>IF(LEN('Target Products'!L161)&gt;0,1,0)</x:f>
        <x:v>1</x:v>
      </x:c>
    </x:row>
    <x:row r="162">
      <x:c r="M162" t="n">
        <x:f>IF(LEN('Target Products'!C162)&gt;0,1,0)</x:f>
        <x:v>1</x:v>
      </x:c>
      <x:c r="N162" t="n">
        <x:f>IF(LEN('Target Products'!D162)&gt;0,1,0)</x:f>
        <x:v>1</x:v>
      </x:c>
      <x:c r="O162" t="n">
        <x:f>IF(LEN('Target Products'!F162)&gt;0,1,0)</x:f>
        <x:v>1</x:v>
      </x:c>
      <x:c r="P162" t="n">
        <x:f>IF(LEN('Target Products'!G162)&gt;0,1,0)</x:f>
        <x:v>1</x:v>
      </x:c>
      <x:c r="Q162" t="n">
        <x:f>IF(LEN('Target Products'!H162)&gt;0,1,0)</x:f>
        <x:v>0</x:v>
      </x:c>
      <x:c r="R162" t="n">
        <x:f>IF(ISNUMBER('Target Products'!I162),1,0)</x:f>
        <x:v>1</x:v>
      </x:c>
      <x:c r="S162" t="n">
        <x:f>IF(ISNUMBER('Target Products'!J162),1,0)</x:f>
        <x:v>1</x:v>
      </x:c>
      <x:c r="T162" t="n">
        <x:f>IF(ISNUMBER('Target Products'!K162),1,0)</x:f>
        <x:v>1</x:v>
      </x:c>
      <x:c r="U162" t="n">
        <x:f>IF(LEN('Target Products'!L162)&gt;0,1,0)</x:f>
        <x:v>1</x:v>
      </x:c>
    </x:row>
    <x:row r="163">
      <x:c r="M163" t="n">
        <x:f>IF(LEN('Target Products'!C163)&gt;0,1,0)</x:f>
        <x:v>1</x:v>
      </x:c>
      <x:c r="N163" t="n">
        <x:f>IF(LEN('Target Products'!D163)&gt;0,1,0)</x:f>
        <x:v>1</x:v>
      </x:c>
      <x:c r="O163" t="n">
        <x:f>IF(LEN('Target Products'!F163)&gt;0,1,0)</x:f>
        <x:v>1</x:v>
      </x:c>
      <x:c r="P163" t="n">
        <x:f>IF(LEN('Target Products'!G163)&gt;0,1,0)</x:f>
        <x:v>1</x:v>
      </x:c>
      <x:c r="Q163" t="n">
        <x:f>IF(LEN('Target Products'!H163)&gt;0,1,0)</x:f>
        <x:v>1</x:v>
      </x:c>
      <x:c r="R163" t="n">
        <x:f>IF(ISNUMBER('Target Products'!I163),1,0)</x:f>
        <x:v>1</x:v>
      </x:c>
      <x:c r="S163" t="n">
        <x:f>IF(ISNUMBER('Target Products'!J163),1,0)</x:f>
        <x:v>1</x:v>
      </x:c>
      <x:c r="T163" t="n">
        <x:f>IF(ISNUMBER('Target Products'!K163),1,0)</x:f>
        <x:v>1</x:v>
      </x:c>
      <x:c r="U163" t="n">
        <x:f>IF(LEN('Target Products'!L163)&gt;0,1,0)</x:f>
        <x:v>1</x:v>
      </x:c>
    </x:row>
    <x:row r="164">
      <x:c r="M164" t="n">
        <x:f>IF(LEN('Target Products'!C164)&gt;0,1,0)</x:f>
        <x:v>1</x:v>
      </x:c>
      <x:c r="N164" t="n">
        <x:f>IF(LEN('Target Products'!D164)&gt;0,1,0)</x:f>
        <x:v>1</x:v>
      </x:c>
      <x:c r="O164" t="n">
        <x:f>IF(LEN('Target Products'!F164)&gt;0,1,0)</x:f>
        <x:v>1</x:v>
      </x:c>
      <x:c r="P164" t="n">
        <x:f>IF(LEN('Target Products'!G164)&gt;0,1,0)</x:f>
        <x:v>1</x:v>
      </x:c>
      <x:c r="Q164" t="n">
        <x:f>IF(LEN('Target Products'!H164)&gt;0,1,0)</x:f>
        <x:v>1</x:v>
      </x:c>
      <x:c r="R164" t="n">
        <x:f>IF(ISNUMBER('Target Products'!I164),1,0)</x:f>
        <x:v>1</x:v>
      </x:c>
      <x:c r="S164" t="n">
        <x:f>IF(ISNUMBER('Target Products'!J164),1,0)</x:f>
        <x:v>1</x:v>
      </x:c>
      <x:c r="T164" t="n">
        <x:f>IF(ISNUMBER('Target Products'!K164),1,0)</x:f>
        <x:v>1</x:v>
      </x:c>
      <x:c r="U164" t="n">
        <x:f>IF(LEN('Target Products'!L164)&gt;0,1,0)</x:f>
        <x:v>1</x:v>
      </x:c>
    </x:row>
    <x:row r="165">
      <x:c r="M165" t="n">
        <x:f>IF(LEN('Target Products'!C165)&gt;0,1,0)</x:f>
        <x:v>1</x:v>
      </x:c>
      <x:c r="N165" t="n">
        <x:f>IF(LEN('Target Products'!D165)&gt;0,1,0)</x:f>
        <x:v>1</x:v>
      </x:c>
      <x:c r="O165" t="n">
        <x:f>IF(LEN('Target Products'!F165)&gt;0,1,0)</x:f>
        <x:v>1</x:v>
      </x:c>
      <x:c r="P165" t="n">
        <x:f>IF(LEN('Target Products'!G165)&gt;0,1,0)</x:f>
        <x:v>1</x:v>
      </x:c>
      <x:c r="Q165" t="n">
        <x:f>IF(LEN('Target Products'!H165)&gt;0,1,0)</x:f>
        <x:v>0</x:v>
      </x:c>
      <x:c r="R165" t="n">
        <x:f>IF(ISNUMBER('Target Products'!I165),1,0)</x:f>
        <x:v>1</x:v>
      </x:c>
      <x:c r="S165" t="n">
        <x:f>IF(ISNUMBER('Target Products'!J165),1,0)</x:f>
        <x:v>1</x:v>
      </x:c>
      <x:c r="T165" t="n">
        <x:f>IF(ISNUMBER('Target Products'!K165),1,0)</x:f>
        <x:v>1</x:v>
      </x:c>
      <x:c r="U165" t="n">
        <x:f>IF(LEN('Target Products'!L165)&gt;0,1,0)</x:f>
        <x:v>1</x:v>
      </x:c>
    </x:row>
    <x:row r="166">
      <x:c r="M166" t="n">
        <x:f>IF(LEN('Target Products'!C166)&gt;0,1,0)</x:f>
        <x:v>1</x:v>
      </x:c>
      <x:c r="N166" t="n">
        <x:f>IF(LEN('Target Products'!D166)&gt;0,1,0)</x:f>
        <x:v>1</x:v>
      </x:c>
      <x:c r="O166" t="n">
        <x:f>IF(LEN('Target Products'!F166)&gt;0,1,0)</x:f>
        <x:v>1</x:v>
      </x:c>
      <x:c r="P166" t="n">
        <x:f>IF(LEN('Target Products'!G166)&gt;0,1,0)</x:f>
        <x:v>1</x:v>
      </x:c>
      <x:c r="Q166" t="n">
        <x:f>IF(LEN('Target Products'!H166)&gt;0,1,0)</x:f>
        <x:v>0</x:v>
      </x:c>
      <x:c r="R166" t="n">
        <x:f>IF(ISNUMBER('Target Products'!I166),1,0)</x:f>
        <x:v>1</x:v>
      </x:c>
      <x:c r="S166" t="n">
        <x:f>IF(ISNUMBER('Target Products'!J166),1,0)</x:f>
        <x:v>1</x:v>
      </x:c>
      <x:c r="T166" t="n">
        <x:f>IF(ISNUMBER('Target Products'!K166),1,0)</x:f>
        <x:v>1</x:v>
      </x:c>
      <x:c r="U166" t="n">
        <x:f>IF(LEN('Target Products'!L166)&gt;0,1,0)</x:f>
        <x:v>1</x:v>
      </x:c>
    </x:row>
    <x:row r="167">
      <x:c r="M167" t="n">
        <x:f>IF(LEN('Target Products'!C167)&gt;0,1,0)</x:f>
        <x:v>1</x:v>
      </x:c>
      <x:c r="N167" t="n">
        <x:f>IF(LEN('Target Products'!D167)&gt;0,1,0)</x:f>
        <x:v>1</x:v>
      </x:c>
      <x:c r="O167" t="n">
        <x:f>IF(LEN('Target Products'!F167)&gt;0,1,0)</x:f>
        <x:v>1</x:v>
      </x:c>
      <x:c r="P167" t="n">
        <x:f>IF(LEN('Target Products'!G167)&gt;0,1,0)</x:f>
        <x:v>1</x:v>
      </x:c>
      <x:c r="Q167" t="n">
        <x:f>IF(LEN('Target Products'!H167)&gt;0,1,0)</x:f>
        <x:v>0</x:v>
      </x:c>
      <x:c r="R167" t="n">
        <x:f>IF(ISNUMBER('Target Products'!I167),1,0)</x:f>
        <x:v>1</x:v>
      </x:c>
      <x:c r="S167" t="n">
        <x:f>IF(ISNUMBER('Target Products'!J167),1,0)</x:f>
        <x:v>1</x:v>
      </x:c>
      <x:c r="T167" t="n">
        <x:f>IF(ISNUMBER('Target Products'!K167),1,0)</x:f>
        <x:v>1</x:v>
      </x:c>
      <x:c r="U167" t="n">
        <x:f>IF(LEN('Target Products'!L167)&gt;0,1,0)</x:f>
        <x:v>1</x:v>
      </x:c>
    </x:row>
    <x:row r="168">
      <x:c r="M168" t="n">
        <x:f>IF(LEN('Target Products'!C168)&gt;0,1,0)</x:f>
        <x:v>1</x:v>
      </x:c>
      <x:c r="N168" t="n">
        <x:f>IF(LEN('Target Products'!D168)&gt;0,1,0)</x:f>
        <x:v>1</x:v>
      </x:c>
      <x:c r="O168" t="n">
        <x:f>IF(LEN('Target Products'!F168)&gt;0,1,0)</x:f>
        <x:v>1</x:v>
      </x:c>
      <x:c r="P168" t="n">
        <x:f>IF(LEN('Target Products'!G168)&gt;0,1,0)</x:f>
        <x:v>1</x:v>
      </x:c>
      <x:c r="Q168" t="n">
        <x:f>IF(LEN('Target Products'!H168)&gt;0,1,0)</x:f>
        <x:v>1</x:v>
      </x:c>
      <x:c r="R168" t="n">
        <x:f>IF(ISNUMBER('Target Products'!I168),1,0)</x:f>
        <x:v>1</x:v>
      </x:c>
      <x:c r="S168" t="n">
        <x:f>IF(ISNUMBER('Target Products'!J168),1,0)</x:f>
        <x:v>1</x:v>
      </x:c>
      <x:c r="T168" t="n">
        <x:f>IF(ISNUMBER('Target Products'!K168),1,0)</x:f>
        <x:v>1</x:v>
      </x:c>
      <x:c r="U168" t="n">
        <x:f>IF(LEN('Target Products'!L168)&gt;0,1,0)</x:f>
        <x:v>1</x:v>
      </x:c>
    </x:row>
    <x:row r="169">
      <x:c r="M169" t="n">
        <x:f>IF(LEN('Target Products'!C169)&gt;0,1,0)</x:f>
        <x:v>1</x:v>
      </x:c>
      <x:c r="N169" t="n">
        <x:f>IF(LEN('Target Products'!D169)&gt;0,1,0)</x:f>
        <x:v>1</x:v>
      </x:c>
      <x:c r="O169" t="n">
        <x:f>IF(LEN('Target Products'!F169)&gt;0,1,0)</x:f>
        <x:v>1</x:v>
      </x:c>
      <x:c r="P169" t="n">
        <x:f>IF(LEN('Target Products'!G169)&gt;0,1,0)</x:f>
        <x:v>1</x:v>
      </x:c>
      <x:c r="Q169" t="n">
        <x:f>IF(LEN('Target Products'!H169)&gt;0,1,0)</x:f>
        <x:v>0</x:v>
      </x:c>
      <x:c r="R169" t="n">
        <x:f>IF(ISNUMBER('Target Products'!I169),1,0)</x:f>
        <x:v>1</x:v>
      </x:c>
      <x:c r="S169" t="n">
        <x:f>IF(ISNUMBER('Target Products'!J169),1,0)</x:f>
        <x:v>1</x:v>
      </x:c>
      <x:c r="T169" t="n">
        <x:f>IF(ISNUMBER('Target Products'!K169),1,0)</x:f>
        <x:v>1</x:v>
      </x:c>
      <x:c r="U169" t="n">
        <x:f>IF(LEN('Target Products'!L169)&gt;0,1,0)</x:f>
        <x:v>1</x:v>
      </x:c>
    </x:row>
    <x:row r="170">
      <x:c r="M170" t="n">
        <x:f>IF(LEN('Target Products'!C170)&gt;0,1,0)</x:f>
        <x:v>1</x:v>
      </x:c>
      <x:c r="N170" t="n">
        <x:f>IF(LEN('Target Products'!D170)&gt;0,1,0)</x:f>
        <x:v>1</x:v>
      </x:c>
      <x:c r="O170" t="n">
        <x:f>IF(LEN('Target Products'!F170)&gt;0,1,0)</x:f>
        <x:v>1</x:v>
      </x:c>
      <x:c r="P170" t="n">
        <x:f>IF(LEN('Target Products'!G170)&gt;0,1,0)</x:f>
        <x:v>1</x:v>
      </x:c>
      <x:c r="Q170" t="n">
        <x:f>IF(LEN('Target Products'!H170)&gt;0,1,0)</x:f>
        <x:v>1</x:v>
      </x:c>
      <x:c r="R170" t="n">
        <x:f>IF(ISNUMBER('Target Products'!I170),1,0)</x:f>
        <x:v>0</x:v>
      </x:c>
      <x:c r="S170" t="n">
        <x:f>IF(ISNUMBER('Target Products'!J170),1,0)</x:f>
        <x:v>1</x:v>
      </x:c>
      <x:c r="T170" t="n">
        <x:f>IF(ISNUMBER('Target Products'!K170),1,0)</x:f>
        <x:v>1</x:v>
      </x:c>
      <x:c r="U170" t="n">
        <x:f>IF(LEN('Target Products'!L170)&gt;0,1,0)</x:f>
        <x:v>1</x:v>
      </x:c>
    </x:row>
    <x:row r="171">
      <x:c r="M171" t="n">
        <x:f>IF(LEN('Target Products'!C171)&gt;0,1,0)</x:f>
        <x:v>1</x:v>
      </x:c>
      <x:c r="N171" t="n">
        <x:f>IF(LEN('Target Products'!D171)&gt;0,1,0)</x:f>
        <x:v>1</x:v>
      </x:c>
      <x:c r="O171" t="n">
        <x:f>IF(LEN('Target Products'!F171)&gt;0,1,0)</x:f>
        <x:v>1</x:v>
      </x:c>
      <x:c r="P171" t="n">
        <x:f>IF(LEN('Target Products'!G171)&gt;0,1,0)</x:f>
        <x:v>1</x:v>
      </x:c>
      <x:c r="Q171" t="n">
        <x:f>IF(LEN('Target Products'!H171)&gt;0,1,0)</x:f>
        <x:v>1</x:v>
      </x:c>
      <x:c r="R171" t="n">
        <x:f>IF(ISNUMBER('Target Products'!I171),1,0)</x:f>
        <x:v>1</x:v>
      </x:c>
      <x:c r="S171" t="n">
        <x:f>IF(ISNUMBER('Target Products'!J171),1,0)</x:f>
        <x:v>1</x:v>
      </x:c>
      <x:c r="T171" t="n">
        <x:f>IF(ISNUMBER('Target Products'!K171),1,0)</x:f>
        <x:v>1</x:v>
      </x:c>
      <x:c r="U171" t="n">
        <x:f>IF(LEN('Target Products'!L171)&gt;0,1,0)</x:f>
        <x:v>1</x:v>
      </x:c>
    </x:row>
    <x:row r="172">
      <x:c r="M172" t="n">
        <x:f>IF(LEN('Target Products'!C172)&gt;0,1,0)</x:f>
        <x:v>1</x:v>
      </x:c>
      <x:c r="N172" t="n">
        <x:f>IF(LEN('Target Products'!D172)&gt;0,1,0)</x:f>
        <x:v>1</x:v>
      </x:c>
      <x:c r="O172" t="n">
        <x:f>IF(LEN('Target Products'!F172)&gt;0,1,0)</x:f>
        <x:v>1</x:v>
      </x:c>
      <x:c r="P172" t="n">
        <x:f>IF(LEN('Target Products'!G172)&gt;0,1,0)</x:f>
        <x:v>1</x:v>
      </x:c>
      <x:c r="Q172" t="n">
        <x:f>IF(LEN('Target Products'!H172)&gt;0,1,0)</x:f>
        <x:v>0</x:v>
      </x:c>
      <x:c r="R172" t="n">
        <x:f>IF(ISNUMBER('Target Products'!I172),1,0)</x:f>
        <x:v>1</x:v>
      </x:c>
      <x:c r="S172" t="n">
        <x:f>IF(ISNUMBER('Target Products'!J172),1,0)</x:f>
        <x:v>1</x:v>
      </x:c>
      <x:c r="T172" t="n">
        <x:f>IF(ISNUMBER('Target Products'!K172),1,0)</x:f>
        <x:v>1</x:v>
      </x:c>
      <x:c r="U172" t="n">
        <x:f>IF(LEN('Target Products'!L172)&gt;0,1,0)</x:f>
        <x:v>1</x:v>
      </x:c>
    </x:row>
    <x:row r="173">
      <x:c r="M173" t="n">
        <x:f>IF(LEN('Target Products'!C173)&gt;0,1,0)</x:f>
        <x:v>1</x:v>
      </x:c>
      <x:c r="N173" t="n">
        <x:f>IF(LEN('Target Products'!D173)&gt;0,1,0)</x:f>
        <x:v>1</x:v>
      </x:c>
      <x:c r="O173" t="n">
        <x:f>IF(LEN('Target Products'!F173)&gt;0,1,0)</x:f>
        <x:v>1</x:v>
      </x:c>
      <x:c r="P173" t="n">
        <x:f>IF(LEN('Target Products'!G173)&gt;0,1,0)</x:f>
        <x:v>1</x:v>
      </x:c>
      <x:c r="Q173" t="n">
        <x:f>IF(LEN('Target Products'!H173)&gt;0,1,0)</x:f>
        <x:v>1</x:v>
      </x:c>
      <x:c r="R173" t="n">
        <x:f>IF(ISNUMBER('Target Products'!I173),1,0)</x:f>
        <x:v>1</x:v>
      </x:c>
      <x:c r="S173" t="n">
        <x:f>IF(ISNUMBER('Target Products'!J173),1,0)</x:f>
        <x:v>1</x:v>
      </x:c>
      <x:c r="T173" t="n">
        <x:f>IF(ISNUMBER('Target Products'!K173),1,0)</x:f>
        <x:v>1</x:v>
      </x:c>
      <x:c r="U173" t="n">
        <x:f>IF(LEN('Target Products'!L173)&gt;0,1,0)</x:f>
        <x:v>1</x:v>
      </x:c>
    </x:row>
    <x:row r="174">
      <x:c r="M174" t="n">
        <x:f>IF(LEN('Target Products'!C174)&gt;0,1,0)</x:f>
        <x:v>1</x:v>
      </x:c>
      <x:c r="N174" t="n">
        <x:f>IF(LEN('Target Products'!D174)&gt;0,1,0)</x:f>
        <x:v>1</x:v>
      </x:c>
      <x:c r="O174" t="n">
        <x:f>IF(LEN('Target Products'!F174)&gt;0,1,0)</x:f>
        <x:v>1</x:v>
      </x:c>
      <x:c r="P174" t="n">
        <x:f>IF(LEN('Target Products'!G174)&gt;0,1,0)</x:f>
        <x:v>1</x:v>
      </x:c>
      <x:c r="Q174" t="n">
        <x:f>IF(LEN('Target Products'!H174)&gt;0,1,0)</x:f>
        <x:v>1</x:v>
      </x:c>
      <x:c r="R174" t="n">
        <x:f>IF(ISNUMBER('Target Products'!I174),1,0)</x:f>
        <x:v>1</x:v>
      </x:c>
      <x:c r="S174" t="n">
        <x:f>IF(ISNUMBER('Target Products'!J174),1,0)</x:f>
        <x:v>1</x:v>
      </x:c>
      <x:c r="T174" t="n">
        <x:f>IF(ISNUMBER('Target Products'!K174),1,0)</x:f>
        <x:v>1</x:v>
      </x:c>
      <x:c r="U174" t="n">
        <x:f>IF(LEN('Target Products'!L174)&gt;0,1,0)</x:f>
        <x:v>1</x:v>
      </x:c>
    </x:row>
    <x:row r="175">
      <x:c r="M175" t="n">
        <x:f>IF(LEN('Target Products'!C175)&gt;0,1,0)</x:f>
        <x:v>1</x:v>
      </x:c>
      <x:c r="N175" t="n">
        <x:f>IF(LEN('Target Products'!D175)&gt;0,1,0)</x:f>
        <x:v>1</x:v>
      </x:c>
      <x:c r="O175" t="n">
        <x:f>IF(LEN('Target Products'!F175)&gt;0,1,0)</x:f>
        <x:v>1</x:v>
      </x:c>
      <x:c r="P175" t="n">
        <x:f>IF(LEN('Target Products'!G175)&gt;0,1,0)</x:f>
        <x:v>1</x:v>
      </x:c>
      <x:c r="Q175" t="n">
        <x:f>IF(LEN('Target Products'!H175)&gt;0,1,0)</x:f>
        <x:v>0</x:v>
      </x:c>
      <x:c r="R175" t="n">
        <x:f>IF(ISNUMBER('Target Products'!I175),1,0)</x:f>
        <x:v>1</x:v>
      </x:c>
      <x:c r="S175" t="n">
        <x:f>IF(ISNUMBER('Target Products'!J175),1,0)</x:f>
        <x:v>1</x:v>
      </x:c>
      <x:c r="T175" t="n">
        <x:f>IF(ISNUMBER('Target Products'!K175),1,0)</x:f>
        <x:v>1</x:v>
      </x:c>
      <x:c r="U175" t="n">
        <x:f>IF(LEN('Target Products'!L175)&gt;0,1,0)</x:f>
        <x:v>1</x:v>
      </x:c>
    </x:row>
    <x:row r="176">
      <x:c r="M176" t="n">
        <x:f>IF(LEN('Target Products'!C176)&gt;0,1,0)</x:f>
        <x:v>1</x:v>
      </x:c>
      <x:c r="N176" t="n">
        <x:f>IF(LEN('Target Products'!D176)&gt;0,1,0)</x:f>
        <x:v>1</x:v>
      </x:c>
      <x:c r="O176" t="n">
        <x:f>IF(LEN('Target Products'!F176)&gt;0,1,0)</x:f>
        <x:v>1</x:v>
      </x:c>
      <x:c r="P176" t="n">
        <x:f>IF(LEN('Target Products'!G176)&gt;0,1,0)</x:f>
        <x:v>1</x:v>
      </x:c>
      <x:c r="Q176" t="n">
        <x:f>IF(LEN('Target Products'!H176)&gt;0,1,0)</x:f>
        <x:v>1</x:v>
      </x:c>
      <x:c r="R176" t="n">
        <x:f>IF(ISNUMBER('Target Products'!I176),1,0)</x:f>
        <x:v>1</x:v>
      </x:c>
      <x:c r="S176" t="n">
        <x:f>IF(ISNUMBER('Target Products'!J176),1,0)</x:f>
        <x:v>1</x:v>
      </x:c>
      <x:c r="T176" t="n">
        <x:f>IF(ISNUMBER('Target Products'!K176),1,0)</x:f>
        <x:v>1</x:v>
      </x:c>
      <x:c r="U176" t="n">
        <x:f>IF(LEN('Target Products'!L176)&gt;0,1,0)</x:f>
        <x:v>1</x:v>
      </x:c>
    </x:row>
    <x:row r="177">
      <x:c r="M177" t="n">
        <x:f>IF(LEN('Target Products'!C177)&gt;0,1,0)</x:f>
        <x:v>1</x:v>
      </x:c>
      <x:c r="N177" t="n">
        <x:f>IF(LEN('Target Products'!D177)&gt;0,1,0)</x:f>
        <x:v>1</x:v>
      </x:c>
      <x:c r="O177" t="n">
        <x:f>IF(LEN('Target Products'!F177)&gt;0,1,0)</x:f>
        <x:v>1</x:v>
      </x:c>
      <x:c r="P177" t="n">
        <x:f>IF(LEN('Target Products'!G177)&gt;0,1,0)</x:f>
        <x:v>1</x:v>
      </x:c>
      <x:c r="Q177" t="n">
        <x:f>IF(LEN('Target Products'!H177)&gt;0,1,0)</x:f>
        <x:v>0</x:v>
      </x:c>
      <x:c r="R177" t="n">
        <x:f>IF(ISNUMBER('Target Products'!I177),1,0)</x:f>
        <x:v>1</x:v>
      </x:c>
      <x:c r="S177" t="n">
        <x:f>IF(ISNUMBER('Target Products'!J177),1,0)</x:f>
        <x:v>1</x:v>
      </x:c>
      <x:c r="T177" t="n">
        <x:f>IF(ISNUMBER('Target Products'!K177),1,0)</x:f>
        <x:v>1</x:v>
      </x:c>
      <x:c r="U177" t="n">
        <x:f>IF(LEN('Target Products'!L177)&gt;0,1,0)</x:f>
        <x:v>1</x:v>
      </x:c>
    </x:row>
    <x:row r="178">
      <x:c r="M178" t="n">
        <x:f>IF(LEN('Target Products'!C178)&gt;0,1,0)</x:f>
        <x:v>1</x:v>
      </x:c>
      <x:c r="N178" t="n">
        <x:f>IF(LEN('Target Products'!D178)&gt;0,1,0)</x:f>
        <x:v>1</x:v>
      </x:c>
      <x:c r="O178" t="n">
        <x:f>IF(LEN('Target Products'!F178)&gt;0,1,0)</x:f>
        <x:v>1</x:v>
      </x:c>
      <x:c r="P178" t="n">
        <x:f>IF(LEN('Target Products'!G178)&gt;0,1,0)</x:f>
        <x:v>1</x:v>
      </x:c>
      <x:c r="Q178" t="n">
        <x:f>IF(LEN('Target Products'!H178)&gt;0,1,0)</x:f>
        <x:v>0</x:v>
      </x:c>
      <x:c r="R178" t="n">
        <x:f>IF(ISNUMBER('Target Products'!I178),1,0)</x:f>
        <x:v>1</x:v>
      </x:c>
      <x:c r="S178" t="n">
        <x:f>IF(ISNUMBER('Target Products'!J178),1,0)</x:f>
        <x:v>1</x:v>
      </x:c>
      <x:c r="T178" t="n">
        <x:f>IF(ISNUMBER('Target Products'!K178),1,0)</x:f>
        <x:v>1</x:v>
      </x:c>
      <x:c r="U178" t="n">
        <x:f>IF(LEN('Target Products'!L178)&gt;0,1,0)</x:f>
        <x:v>1</x:v>
      </x:c>
    </x:row>
    <x:row r="179">
      <x:c r="M179" t="n">
        <x:f>IF(LEN('Target Products'!C179)&gt;0,1,0)</x:f>
        <x:v>1</x:v>
      </x:c>
      <x:c r="N179" t="n">
        <x:f>IF(LEN('Target Products'!D179)&gt;0,1,0)</x:f>
        <x:v>1</x:v>
      </x:c>
      <x:c r="O179" t="n">
        <x:f>IF(LEN('Target Products'!F179)&gt;0,1,0)</x:f>
        <x:v>1</x:v>
      </x:c>
      <x:c r="P179" t="n">
        <x:f>IF(LEN('Target Products'!G179)&gt;0,1,0)</x:f>
        <x:v>1</x:v>
      </x:c>
      <x:c r="Q179" t="n">
        <x:f>IF(LEN('Target Products'!H179)&gt;0,1,0)</x:f>
        <x:v>1</x:v>
      </x:c>
      <x:c r="R179" t="n">
        <x:f>IF(ISNUMBER('Target Products'!I179),1,0)</x:f>
        <x:v>1</x:v>
      </x:c>
      <x:c r="S179" t="n">
        <x:f>IF(ISNUMBER('Target Products'!J179),1,0)</x:f>
        <x:v>1</x:v>
      </x:c>
      <x:c r="T179" t="n">
        <x:f>IF(ISNUMBER('Target Products'!K179),1,0)</x:f>
        <x:v>1</x:v>
      </x:c>
      <x:c r="U179" t="n">
        <x:f>IF(LEN('Target Products'!L179)&gt;0,1,0)</x:f>
        <x:v>1</x:v>
      </x:c>
    </x:row>
    <x:row r="180">
      <x:c r="M180" t="n">
        <x:f>IF(LEN('Target Products'!C180)&gt;0,1,0)</x:f>
        <x:v>1</x:v>
      </x:c>
      <x:c r="N180" t="n">
        <x:f>IF(LEN('Target Products'!D180)&gt;0,1,0)</x:f>
        <x:v>1</x:v>
      </x:c>
      <x:c r="O180" t="n">
        <x:f>IF(LEN('Target Products'!F180)&gt;0,1,0)</x:f>
        <x:v>1</x:v>
      </x:c>
      <x:c r="P180" t="n">
        <x:f>IF(LEN('Target Products'!G180)&gt;0,1,0)</x:f>
        <x:v>1</x:v>
      </x:c>
      <x:c r="Q180" t="n">
        <x:f>IF(LEN('Target Products'!H180)&gt;0,1,0)</x:f>
        <x:v>1</x:v>
      </x:c>
      <x:c r="R180" t="n">
        <x:f>IF(ISNUMBER('Target Products'!I180),1,0)</x:f>
        <x:v>0</x:v>
      </x:c>
      <x:c r="S180" t="n">
        <x:f>IF(ISNUMBER('Target Products'!J180),1,0)</x:f>
        <x:v>1</x:v>
      </x:c>
      <x:c r="T180" t="n">
        <x:f>IF(ISNUMBER('Target Products'!K180),1,0)</x:f>
        <x:v>1</x:v>
      </x:c>
      <x:c r="U180" t="n">
        <x:f>IF(LEN('Target Products'!L180)&gt;0,1,0)</x:f>
        <x:v>1</x:v>
      </x:c>
    </x:row>
    <x:row r="181">
      <x:c r="M181" t="n">
        <x:f>IF(LEN('Target Products'!C181)&gt;0,1,0)</x:f>
        <x:v>1</x:v>
      </x:c>
      <x:c r="N181" t="n">
        <x:f>IF(LEN('Target Products'!D181)&gt;0,1,0)</x:f>
        <x:v>1</x:v>
      </x:c>
      <x:c r="O181" t="n">
        <x:f>IF(LEN('Target Products'!F181)&gt;0,1,0)</x:f>
        <x:v>1</x:v>
      </x:c>
      <x:c r="P181" t="n">
        <x:f>IF(LEN('Target Products'!G181)&gt;0,1,0)</x:f>
        <x:v>1</x:v>
      </x:c>
      <x:c r="Q181" t="n">
        <x:f>IF(LEN('Target Products'!H181)&gt;0,1,0)</x:f>
        <x:v>0</x:v>
      </x:c>
      <x:c r="R181" t="n">
        <x:f>IF(ISNUMBER('Target Products'!I181),1,0)</x:f>
        <x:v>1</x:v>
      </x:c>
      <x:c r="S181" t="n">
        <x:f>IF(ISNUMBER('Target Products'!J181),1,0)</x:f>
        <x:v>1</x:v>
      </x:c>
      <x:c r="T181" t="n">
        <x:f>IF(ISNUMBER('Target Products'!K181),1,0)</x:f>
        <x:v>1</x:v>
      </x:c>
      <x:c r="U181" t="n">
        <x:f>IF(LEN('Target Products'!L181)&gt;0,1,0)</x:f>
        <x:v>1</x:v>
      </x:c>
    </x:row>
    <x:row r="182">
      <x:c r="M182" t="n">
        <x:f>IF(LEN('Target Products'!C182)&gt;0,1,0)</x:f>
        <x:v>1</x:v>
      </x:c>
      <x:c r="N182" t="n">
        <x:f>IF(LEN('Target Products'!D182)&gt;0,1,0)</x:f>
        <x:v>1</x:v>
      </x:c>
      <x:c r="O182" t="n">
        <x:f>IF(LEN('Target Products'!F182)&gt;0,1,0)</x:f>
        <x:v>1</x:v>
      </x:c>
      <x:c r="P182" t="n">
        <x:f>IF(LEN('Target Products'!G182)&gt;0,1,0)</x:f>
        <x:v>1</x:v>
      </x:c>
      <x:c r="Q182" t="n">
        <x:f>IF(LEN('Target Products'!H182)&gt;0,1,0)</x:f>
        <x:v>1</x:v>
      </x:c>
      <x:c r="R182" t="n">
        <x:f>IF(ISNUMBER('Target Products'!I182),1,0)</x:f>
        <x:v>1</x:v>
      </x:c>
      <x:c r="S182" t="n">
        <x:f>IF(ISNUMBER('Target Products'!J182),1,0)</x:f>
        <x:v>1</x:v>
      </x:c>
      <x:c r="T182" t="n">
        <x:f>IF(ISNUMBER('Target Products'!K182),1,0)</x:f>
        <x:v>1</x:v>
      </x:c>
      <x:c r="U182" t="n">
        <x:f>IF(LEN('Target Products'!L182)&gt;0,1,0)</x:f>
        <x:v>1</x:v>
      </x:c>
    </x:row>
    <x:row r="183">
      <x:c r="M183" t="n">
        <x:f>IF(LEN('Target Products'!C183)&gt;0,1,0)</x:f>
        <x:v>1</x:v>
      </x:c>
      <x:c r="N183" t="n">
        <x:f>IF(LEN('Target Products'!D183)&gt;0,1,0)</x:f>
        <x:v>1</x:v>
      </x:c>
      <x:c r="O183" t="n">
        <x:f>IF(LEN('Target Products'!F183)&gt;0,1,0)</x:f>
        <x:v>1</x:v>
      </x:c>
      <x:c r="P183" t="n">
        <x:f>IF(LEN('Target Products'!G183)&gt;0,1,0)</x:f>
        <x:v>1</x:v>
      </x:c>
      <x:c r="Q183" t="n">
        <x:f>IF(LEN('Target Products'!H183)&gt;0,1,0)</x:f>
        <x:v>1</x:v>
      </x:c>
      <x:c r="R183" t="n">
        <x:f>IF(ISNUMBER('Target Products'!I183),1,0)</x:f>
        <x:v>1</x:v>
      </x:c>
      <x:c r="S183" t="n">
        <x:f>IF(ISNUMBER('Target Products'!J183),1,0)</x:f>
        <x:v>1</x:v>
      </x:c>
      <x:c r="T183" t="n">
        <x:f>IF(ISNUMBER('Target Products'!K183),1,0)</x:f>
        <x:v>1</x:v>
      </x:c>
      <x:c r="U183" t="n">
        <x:f>IF(LEN('Target Products'!L183)&gt;0,1,0)</x:f>
        <x:v>1</x:v>
      </x:c>
    </x:row>
    <x:row r="184">
      <x:c r="M184" t="n">
        <x:f>IF(LEN('Target Products'!C184)&gt;0,1,0)</x:f>
        <x:v>1</x:v>
      </x:c>
      <x:c r="N184" t="n">
        <x:f>IF(LEN('Target Products'!D184)&gt;0,1,0)</x:f>
        <x:v>1</x:v>
      </x:c>
      <x:c r="O184" t="n">
        <x:f>IF(LEN('Target Products'!F184)&gt;0,1,0)</x:f>
        <x:v>1</x:v>
      </x:c>
      <x:c r="P184" t="n">
        <x:f>IF(LEN('Target Products'!G184)&gt;0,1,0)</x:f>
        <x:v>1</x:v>
      </x:c>
      <x:c r="Q184" t="n">
        <x:f>IF(LEN('Target Products'!H184)&gt;0,1,0)</x:f>
        <x:v>1</x:v>
      </x:c>
      <x:c r="R184" t="n">
        <x:f>IF(ISNUMBER('Target Products'!I184),1,0)</x:f>
        <x:v>1</x:v>
      </x:c>
      <x:c r="S184" t="n">
        <x:f>IF(ISNUMBER('Target Products'!J184),1,0)</x:f>
        <x:v>1</x:v>
      </x:c>
      <x:c r="T184" t="n">
        <x:f>IF(ISNUMBER('Target Products'!K184),1,0)</x:f>
        <x:v>1</x:v>
      </x:c>
      <x:c r="U184" t="n">
        <x:f>IF(LEN('Target Products'!L184)&gt;0,1,0)</x:f>
        <x:v>1</x:v>
      </x:c>
    </x:row>
    <x:row r="185">
      <x:c r="M185" t="n">
        <x:f>IF(LEN('Target Products'!C185)&gt;0,1,0)</x:f>
        <x:v>1</x:v>
      </x:c>
      <x:c r="N185" t="n">
        <x:f>IF(LEN('Target Products'!D185)&gt;0,1,0)</x:f>
        <x:v>1</x:v>
      </x:c>
      <x:c r="O185" t="n">
        <x:f>IF(LEN('Target Products'!F185)&gt;0,1,0)</x:f>
        <x:v>1</x:v>
      </x:c>
      <x:c r="P185" t="n">
        <x:f>IF(LEN('Target Products'!G185)&gt;0,1,0)</x:f>
        <x:v>1</x:v>
      </x:c>
      <x:c r="Q185" t="n">
        <x:f>IF(LEN('Target Products'!H185)&gt;0,1,0)</x:f>
        <x:v>0</x:v>
      </x:c>
      <x:c r="R185" t="n">
        <x:f>IF(ISNUMBER('Target Products'!I185),1,0)</x:f>
        <x:v>1</x:v>
      </x:c>
      <x:c r="S185" t="n">
        <x:f>IF(ISNUMBER('Target Products'!J185),1,0)</x:f>
        <x:v>1</x:v>
      </x:c>
      <x:c r="T185" t="n">
        <x:f>IF(ISNUMBER('Target Products'!K185),1,0)</x:f>
        <x:v>1</x:v>
      </x:c>
      <x:c r="U185" t="n">
        <x:f>IF(LEN('Target Products'!L185)&gt;0,1,0)</x:f>
        <x:v>1</x:v>
      </x:c>
    </x:row>
    <x:row r="186">
      <x:c r="M186" t="n">
        <x:f>IF(LEN('Target Products'!C186)&gt;0,1,0)</x:f>
        <x:v>1</x:v>
      </x:c>
      <x:c r="N186" t="n">
        <x:f>IF(LEN('Target Products'!D186)&gt;0,1,0)</x:f>
        <x:v>1</x:v>
      </x:c>
      <x:c r="O186" t="n">
        <x:f>IF(LEN('Target Products'!F186)&gt;0,1,0)</x:f>
        <x:v>1</x:v>
      </x:c>
      <x:c r="P186" t="n">
        <x:f>IF(LEN('Target Products'!G186)&gt;0,1,0)</x:f>
        <x:v>1</x:v>
      </x:c>
      <x:c r="Q186" t="n">
        <x:f>IF(LEN('Target Products'!H186)&gt;0,1,0)</x:f>
        <x:v>0</x:v>
      </x:c>
      <x:c r="R186" t="n">
        <x:f>IF(ISNUMBER('Target Products'!I186),1,0)</x:f>
        <x:v>1</x:v>
      </x:c>
      <x:c r="S186" t="n">
        <x:f>IF(ISNUMBER('Target Products'!J186),1,0)</x:f>
        <x:v>1</x:v>
      </x:c>
      <x:c r="T186" t="n">
        <x:f>IF(ISNUMBER('Target Products'!K186),1,0)</x:f>
        <x:v>1</x:v>
      </x:c>
      <x:c r="U186" t="n">
        <x:f>IF(LEN('Target Products'!L186)&gt;0,1,0)</x:f>
        <x:v>1</x:v>
      </x:c>
    </x:row>
    <x:row r="187">
      <x:c r="M187" t="n">
        <x:f>IF(LEN('Target Products'!C187)&gt;0,1,0)</x:f>
        <x:v>1</x:v>
      </x:c>
      <x:c r="N187" t="n">
        <x:f>IF(LEN('Target Products'!D187)&gt;0,1,0)</x:f>
        <x:v>1</x:v>
      </x:c>
      <x:c r="O187" t="n">
        <x:f>IF(LEN('Target Products'!F187)&gt;0,1,0)</x:f>
        <x:v>1</x:v>
      </x:c>
      <x:c r="P187" t="n">
        <x:f>IF(LEN('Target Products'!G187)&gt;0,1,0)</x:f>
        <x:v>1</x:v>
      </x:c>
      <x:c r="Q187" t="n">
        <x:f>IF(LEN('Target Products'!H187)&gt;0,1,0)</x:f>
        <x:v>0</x:v>
      </x:c>
      <x:c r="R187" t="n">
        <x:f>IF(ISNUMBER('Target Products'!I187),1,0)</x:f>
        <x:v>0</x:v>
      </x:c>
      <x:c r="S187" t="n">
        <x:f>IF(ISNUMBER('Target Products'!J187),1,0)</x:f>
        <x:v>1</x:v>
      </x:c>
      <x:c r="T187" t="n">
        <x:f>IF(ISNUMBER('Target Products'!K187),1,0)</x:f>
        <x:v>1</x:v>
      </x:c>
      <x:c r="U187" t="n">
        <x:f>IF(LEN('Target Products'!L187)&gt;0,1,0)</x:f>
        <x:v>1</x:v>
      </x:c>
    </x:row>
    <x:row r="188">
      <x:c r="M188" t="n">
        <x:f>IF(LEN('Target Products'!C188)&gt;0,1,0)</x:f>
        <x:v>1</x:v>
      </x:c>
      <x:c r="N188" t="n">
        <x:f>IF(LEN('Target Products'!D188)&gt;0,1,0)</x:f>
        <x:v>1</x:v>
      </x:c>
      <x:c r="O188" t="n">
        <x:f>IF(LEN('Target Products'!F188)&gt;0,1,0)</x:f>
        <x:v>1</x:v>
      </x:c>
      <x:c r="P188" t="n">
        <x:f>IF(LEN('Target Products'!G188)&gt;0,1,0)</x:f>
        <x:v>1</x:v>
      </x:c>
      <x:c r="Q188" t="n">
        <x:f>IF(LEN('Target Products'!H188)&gt;0,1,0)</x:f>
        <x:v>1</x:v>
      </x:c>
      <x:c r="R188" t="n">
        <x:f>IF(ISNUMBER('Target Products'!I188),1,0)</x:f>
        <x:v>1</x:v>
      </x:c>
      <x:c r="S188" t="n">
        <x:f>IF(ISNUMBER('Target Products'!J188),1,0)</x:f>
        <x:v>1</x:v>
      </x:c>
      <x:c r="T188" t="n">
        <x:f>IF(ISNUMBER('Target Products'!K188),1,0)</x:f>
        <x:v>1</x:v>
      </x:c>
      <x:c r="U188" t="n">
        <x:f>IF(LEN('Target Products'!L188)&gt;0,1,0)</x:f>
        <x:v>1</x:v>
      </x:c>
    </x:row>
    <x:row r="189">
      <x:c r="M189" t="n">
        <x:f>IF(LEN('Target Products'!C189)&gt;0,1,0)</x:f>
        <x:v>1</x:v>
      </x:c>
      <x:c r="N189" t="n">
        <x:f>IF(LEN('Target Products'!D189)&gt;0,1,0)</x:f>
        <x:v>1</x:v>
      </x:c>
      <x:c r="O189" t="n">
        <x:f>IF(LEN('Target Products'!F189)&gt;0,1,0)</x:f>
        <x:v>1</x:v>
      </x:c>
      <x:c r="P189" t="n">
        <x:f>IF(LEN('Target Products'!G189)&gt;0,1,0)</x:f>
        <x:v>1</x:v>
      </x:c>
      <x:c r="Q189" t="n">
        <x:f>IF(LEN('Target Products'!H189)&gt;0,1,0)</x:f>
        <x:v>0</x:v>
      </x:c>
      <x:c r="R189" t="n">
        <x:f>IF(ISNUMBER('Target Products'!I189),1,0)</x:f>
        <x:v>1</x:v>
      </x:c>
      <x:c r="S189" t="n">
        <x:f>IF(ISNUMBER('Target Products'!J189),1,0)</x:f>
        <x:v>1</x:v>
      </x:c>
      <x:c r="T189" t="n">
        <x:f>IF(ISNUMBER('Target Products'!K189),1,0)</x:f>
        <x:v>1</x:v>
      </x:c>
      <x:c r="U189" t="n">
        <x:f>IF(LEN('Target Products'!L189)&gt;0,1,0)</x:f>
        <x:v>1</x:v>
      </x:c>
    </x:row>
    <x:row r="190">
      <x:c r="M190" t="n">
        <x:f>IF(LEN('Target Products'!C190)&gt;0,1,0)</x:f>
        <x:v>1</x:v>
      </x:c>
      <x:c r="N190" t="n">
        <x:f>IF(LEN('Target Products'!D190)&gt;0,1,0)</x:f>
        <x:v>1</x:v>
      </x:c>
      <x:c r="O190" t="n">
        <x:f>IF(LEN('Target Products'!F190)&gt;0,1,0)</x:f>
        <x:v>1</x:v>
      </x:c>
      <x:c r="P190" t="n">
        <x:f>IF(LEN('Target Products'!G190)&gt;0,1,0)</x:f>
        <x:v>1</x:v>
      </x:c>
      <x:c r="Q190" t="n">
        <x:f>IF(LEN('Target Products'!H190)&gt;0,1,0)</x:f>
        <x:v>0</x:v>
      </x:c>
      <x:c r="R190" t="n">
        <x:f>IF(ISNUMBER('Target Products'!I190),1,0)</x:f>
        <x:v>1</x:v>
      </x:c>
      <x:c r="S190" t="n">
        <x:f>IF(ISNUMBER('Target Products'!J190),1,0)</x:f>
        <x:v>1</x:v>
      </x:c>
      <x:c r="T190" t="n">
        <x:f>IF(ISNUMBER('Target Products'!K190),1,0)</x:f>
        <x:v>1</x:v>
      </x:c>
      <x:c r="U190" t="n">
        <x:f>IF(LEN('Target Products'!L190)&gt;0,1,0)</x:f>
        <x:v>1</x:v>
      </x:c>
    </x:row>
    <x:row r="191">
      <x:c r="M191" t="n">
        <x:f>IF(LEN('Target Products'!C191)&gt;0,1,0)</x:f>
        <x:v>1</x:v>
      </x:c>
      <x:c r="N191" t="n">
        <x:f>IF(LEN('Target Products'!D191)&gt;0,1,0)</x:f>
        <x:v>1</x:v>
      </x:c>
      <x:c r="O191" t="n">
        <x:f>IF(LEN('Target Products'!F191)&gt;0,1,0)</x:f>
        <x:v>1</x:v>
      </x:c>
      <x:c r="P191" t="n">
        <x:f>IF(LEN('Target Products'!G191)&gt;0,1,0)</x:f>
        <x:v>1</x:v>
      </x:c>
      <x:c r="Q191" t="n">
        <x:f>IF(LEN('Target Products'!H191)&gt;0,1,0)</x:f>
        <x:v>1</x:v>
      </x:c>
      <x:c r="R191" t="n">
        <x:f>IF(ISNUMBER('Target Products'!I191),1,0)</x:f>
        <x:v>0</x:v>
      </x:c>
      <x:c r="S191" t="n">
        <x:f>IF(ISNUMBER('Target Products'!J191),1,0)</x:f>
        <x:v>1</x:v>
      </x:c>
      <x:c r="T191" t="n">
        <x:f>IF(ISNUMBER('Target Products'!K191),1,0)</x:f>
        <x:v>1</x:v>
      </x:c>
      <x:c r="U191" t="n">
        <x:f>IF(LEN('Target Products'!L191)&gt;0,1,0)</x:f>
        <x:v>1</x:v>
      </x:c>
    </x:row>
    <x:row r="192">
      <x:c r="M192" t="n">
        <x:f>IF(LEN('Target Products'!C192)&gt;0,1,0)</x:f>
        <x:v>1</x:v>
      </x:c>
      <x:c r="N192" t="n">
        <x:f>IF(LEN('Target Products'!D192)&gt;0,1,0)</x:f>
        <x:v>1</x:v>
      </x:c>
      <x:c r="O192" t="n">
        <x:f>IF(LEN('Target Products'!F192)&gt;0,1,0)</x:f>
        <x:v>1</x:v>
      </x:c>
      <x:c r="P192" t="n">
        <x:f>IF(LEN('Target Products'!G192)&gt;0,1,0)</x:f>
        <x:v>1</x:v>
      </x:c>
      <x:c r="Q192" t="n">
        <x:f>IF(LEN('Target Products'!H192)&gt;0,1,0)</x:f>
        <x:v>0</x:v>
      </x:c>
      <x:c r="R192" t="n">
        <x:f>IF(ISNUMBER('Target Products'!I192),1,0)</x:f>
        <x:v>1</x:v>
      </x:c>
      <x:c r="S192" t="n">
        <x:f>IF(ISNUMBER('Target Products'!J192),1,0)</x:f>
        <x:v>1</x:v>
      </x:c>
      <x:c r="T192" t="n">
        <x:f>IF(ISNUMBER('Target Products'!K192),1,0)</x:f>
        <x:v>1</x:v>
      </x:c>
      <x:c r="U192" t="n">
        <x:f>IF(LEN('Target Products'!L192)&gt;0,1,0)</x:f>
        <x:v>1</x:v>
      </x:c>
    </x:row>
    <x:row r="193">
      <x:c r="M193" t="n">
        <x:f>IF(LEN('Target Products'!C193)&gt;0,1,0)</x:f>
        <x:v>1</x:v>
      </x:c>
      <x:c r="N193" t="n">
        <x:f>IF(LEN('Target Products'!D193)&gt;0,1,0)</x:f>
        <x:v>1</x:v>
      </x:c>
      <x:c r="O193" t="n">
        <x:f>IF(LEN('Target Products'!F193)&gt;0,1,0)</x:f>
        <x:v>1</x:v>
      </x:c>
      <x:c r="P193" t="n">
        <x:f>IF(LEN('Target Products'!G193)&gt;0,1,0)</x:f>
        <x:v>1</x:v>
      </x:c>
      <x:c r="Q193" t="n">
        <x:f>IF(LEN('Target Products'!H193)&gt;0,1,0)</x:f>
        <x:v>1</x:v>
      </x:c>
      <x:c r="R193" t="n">
        <x:f>IF(ISNUMBER('Target Products'!I193),1,0)</x:f>
        <x:v>1</x:v>
      </x:c>
      <x:c r="S193" t="n">
        <x:f>IF(ISNUMBER('Target Products'!J193),1,0)</x:f>
        <x:v>1</x:v>
      </x:c>
      <x:c r="T193" t="n">
        <x:f>IF(ISNUMBER('Target Products'!K193),1,0)</x:f>
        <x:v>1</x:v>
      </x:c>
      <x:c r="U193" t="n">
        <x:f>IF(LEN('Target Products'!L193)&gt;0,1,0)</x:f>
        <x:v>1</x:v>
      </x:c>
    </x:row>
    <x:row r="194">
      <x:c r="M194" t="n">
        <x:f>IF(LEN('Target Products'!C194)&gt;0,1,0)</x:f>
        <x:v>1</x:v>
      </x:c>
      <x:c r="N194" t="n">
        <x:f>IF(LEN('Target Products'!D194)&gt;0,1,0)</x:f>
        <x:v>1</x:v>
      </x:c>
      <x:c r="O194" t="n">
        <x:f>IF(LEN('Target Products'!F194)&gt;0,1,0)</x:f>
        <x:v>1</x:v>
      </x:c>
      <x:c r="P194" t="n">
        <x:f>IF(LEN('Target Products'!G194)&gt;0,1,0)</x:f>
        <x:v>1</x:v>
      </x:c>
      <x:c r="Q194" t="n">
        <x:f>IF(LEN('Target Products'!H194)&gt;0,1,0)</x:f>
        <x:v>1</x:v>
      </x:c>
      <x:c r="R194" t="n">
        <x:f>IF(ISNUMBER('Target Products'!I194),1,0)</x:f>
        <x:v>1</x:v>
      </x:c>
      <x:c r="S194" t="n">
        <x:f>IF(ISNUMBER('Target Products'!J194),1,0)</x:f>
        <x:v>1</x:v>
      </x:c>
      <x:c r="T194" t="n">
        <x:f>IF(ISNUMBER('Target Products'!K194),1,0)</x:f>
        <x:v>1</x:v>
      </x:c>
      <x:c r="U194" t="n">
        <x:f>IF(LEN('Target Products'!L194)&gt;0,1,0)</x:f>
        <x:v>1</x:v>
      </x:c>
    </x:row>
    <x:row r="195">
      <x:c r="M195" t="n">
        <x:f>IF(LEN('Target Products'!C195)&gt;0,1,0)</x:f>
        <x:v>1</x:v>
      </x:c>
      <x:c r="N195" t="n">
        <x:f>IF(LEN('Target Products'!D195)&gt;0,1,0)</x:f>
        <x:v>1</x:v>
      </x:c>
      <x:c r="O195" t="n">
        <x:f>IF(LEN('Target Products'!F195)&gt;0,1,0)</x:f>
        <x:v>1</x:v>
      </x:c>
      <x:c r="P195" t="n">
        <x:f>IF(LEN('Target Products'!G195)&gt;0,1,0)</x:f>
        <x:v>1</x:v>
      </x:c>
      <x:c r="Q195" t="n">
        <x:f>IF(LEN('Target Products'!H195)&gt;0,1,0)</x:f>
        <x:v>0</x:v>
      </x:c>
      <x:c r="R195" t="n">
        <x:f>IF(ISNUMBER('Target Products'!I195),1,0)</x:f>
        <x:v>1</x:v>
      </x:c>
      <x:c r="S195" t="n">
        <x:f>IF(ISNUMBER('Target Products'!J195),1,0)</x:f>
        <x:v>1</x:v>
      </x:c>
      <x:c r="T195" t="n">
        <x:f>IF(ISNUMBER('Target Products'!K195),1,0)</x:f>
        <x:v>1</x:v>
      </x:c>
      <x:c r="U195" t="n">
        <x:f>IF(LEN('Target Products'!L195)&gt;0,1,0)</x:f>
        <x:v>1</x:v>
      </x:c>
    </x:row>
    <x:row r="196">
      <x:c r="M196" t="n">
        <x:f>IF(LEN('Target Products'!C196)&gt;0,1,0)</x:f>
        <x:v>1</x:v>
      </x:c>
      <x:c r="N196" t="n">
        <x:f>IF(LEN('Target Products'!D196)&gt;0,1,0)</x:f>
        <x:v>1</x:v>
      </x:c>
      <x:c r="O196" t="n">
        <x:f>IF(LEN('Target Products'!F196)&gt;0,1,0)</x:f>
        <x:v>1</x:v>
      </x:c>
      <x:c r="P196" t="n">
        <x:f>IF(LEN('Target Products'!G196)&gt;0,1,0)</x:f>
        <x:v>1</x:v>
      </x:c>
      <x:c r="Q196" t="n">
        <x:f>IF(LEN('Target Products'!H196)&gt;0,1,0)</x:f>
        <x:v>1</x:v>
      </x:c>
      <x:c r="R196" t="n">
        <x:f>IF(ISNUMBER('Target Products'!I196),1,0)</x:f>
        <x:v>1</x:v>
      </x:c>
      <x:c r="S196" t="n">
        <x:f>IF(ISNUMBER('Target Products'!J196),1,0)</x:f>
        <x:v>1</x:v>
      </x:c>
      <x:c r="T196" t="n">
        <x:f>IF(ISNUMBER('Target Products'!K196),1,0)</x:f>
        <x:v>1</x:v>
      </x:c>
      <x:c r="U196" t="n">
        <x:f>IF(LEN('Target Products'!L196)&gt;0,1,0)</x:f>
        <x:v>1</x:v>
      </x:c>
    </x:row>
    <x:row r="197">
      <x:c r="M197" t="n">
        <x:f>IF(LEN('Target Products'!C197)&gt;0,1,0)</x:f>
        <x:v>1</x:v>
      </x:c>
      <x:c r="N197" t="n">
        <x:f>IF(LEN('Target Products'!D197)&gt;0,1,0)</x:f>
        <x:v>1</x:v>
      </x:c>
      <x:c r="O197" t="n">
        <x:f>IF(LEN('Target Products'!F197)&gt;0,1,0)</x:f>
        <x:v>1</x:v>
      </x:c>
      <x:c r="P197" t="n">
        <x:f>IF(LEN('Target Products'!G197)&gt;0,1,0)</x:f>
        <x:v>1</x:v>
      </x:c>
      <x:c r="Q197" t="n">
        <x:f>IF(LEN('Target Products'!H197)&gt;0,1,0)</x:f>
        <x:v>0</x:v>
      </x:c>
      <x:c r="R197" t="n">
        <x:f>IF(ISNUMBER('Target Products'!I197),1,0)</x:f>
        <x:v>1</x:v>
      </x:c>
      <x:c r="S197" t="n">
        <x:f>IF(ISNUMBER('Target Products'!J197),1,0)</x:f>
        <x:v>1</x:v>
      </x:c>
      <x:c r="T197" t="n">
        <x:f>IF(ISNUMBER('Target Products'!K197),1,0)</x:f>
        <x:v>1</x:v>
      </x:c>
      <x:c r="U197" t="n">
        <x:f>IF(LEN('Target Products'!L197)&gt;0,1,0)</x:f>
        <x:v>1</x:v>
      </x:c>
    </x:row>
    <x:row r="198">
      <x:c r="M198" t="n">
        <x:f>IF(LEN('Target Products'!C198)&gt;0,1,0)</x:f>
        <x:v>1</x:v>
      </x:c>
      <x:c r="N198" t="n">
        <x:f>IF(LEN('Target Products'!D198)&gt;0,1,0)</x:f>
        <x:v>1</x:v>
      </x:c>
      <x:c r="O198" t="n">
        <x:f>IF(LEN('Target Products'!F198)&gt;0,1,0)</x:f>
        <x:v>1</x:v>
      </x:c>
      <x:c r="P198" t="n">
        <x:f>IF(LEN('Target Products'!G198)&gt;0,1,0)</x:f>
        <x:v>1</x:v>
      </x:c>
      <x:c r="Q198" t="n">
        <x:f>IF(LEN('Target Products'!H198)&gt;0,1,0)</x:f>
        <x:v>0</x:v>
      </x:c>
      <x:c r="R198" t="n">
        <x:f>IF(ISNUMBER('Target Products'!I198),1,0)</x:f>
        <x:v>1</x:v>
      </x:c>
      <x:c r="S198" t="n">
        <x:f>IF(ISNUMBER('Target Products'!J198),1,0)</x:f>
        <x:v>1</x:v>
      </x:c>
      <x:c r="T198" t="n">
        <x:f>IF(ISNUMBER('Target Products'!K198),1,0)</x:f>
        <x:v>1</x:v>
      </x:c>
      <x:c r="U198" t="n">
        <x:f>IF(LEN('Target Products'!L198)&gt;0,1,0)</x:f>
        <x:v>1</x:v>
      </x:c>
    </x:row>
    <x:row r="199">
      <x:c r="M199" t="n">
        <x:f>IF(LEN('Target Products'!C199)&gt;0,1,0)</x:f>
        <x:v>1</x:v>
      </x:c>
      <x:c r="N199" t="n">
        <x:f>IF(LEN('Target Products'!D199)&gt;0,1,0)</x:f>
        <x:v>1</x:v>
      </x:c>
      <x:c r="O199" t="n">
        <x:f>IF(LEN('Target Products'!F199)&gt;0,1,0)</x:f>
        <x:v>1</x:v>
      </x:c>
      <x:c r="P199" t="n">
        <x:f>IF(LEN('Target Products'!G199)&gt;0,1,0)</x:f>
        <x:v>1</x:v>
      </x:c>
      <x:c r="Q199" t="n">
        <x:f>IF(LEN('Target Products'!H199)&gt;0,1,0)</x:f>
        <x:v>0</x:v>
      </x:c>
      <x:c r="R199" t="n">
        <x:f>IF(ISNUMBER('Target Products'!I199),1,0)</x:f>
        <x:v>1</x:v>
      </x:c>
      <x:c r="S199" t="n">
        <x:f>IF(ISNUMBER('Target Products'!J199),1,0)</x:f>
        <x:v>1</x:v>
      </x:c>
      <x:c r="T199" t="n">
        <x:f>IF(ISNUMBER('Target Products'!K199),1,0)</x:f>
        <x:v>1</x:v>
      </x:c>
      <x:c r="U199" t="n">
        <x:f>IF(LEN('Target Products'!L199)&gt;0,1,0)</x:f>
        <x:v>1</x:v>
      </x:c>
    </x:row>
    <x:row r="200">
      <x:c r="M200" t="n">
        <x:f>IF(LEN('Target Products'!C200)&gt;0,1,0)</x:f>
        <x:v>1</x:v>
      </x:c>
      <x:c r="N200" t="n">
        <x:f>IF(LEN('Target Products'!D200)&gt;0,1,0)</x:f>
        <x:v>1</x:v>
      </x:c>
      <x:c r="O200" t="n">
        <x:f>IF(LEN('Target Products'!F200)&gt;0,1,0)</x:f>
        <x:v>1</x:v>
      </x:c>
      <x:c r="P200" t="n">
        <x:f>IF(LEN('Target Products'!G200)&gt;0,1,0)</x:f>
        <x:v>1</x:v>
      </x:c>
      <x:c r="Q200" t="n">
        <x:f>IF(LEN('Target Products'!H200)&gt;0,1,0)</x:f>
        <x:v>0</x:v>
      </x:c>
      <x:c r="R200" t="n">
        <x:f>IF(ISNUMBER('Target Products'!I200),1,0)</x:f>
        <x:v>1</x:v>
      </x:c>
      <x:c r="S200" t="n">
        <x:f>IF(ISNUMBER('Target Products'!J200),1,0)</x:f>
        <x:v>1</x:v>
      </x:c>
      <x:c r="T200" t="n">
        <x:f>IF(ISNUMBER('Target Products'!K200),1,0)</x:f>
        <x:v>1</x:v>
      </x:c>
      <x:c r="U200" t="n">
        <x:f>IF(LEN('Target Products'!L200)&gt;0,1,0)</x:f>
        <x:v>1</x:v>
      </x:c>
    </x:row>
    <x:row r="201">
      <x:c r="M201" t="n">
        <x:f>IF(LEN('Target Products'!C201)&gt;0,1,0)</x:f>
        <x:v>1</x:v>
      </x:c>
      <x:c r="N201" t="n">
        <x:f>IF(LEN('Target Products'!D201)&gt;0,1,0)</x:f>
        <x:v>1</x:v>
      </x:c>
      <x:c r="O201" t="n">
        <x:f>IF(LEN('Target Products'!F201)&gt;0,1,0)</x:f>
        <x:v>1</x:v>
      </x:c>
      <x:c r="P201" t="n">
        <x:f>IF(LEN('Target Products'!G201)&gt;0,1,0)</x:f>
        <x:v>1</x:v>
      </x:c>
      <x:c r="Q201" t="n">
        <x:f>IF(LEN('Target Products'!H201)&gt;0,1,0)</x:f>
        <x:v>0</x:v>
      </x:c>
      <x:c r="R201" t="n">
        <x:f>IF(ISNUMBER('Target Products'!I201),1,0)</x:f>
        <x:v>1</x:v>
      </x:c>
      <x:c r="S201" t="n">
        <x:f>IF(ISNUMBER('Target Products'!J201),1,0)</x:f>
        <x:v>1</x:v>
      </x:c>
      <x:c r="T201" t="n">
        <x:f>IF(ISNUMBER('Target Products'!K201),1,0)</x:f>
        <x:v>1</x:v>
      </x:c>
      <x:c r="U201" t="n">
        <x:f>IF(LEN('Target Products'!L201)&gt;0,1,0)</x:f>
        <x:v>1</x:v>
      </x:c>
    </x:row>
    <x:row r="202">
      <x:c r="M202" t="n">
        <x:f>IF(LEN('Target Products'!C202)&gt;0,1,0)</x:f>
        <x:v>1</x:v>
      </x:c>
      <x:c r="N202" t="n">
        <x:f>IF(LEN('Target Products'!D202)&gt;0,1,0)</x:f>
        <x:v>1</x:v>
      </x:c>
      <x:c r="O202" t="n">
        <x:f>IF(LEN('Target Products'!F202)&gt;0,1,0)</x:f>
        <x:v>1</x:v>
      </x:c>
      <x:c r="P202" t="n">
        <x:f>IF(LEN('Target Products'!G202)&gt;0,1,0)</x:f>
        <x:v>1</x:v>
      </x:c>
      <x:c r="Q202" t="n">
        <x:f>IF(LEN('Target Products'!H202)&gt;0,1,0)</x:f>
        <x:v>0</x:v>
      </x:c>
      <x:c r="R202" t="n">
        <x:f>IF(ISNUMBER('Target Products'!I202),1,0)</x:f>
        <x:v>1</x:v>
      </x:c>
      <x:c r="S202" t="n">
        <x:f>IF(ISNUMBER('Target Products'!J202),1,0)</x:f>
        <x:v>1</x:v>
      </x:c>
      <x:c r="T202" t="n">
        <x:f>IF(ISNUMBER('Target Products'!K202),1,0)</x:f>
        <x:v>1</x:v>
      </x:c>
      <x:c r="U202" t="n">
        <x:f>IF(LEN('Target Products'!L202)&gt;0,1,0)</x:f>
        <x:v>1</x:v>
      </x:c>
    </x:row>
    <x:row r="203">
      <x:c r="M203" t="n">
        <x:f>IF(LEN('Target Products'!C203)&gt;0,1,0)</x:f>
        <x:v>1</x:v>
      </x:c>
      <x:c r="N203" t="n">
        <x:f>IF(LEN('Target Products'!D203)&gt;0,1,0)</x:f>
        <x:v>1</x:v>
      </x:c>
      <x:c r="O203" t="n">
        <x:f>IF(LEN('Target Products'!F203)&gt;0,1,0)</x:f>
        <x:v>1</x:v>
      </x:c>
      <x:c r="P203" t="n">
        <x:f>IF(LEN('Target Products'!G203)&gt;0,1,0)</x:f>
        <x:v>1</x:v>
      </x:c>
      <x:c r="Q203" t="n">
        <x:f>IF(LEN('Target Products'!H203)&gt;0,1,0)</x:f>
        <x:v>0</x:v>
      </x:c>
      <x:c r="R203" t="n">
        <x:f>IF(ISNUMBER('Target Products'!I203),1,0)</x:f>
        <x:v>1</x:v>
      </x:c>
      <x:c r="S203" t="n">
        <x:f>IF(ISNUMBER('Target Products'!J203),1,0)</x:f>
        <x:v>1</x:v>
      </x:c>
      <x:c r="T203" t="n">
        <x:f>IF(ISNUMBER('Target Products'!K203),1,0)</x:f>
        <x:v>1</x:v>
      </x:c>
      <x:c r="U203" t="n">
        <x:f>IF(LEN('Target Products'!L203)&gt;0,1,0)</x:f>
        <x:v>1</x:v>
      </x:c>
    </x:row>
    <x:row r="204">
      <x:c r="M204" t="n">
        <x:f>IF(LEN('Target Products'!C204)&gt;0,1,0)</x:f>
        <x:v>1</x:v>
      </x:c>
      <x:c r="N204" t="n">
        <x:f>IF(LEN('Target Products'!D204)&gt;0,1,0)</x:f>
        <x:v>1</x:v>
      </x:c>
      <x:c r="O204" t="n">
        <x:f>IF(LEN('Target Products'!F204)&gt;0,1,0)</x:f>
        <x:v>1</x:v>
      </x:c>
      <x:c r="P204" t="n">
        <x:f>IF(LEN('Target Products'!G204)&gt;0,1,0)</x:f>
        <x:v>1</x:v>
      </x:c>
      <x:c r="Q204" t="n">
        <x:f>IF(LEN('Target Products'!H204)&gt;0,1,0)</x:f>
        <x:v>0</x:v>
      </x:c>
      <x:c r="R204" t="n">
        <x:f>IF(ISNUMBER('Target Products'!I204),1,0)</x:f>
        <x:v>1</x:v>
      </x:c>
      <x:c r="S204" t="n">
        <x:f>IF(ISNUMBER('Target Products'!J204),1,0)</x:f>
        <x:v>1</x:v>
      </x:c>
      <x:c r="T204" t="n">
        <x:f>IF(ISNUMBER('Target Products'!K204),1,0)</x:f>
        <x:v>1</x:v>
      </x:c>
      <x:c r="U204" t="n">
        <x:f>IF(LEN('Target Products'!L204)&gt;0,1,0)</x:f>
        <x:v>1</x:v>
      </x:c>
    </x:row>
  </x:sheetData>
  <x:mergeCells>
    <x:mergeCell ref="A1:N1"/>
    <x:mergeCell ref="A2:N2"/>
  </x:mergeCells>
  <x:conditionalFormatting sqref="B33:E36">
    <x:cfRule type="colorScale" priority="1">
      <x:colorScale>
        <x:cfvo type="min"/>
        <x:cfvo type="percentile" val="50"/>
        <x:cfvo type="max"/>
        <x:color rgb="FFFFFFFF"/>
        <x:color rgb="FFFFF0DF"/>
        <x:color rgb="FF008C8C"/>
      </x:colorScale>
    </x:cfRule>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1" hidden="0" customWidth="1"/>
    <x:col min="5" max="5" width="14" hidden="0" customWidth="1"/>
    <x:col min="6" max="6" width="14" hidden="0" customWidth="1"/>
    <x:col min="7" max="7" width="3" hidden="0" customWidth="1"/>
    <x:col min="8" max="8" width="14" hidden="0" customWidth="1"/>
    <x:col min="9" max="9" width="14" hidden="0" customWidth="1"/>
    <x:col min="10" max="10" width="14" hidden="0" customWidth="1"/>
    <x:col min="11" max="11" width="14" hidden="0" customWidth="1"/>
    <x:col min="12" max="12" width="3" hidden="0" customWidth="1"/>
    <x:col min="13" max="13" width="14" hidden="0" customWidth="1"/>
    <x:col min="14" max="14" width="14" hidden="0" customWidth="1"/>
  </x:cols>
  <x:sheetData>
    <x:row r="1" ht="34" customHeight="1">
      <x:c r="A1" s="4" t="str">
        <x:v>EDA Dashboard</x:v>
      </x:c>
    </x:row>
    <x:row r="2" ht="30" customHeight="1">
      <x:c r="A2" s="8" t="str">
        <x:v>What the 200 public sessions imply for conversation-state design, retrieval routing, and product representation.</x:v>
      </x:c>
      <x:c r="B2" s="8" t="str">
        <x:v>What the 200 public sessions imply for conversation-state design, retrieval routing, and product representation.</x:v>
      </x:c>
      <x:c r="C2" s="8" t="str">
        <x:v>What the 200 public sessions imply for conversation-state design, retrieval routing, and product representation.</x:v>
      </x:c>
      <x:c r="D2" s="8" t="str">
        <x:v>What the 200 public sessions imply for conversation-state design, retrieval routing, and product representation.</x:v>
      </x:c>
      <x:c r="E2" s="8" t="str">
        <x:v>What the 200 public sessions imply for conversation-state design, retrieval routing, and product representation.</x:v>
      </x:c>
      <x:c r="F2" s="8" t="str">
        <x:v>What the 200 public sessions imply for conversation-state design, retrieval routing, and product representation.</x:v>
      </x:c>
      <x:c r="G2" s="8" t="str">
        <x:v>What the 200 public sessions imply for conversation-state design, retrieval routing, and product representation.</x:v>
      </x:c>
      <x:c r="H2" s="8" t="str">
        <x:v>What the 200 public sessions imply for conversation-state design, retrieval routing, and product representation.</x:v>
      </x:c>
      <x:c r="I2" s="8" t="str">
        <x:v>What the 200 public sessions imply for conversation-state design, retrieval routing, and product representation.</x:v>
      </x:c>
      <x:c r="J2" s="8" t="str">
        <x:v>What the 200 public sessions imply for conversation-state design, retrieval routing, and product representation.</x:v>
      </x:c>
      <x:c r="K2" s="8" t="str">
        <x:v>What the 200 public sessions imply for conversation-state design, retrieval routing, and product representation.</x:v>
      </x:c>
      <x:c r="L2" s="8" t="str">
        <x:v>What the 200 public sessions imply for conversation-state design, retrieval routing, and product representation.</x:v>
      </x:c>
      <x:c r="M2" s="8" t="str">
        <x:v>What the 200 public sessions imply for conversation-state design, retrieval routing, and product representation.</x:v>
      </x:c>
      <x:c r="N2" s="8" t="str">
        <x:v>What the 200 public sessions imply for conversation-state design, retrieval routing, and product representation.</x:v>
      </x:c>
    </x:row>
    <x:row r="4">
      <x:c r="A4" s="96" t="str">
        <x:v>Public sessions</x:v>
      </x:c>
      <x:c r="B4" s="96"/>
      <x:c r="C4" s="96"/>
      <x:c r="E4" s="135" t="str">
        <x:v>Scenario types</x:v>
      </x:c>
      <x:c r="F4" s="135"/>
      <x:c r="G4" s="135"/>
      <x:c r="I4" s="170" t="str">
        <x:v>Target products matched</x:v>
      </x:c>
      <x:c r="J4" s="170"/>
      <x:c r="K4" s="170"/>
      <x:c r="M4" s="204" t="str">
        <x:v>Unique profile tags</x:v>
      </x:c>
      <x:c r="N4" s="204"/>
    </x:row>
    <x:row r="5">
      <x:c r="A5" s="124" t="n">
        <x:f>COUNTA('Sessions'!$A$5:$A$204)</x:f>
        <x:v>200</x:v>
      </x:c>
      <x:c r="B5" s="125"/>
      <x:c r="C5" s="126"/>
      <x:c r="E5" s="160" t="n">
        <x:f>COUNTA('Lists &amp; Metrics'!$A$5:$A$8)</x:f>
        <x:v>4</x:v>
      </x:c>
      <x:c r="F5" s="161"/>
      <x:c r="G5" s="162"/>
      <x:c r="I5" s="195" t="n">
        <x:f>COUNTIF('Target Products'!$B$5:$B$204,"&lt;&gt;")</x:f>
        <x:v>200</x:v>
      </x:c>
      <x:c r="J5" s="196"/>
      <x:c r="K5" s="197"/>
      <x:c r="M5" s="223" t="n">
        <x:f>COUNTA('Lists &amp; Metrics'!$A$13:$A$21)</x:f>
        <x:v>9</x:v>
      </x:c>
      <x:c r="N5" s="224"/>
    </x:row>
    <x:row r="6">
      <x:c r="A6" s="127"/>
      <x:c r="B6" s="128"/>
      <x:c r="C6" s="129"/>
      <x:c r="E6" s="163"/>
      <x:c r="F6" s="128"/>
      <x:c r="G6" s="164"/>
      <x:c r="I6" s="198"/>
      <x:c r="J6" s="128"/>
      <x:c r="K6" s="199"/>
      <x:c r="M6" s="225"/>
      <x:c r="N6" s="226"/>
    </x:row>
    <x:row r="7">
      <x:c r="A7" s="130"/>
      <x:c r="B7" s="131"/>
      <x:c r="C7" s="132"/>
      <x:c r="E7" s="165"/>
      <x:c r="F7" s="166"/>
      <x:c r="G7" s="167"/>
      <x:c r="I7" s="200"/>
      <x:c r="J7" s="201"/>
      <x:c r="K7" s="202"/>
      <x:c r="M7" s="227"/>
      <x:c r="N7" s="228"/>
    </x:row>
    <x:row r="9">
      <x:c r="A9" s="229" t="str">
        <x:v>Scenario × difficulty (counts)</x:v>
      </x:c>
      <x:c r="B9" s="229"/>
      <x:c r="C9" s="229"/>
      <x:c r="D9" s="229"/>
      <x:c r="E9" s="229"/>
      <x:c r="F9" s="229"/>
    </x:row>
    <x:row r="10" ht="28" customHeight="1">
      <x:c r="A10" s="40" t="str">
        <x:f>'Lists &amp; Metrics'!A26</x:f>
        <x:v>scenario</x:v>
      </x:c>
      <x:c r="B10" s="41" t="str">
        <x:f>'Lists &amp; Metrics'!B26</x:f>
        <x:v>easy</x:v>
      </x:c>
      <x:c r="C10" s="41" t="str">
        <x:f>'Lists &amp; Metrics'!C26</x:f>
        <x:v>medium</x:v>
      </x:c>
      <x:c r="D10" s="41" t="str">
        <x:f>'Lists &amp; Metrics'!D26</x:f>
        <x:v>hard</x:v>
      </x:c>
      <x:c r="E10" s="42" t="str">
        <x:f>'Lists &amp; Metrics'!E26</x:f>
        <x:v>total</x:v>
      </x:c>
    </x:row>
    <x:row r="11">
      <x:c r="A11" t="str">
        <x:f>'Lists &amp; Metrics'!A27</x:f>
        <x:v>buying</x:v>
      </x:c>
      <x:c r="B11" t="n">
        <x:f>'Lists &amp; Metrics'!B27</x:f>
        <x:v>80</x:v>
      </x:c>
      <x:c r="C11" t="n">
        <x:f>'Lists &amp; Metrics'!C27</x:f>
        <x:v>0</x:v>
      </x:c>
      <x:c r="D11" t="n">
        <x:f>'Lists &amp; Metrics'!D27</x:f>
        <x:v>0</x:v>
      </x:c>
      <x:c r="E11" t="n">
        <x:f>'Lists &amp; Metrics'!E27</x:f>
        <x:v>80</x:v>
      </x:c>
    </x:row>
    <x:row r="12">
      <x:c r="A12" t="str">
        <x:f>'Lists &amp; Metrics'!A28</x:f>
        <x:v>browsing</x:v>
      </x:c>
      <x:c r="B12" t="n">
        <x:f>'Lists &amp; Metrics'!B28</x:f>
        <x:v>0</x:v>
      </x:c>
      <x:c r="C12" t="n">
        <x:f>'Lists &amp; Metrics'!C28</x:f>
        <x:v>80</x:v>
      </x:c>
      <x:c r="D12" t="n">
        <x:f>'Lists &amp; Metrics'!D28</x:f>
        <x:v>0</x:v>
      </x:c>
      <x:c r="E12" t="n">
        <x:f>'Lists &amp; Metrics'!E28</x:f>
        <x:v>80</x:v>
      </x:c>
    </x:row>
    <x:row r="13">
      <x:c r="A13" t="str">
        <x:f>'Lists &amp; Metrics'!A29</x:f>
        <x:v>intent_override</x:v>
      </x:c>
      <x:c r="B13" t="n">
        <x:f>'Lists &amp; Metrics'!B29</x:f>
        <x:v>0</x:v>
      </x:c>
      <x:c r="C13" t="n">
        <x:f>'Lists &amp; Metrics'!C29</x:f>
        <x:v>0</x:v>
      </x:c>
      <x:c r="D13" t="n">
        <x:f>'Lists &amp; Metrics'!D29</x:f>
        <x:v>30</x:v>
      </x:c>
      <x:c r="E13" t="n">
        <x:f>'Lists &amp; Metrics'!E29</x:f>
        <x:v>30</x:v>
      </x:c>
    </x:row>
    <x:row r="14">
      <x:c r="A14" t="str">
        <x:f>'Lists &amp; Metrics'!A30</x:f>
        <x:v>boundary</x:v>
      </x:c>
      <x:c r="B14" t="n">
        <x:f>'Lists &amp; Metrics'!B30</x:f>
        <x:v>0</x:v>
      </x:c>
      <x:c r="C14" t="n">
        <x:f>'Lists &amp; Metrics'!C30</x:f>
        <x:v>10</x:v>
      </x:c>
      <x:c r="D14" t="n">
        <x:f>'Lists &amp; Metrics'!D30</x:f>
        <x:v>0</x:v>
      </x:c>
      <x:c r="E14" t="n">
        <x:f>'Lists &amp; Metrics'!E30</x:f>
        <x:v>10</x:v>
      </x:c>
    </x:row>
    <x:row r="16">
      <x:c r="A16" s="230" t="str">
        <x:v>What the EDA says</x:v>
      </x:c>
      <x:c r="B16" s="230"/>
      <x:c r="C16" s="230"/>
      <x:c r="D16" s="230"/>
      <x:c r="E16" s="230"/>
      <x:c r="F16" s="230"/>
    </x:row>
    <x:row r="17">
      <x:c r="A17" s="250" t="str">
        <x:v>• 80 Buying + 80 Browsing sessions mean the retriever must work both before and after clarification.</x:v>
      </x:c>
      <x:c r="B17" s="251"/>
      <x:c r="C17" s="251"/>
      <x:c r="D17" s="251"/>
      <x:c r="E17" s="251"/>
      <x:c r="F17" s="252"/>
    </x:row>
    <x:row r="18">
      <x:c r="A18" s="253" t="str">
        <x:v>• 30 Intent Override sessions require active/superseded slot status and full-catalog re-retrieval.</x:v>
      </x:c>
      <x:c r="B18" s="254"/>
      <x:c r="C18" s="254"/>
      <x:c r="D18" s="254"/>
      <x:c r="E18" s="254"/>
      <x:c r="F18" s="255"/>
    </x:row>
    <x:row r="19">
      <x:c r="A19" s="253" t="str">
        <x:v>• 10 Boundary sessions make no-preference a first-class state, not missing data.</x:v>
      </x:c>
      <x:c r="B19" s="254"/>
      <x:c r="C19" s="254"/>
      <x:c r="D19" s="254"/>
      <x:c r="E19" s="254"/>
      <x:c r="F19" s="255"/>
    </x:row>
    <x:row r="20">
      <x:c r="A20" s="253" t="str">
        <x:v>• Profile tags are heavily concentrated in fit, material, comfort, and style: useful soft priors, weak hard filters.</x:v>
      </x:c>
      <x:c r="B20" s="254"/>
      <x:c r="C20" s="254"/>
      <x:c r="D20" s="254"/>
      <x:c r="E20" s="254"/>
      <x:c r="F20" s="255"/>
    </x:row>
    <x:row r="21">
      <x:c r="A21" s="253" t="str">
        <x:v>• Target titles, features, details, categories, ratings, and stores are complete; descriptions and prices are not.</x:v>
      </x:c>
      <x:c r="B21" s="254"/>
      <x:c r="C21" s="254"/>
      <x:c r="D21" s="254"/>
      <x:c r="E21" s="254"/>
      <x:c r="F21" s="255"/>
    </x:row>
    <x:row r="22">
      <x:c r="A22" s="256" t="str">
        <x:v>• Encode field labels and preserve exact tokens; use dense semantics to complement—not replace—lexical retrieval.</x:v>
      </x:c>
      <x:c r="B22" s="257"/>
      <x:c r="C22" s="257"/>
      <x:c r="D22" s="257"/>
      <x:c r="E22" s="257"/>
      <x:c r="F22" s="258"/>
    </x:row>
    <x:row r="40">
      <x:c r="H40" s="285" t="str">
        <x:v>Baseline context
HitRate@10 12.5% | MRR 0.0680 | MTTC 9.81 | Technical score 0.10671
Use these only as the shipped weak-BM25 benchmark; measure every embedding or reranking change against the same public split and by scenario.</x:v>
      </x:c>
      <x:c r="I40" s="286"/>
      <x:c r="J40" s="286"/>
      <x:c r="K40" s="286"/>
      <x:c r="L40" s="286"/>
      <x:c r="M40" s="286"/>
      <x:c r="N40" s="287"/>
    </x:row>
    <x:row r="41">
      <x:c r="H41" s="288"/>
      <x:c r="I41" s="289"/>
      <x:c r="J41" s="289"/>
      <x:c r="K41" s="289"/>
      <x:c r="L41" s="289"/>
      <x:c r="M41" s="289"/>
      <x:c r="N41" s="290"/>
    </x:row>
    <x:row r="42">
      <x:c r="H42" s="288"/>
      <x:c r="I42" s="289"/>
      <x:c r="J42" s="289"/>
      <x:c r="K42" s="289"/>
      <x:c r="L42" s="289"/>
      <x:c r="M42" s="289"/>
      <x:c r="N42" s="290"/>
    </x:row>
    <x:row r="43">
      <x:c r="H43" s="288"/>
      <x:c r="I43" s="289"/>
      <x:c r="J43" s="289"/>
      <x:c r="K43" s="289"/>
      <x:c r="L43" s="289"/>
      <x:c r="M43" s="289"/>
      <x:c r="N43" s="290"/>
    </x:row>
    <x:row r="44">
      <x:c r="H44" s="288"/>
      <x:c r="I44" s="289"/>
      <x:c r="J44" s="289"/>
      <x:c r="K44" s="289"/>
      <x:c r="L44" s="289"/>
      <x:c r="M44" s="289"/>
      <x:c r="N44" s="290"/>
    </x:row>
    <x:row r="45">
      <x:c r="H45" s="291"/>
      <x:c r="I45" s="292"/>
      <x:c r="J45" s="292"/>
      <x:c r="K45" s="292"/>
      <x:c r="L45" s="292"/>
      <x:c r="M45" s="292"/>
      <x:c r="N45" s="293"/>
    </x:row>
    <x:row r="47">
      <x:c r="H47" s="322" t="str">
        <x:v>Leakage guard
The target ASIN, target title, derived intent card, and exact first message in this workbook exist for public-set study. At runtime, your agent receives only the aggregate user profile and the current simulated customer message.</x:v>
      </x:c>
      <x:c r="I47" s="323"/>
      <x:c r="J47" s="323"/>
      <x:c r="K47" s="323"/>
      <x:c r="L47" s="323"/>
      <x:c r="M47" s="323"/>
      <x:c r="N47" s="324"/>
    </x:row>
    <x:row r="48">
      <x:c r="H48" s="325"/>
      <x:c r="I48" s="326"/>
      <x:c r="J48" s="326"/>
      <x:c r="K48" s="326"/>
      <x:c r="L48" s="326"/>
      <x:c r="M48" s="326"/>
      <x:c r="N48" s="327"/>
    </x:row>
    <x:row r="49">
      <x:c r="H49" s="325"/>
      <x:c r="I49" s="326"/>
      <x:c r="J49" s="326"/>
      <x:c r="K49" s="326"/>
      <x:c r="L49" s="326"/>
      <x:c r="M49" s="326"/>
      <x:c r="N49" s="327"/>
    </x:row>
    <x:row r="50">
      <x:c r="H50" s="325"/>
      <x:c r="I50" s="326"/>
      <x:c r="J50" s="326"/>
      <x:c r="K50" s="326"/>
      <x:c r="L50" s="326"/>
      <x:c r="M50" s="326"/>
      <x:c r="N50" s="327"/>
    </x:row>
    <x:row r="51">
      <x:c r="H51" s="325"/>
      <x:c r="I51" s="326"/>
      <x:c r="J51" s="326"/>
      <x:c r="K51" s="326"/>
      <x:c r="L51" s="326"/>
      <x:c r="M51" s="326"/>
      <x:c r="N51" s="327"/>
    </x:row>
    <x:row r="52">
      <x:c r="H52" s="325"/>
      <x:c r="I52" s="326"/>
      <x:c r="J52" s="326"/>
      <x:c r="K52" s="326"/>
      <x:c r="L52" s="326"/>
      <x:c r="M52" s="326"/>
      <x:c r="N52" s="327"/>
    </x:row>
    <x:row r="53">
      <x:c r="H53" s="325"/>
      <x:c r="I53" s="326"/>
      <x:c r="J53" s="326"/>
      <x:c r="K53" s="326"/>
      <x:c r="L53" s="326"/>
      <x:c r="M53" s="326"/>
      <x:c r="N53" s="327"/>
    </x:row>
    <x:row r="54">
      <x:c r="H54" s="328"/>
      <x:c r="I54" s="329"/>
      <x:c r="J54" s="329"/>
      <x:c r="K54" s="329"/>
      <x:c r="L54" s="329"/>
      <x:c r="M54" s="329"/>
      <x:c r="N54" s="330"/>
    </x:row>
  </x:sheetData>
  <x:mergeCells>
    <x:mergeCell ref="A1:N1"/>
    <x:mergeCell ref="A2:N2"/>
    <x:mergeCell ref="A4:C4"/>
    <x:mergeCell ref="A5:C7"/>
    <x:mergeCell ref="E4:G4"/>
    <x:mergeCell ref="E5:G7"/>
    <x:mergeCell ref="I4:K4"/>
    <x:mergeCell ref="I5:K7"/>
    <x:mergeCell ref="M4:N4"/>
    <x:mergeCell ref="M5:N7"/>
    <x:mergeCell ref="A9:F9"/>
    <x:mergeCell ref="A16:F16"/>
    <x:mergeCell ref="A17:F17"/>
    <x:mergeCell ref="A18:F18"/>
    <x:mergeCell ref="A19:F19"/>
    <x:mergeCell ref="A20:F20"/>
    <x:mergeCell ref="A21:F21"/>
    <x:mergeCell ref="A22:F22"/>
    <x:mergeCell ref="H40:N45"/>
    <x:mergeCell ref="H47:N54"/>
  </x:mergeCells>
  <x:conditionalFormatting sqref="B11:D14">
    <x:cfRule type="colorScale" priority="1">
      <x:colorScale>
        <x:cfvo type="min"/>
        <x:cfvo type="percentile" val="50"/>
        <x:cfvo type="max"/>
        <x:color rgb="FFFFFFFF"/>
        <x:color rgb="FFFFF0DF"/>
        <x:color rgb="FF008C8C"/>
      </x:colorScale>
    </x:cfRule>
  </x:conditionalFormatting>
  <x:pageMargins left="0.7" right="0.7" top="0.75" bottom="0.75" header="0.3" footer="0.3"/>
  <x:drawing xmlns:r="http://schemas.openxmlformats.org/officeDocument/2006/relationships" r:id="Rbfc0832b632949a0"/>
</x:worksheet>
</file>